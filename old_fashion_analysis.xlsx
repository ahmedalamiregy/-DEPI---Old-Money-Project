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PI MS BI Course\DEPI Graduation Project\"/>
    </mc:Choice>
  </mc:AlternateContent>
  <xr:revisionPtr revIDLastSave="0" documentId="13_ncr:1_{E47F5899-C436-41ED-91AB-A49D134A5A9A}" xr6:coauthVersionLast="47" xr6:coauthVersionMax="47" xr10:uidLastSave="{00000000-0000-0000-0000-000000000000}"/>
  <bookViews>
    <workbookView xWindow="-120" yWindow="-120" windowWidth="20730" windowHeight="11160" tabRatio="500" firstSheet="4" activeTab="5" xr2:uid="{00000000-000D-0000-FFFF-FFFF00000000}"/>
  </bookViews>
  <sheets>
    <sheet name="Executive Dashboard" sheetId="1" r:id="rId1"/>
    <sheet name="Business Questions" sheetId="2" r:id="rId2"/>
    <sheet name="Market Trends &amp; Charts" sheetId="3" r:id="rId3"/>
    <sheet name="Demographics" sheetId="4" r:id="rId4"/>
    <sheet name="Inventory &amp; Supply Chain" sheetId="5" r:id="rId5"/>
    <sheet name="Strategic Recommendation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<sst xmlns="http://schemas.openxmlformats.org/spreadsheetml/2006/main" count="427" uniqueCount="313">
  <si>
    <t>OLD FASHION  |  Data-Driven Fashion Brand  |  Executive Business Report 2025</t>
  </si>
  <si>
    <t>1,500 Sales Transactions  |  120 Customers  |  60 Products  |  6 Markets  |  Full Year 2025</t>
  </si>
  <si>
    <t>NET REVENUE</t>
  </si>
  <si>
    <t>GROSS PROFIT</t>
  </si>
  <si>
    <t>GROSS MARGIN</t>
  </si>
  <si>
    <t>TOTAL ORDERS</t>
  </si>
  <si>
    <t>UNITS SOLD</t>
  </si>
  <si>
    <t>AVG ORDER VALUE</t>
  </si>
  <si>
    <t>RETURN RATE</t>
  </si>
  <si>
    <t>AVG DISCOUNT</t>
  </si>
  <si>
    <t xml:space="preserve">  📅  Monthly Net Revenue (2025)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</si>
  <si>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</si>
  <si>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</si>
  <si>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</si>
  <si>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</si>
  <si>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</si>
  <si>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</si>
  <si>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</si>
  <si>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</si>
  <si>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</si>
  <si>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</si>
  <si>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</si>
  <si>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</si>
  <si>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</si>
  <si>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Revenue ($)</t>
  </si>
  <si>
    <t>MoM Growth (%)</t>
  </si>
  <si>
    <t>—</t>
  </si>
  <si>
    <t xml:space="preserve">  🏷️  Revenue by Category</t>
  </si>
  <si>
    <t xml:space="preserve">  📡  Revenue by Channel</t>
  </si>
  <si>
    <t>Category</t>
  </si>
  <si>
    <t>Gross Profit ($)</t>
  </si>
  <si>
    <t>GM%</t>
  </si>
  <si>
    <t>Channel</t>
  </si>
  <si>
    <t>Units Sold</t>
  </si>
  <si>
    <t>Rev Share</t>
  </si>
  <si>
    <t>Blazers</t>
  </si>
  <si>
    <t>Online</t>
  </si>
  <si>
    <t>Knitwear</t>
  </si>
  <si>
    <t>Store</t>
  </si>
  <si>
    <t>Dresses</t>
  </si>
  <si>
    <t>Marketplace</t>
  </si>
  <si>
    <t>Trousers</t>
  </si>
  <si>
    <t>Instagram</t>
  </si>
  <si>
    <t>Shirts</t>
  </si>
  <si>
    <t>TOTAL</t>
  </si>
  <si>
    <t>100.0%</t>
  </si>
  <si>
    <t>OLD FASHION  |  Business Intelligence Report  |  6 Strategic Questions</t>
  </si>
  <si>
    <t>Q1  |  IS THERE A MARKET? WHAT SIZE?</t>
  </si>
  <si>
    <t>✅ Market Confirmed</t>
  </si>
  <si>
    <t>Yes — Old Fashion operates across 6 MENA countries: Kuwait, Jordan, Egypt, Qatar, UAE, and Saudi Arabia. Total addressable customers: 120 registered profiles with 1,500 sales transactions processed in 2025.</t>
  </si>
  <si>
    <t>💰 Market Size (Realized)</t>
  </si>
  <si>
    <t>Total Net Revenue = $132,892.91 | Gross Revenue = $139,085.41 | This is the brand's confirmed in-market revenue across all 6 countries and 4 channels for FY2025.</t>
  </si>
  <si>
    <t>📦 Volume</t>
  </si>
  <si>
    <t>2,078 units sold across 750 orders, with an Average Order Value of $177.19 and 2.8 units per order on average.</t>
  </si>
  <si>
    <t>🏆 Market Leader Category</t>
  </si>
  <si>
    <t>Blazers lead with $34,011 (25.6% of revenue), signalling premium positioning. Knitwear 2nd ($27,228). Together top 3 categories cover 65% of revenue.</t>
  </si>
  <si>
    <t>Country</t>
  </si>
  <si>
    <t>Revenue Share</t>
  </si>
  <si>
    <t>Rank</t>
  </si>
  <si>
    <t>Kuwait</t>
  </si>
  <si>
    <t>22.2%</t>
  </si>
  <si>
    <t>Jordan</t>
  </si>
  <si>
    <t>20.0%</t>
  </si>
  <si>
    <t>Egypt</t>
  </si>
  <si>
    <t>17.4%</t>
  </si>
  <si>
    <t>Qatar</t>
  </si>
  <si>
    <t>14.6%</t>
  </si>
  <si>
    <t>UAE</t>
  </si>
  <si>
    <t>13.7%</t>
  </si>
  <si>
    <t>Saudi Arabia</t>
  </si>
  <si>
    <t>12.1%</t>
  </si>
  <si>
    <t>Q2  |  MARKET DYNAMICS &amp; TREND CHANGES</t>
  </si>
  <si>
    <t>📈 Growth Engine</t>
  </si>
  <si>
    <t>Q4 2025 is the power quarter: $41,254 (+39% QoQ) driven by November pre-holiday surge (+29%) and December peak ($15,409 — highest month). Q2 also strong with June spike (+55% MoM).</t>
  </si>
  <si>
    <t>⚠️ Seasonality Risk</t>
  </si>
  <si>
    <t>Q3 shows a significant pullback (−14.3% QoQ), specifically July −37% MoM — indicating mid-year summer slump. Q1 is the weakest quarter ($27,323).</t>
  </si>
  <si>
    <t>🛍️ Promotional Dynamics</t>
  </si>
  <si>
    <t>Only 8.7% of transactions used promotions. Non-promotional orders command 2.2× higher AOV ($165 vs $63–$74), suggesting promotions attract lower-value buyers.</t>
  </si>
  <si>
    <t>🧵 Fabric Trends</t>
  </si>
  <si>
    <t>Wool Blend dominates ($38,499 — 29% of revenue), followed by Cotton ($20,730) and Merino Wool ($18,011). Natural premium fabrics outperform synthetic blends.</t>
  </si>
  <si>
    <t>⏱️ Timelessness vs Trend</t>
  </si>
  <si>
    <t>All categories score high on Timelessness (3.67–4.33/5) and low on Trend Score (2.25–2.50/5), confirming Old Fashion as a classic/heritage brand — not a fast-fashion player.</t>
  </si>
  <si>
    <t>Quarter</t>
  </si>
  <si>
    <t>QoQ Growth</t>
  </si>
  <si>
    <t>Cumulative Rev</t>
  </si>
  <si>
    <t>Q1</t>
  </si>
  <si>
    <t>Q2</t>
  </si>
  <si>
    <t>26.8%</t>
  </si>
  <si>
    <t>Q3</t>
  </si>
  <si>
    <t>-14.3%</t>
  </si>
  <si>
    <t>Q4</t>
  </si>
  <si>
    <t>39.0%</t>
  </si>
  <si>
    <t>Q3  |  DEMOGRAPHICS OF SALES</t>
  </si>
  <si>
    <t>👥 Customer Base</t>
  </si>
  <si>
    <t>120 registered customers: 67 Men (55.8%), 53 Women (44.2%). Age range: 20–55 yrs | Median: 38 yrs | Mean: 38.2 yrs — a mature professional demographic.</t>
  </si>
  <si>
    <t>🎯 Gender Revenue Split</t>
  </si>
  <si>
    <t>Unisex products dominate: $58,753 (44.2% of rev). Women: $53,605 (40.3%). Men: $20,535 (15.5%). Unisex + Women = 84.5% of revenue — core revenue engines.</t>
  </si>
  <si>
    <t>🏷️ Customer Segments</t>
  </si>
  <si>
    <t>Top segment: Value Seekers ($37,507 | 28.2%) — price-conscious but highest volume. Classic Loyalists 2nd ($32,090 | 24.1%) — brand advocates. Premium Tailoring only 14.3% — untapped upside.</t>
  </si>
  <si>
    <t>💎 Loyalty Tiers</t>
  </si>
  <si>
    <t>75 Bronze (62.5%) | 32 Silver (26.7%) | 13 Gold (10.8%). Gold tier is underdeveloped — only ~11% of customers — loyalty upgrade program recommended.</t>
  </si>
  <si>
    <t>Segment</t>
  </si>
  <si>
    <t>Customers</t>
  </si>
  <si>
    <t>Value Seeker</t>
  </si>
  <si>
    <t>28.2%</t>
  </si>
  <si>
    <t>Classic Loyalist</t>
  </si>
  <si>
    <t>24.1%</t>
  </si>
  <si>
    <t>Occasional Buyer</t>
  </si>
  <si>
    <t>19.5%</t>
  </si>
  <si>
    <t>Premium Tailoring</t>
  </si>
  <si>
    <t>14.3%</t>
  </si>
  <si>
    <t>Digital Native</t>
  </si>
  <si>
    <t>13.8%</t>
  </si>
  <si>
    <t>Q4  |  EXPECTED SALES &amp; GROWTH FORECAST</t>
  </si>
  <si>
    <t>📊 2025 Baseline</t>
  </si>
  <si>
    <t>Net Revenue = $132,893 | Gross Profit = $72,327 | Gross Margin = 54.4%</t>
  </si>
  <si>
    <t>🔮 2026 Conservative (+12%)</t>
  </si>
  <si>
    <t>$148,840 net revenue — based on organic customer growth, current channel mix, and maintaining current margins.</t>
  </si>
  <si>
    <t>🚀 2026 Base Case (+22%)</t>
  </si>
  <si>
    <t>$162,129 net revenue — assuming loyalty program activation (Bronze→Silver upgrade), Instagram channel scaling, and Marketplace expansion.</t>
  </si>
  <si>
    <t>💥 2026 Optimistic (+35%)</t>
  </si>
  <si>
    <t>$179,406 net revenue — with new customer acquisition in UAE/Saudi (currently underperforming), Premium Tailoring segment push, and Women's category dedicated launch.</t>
  </si>
  <si>
    <t>📌 Key Growth Levers</t>
  </si>
  <si>
    <t>1) Women's line (40% of rev, growing) | 2) Q3 summer recovery program | 3) Loyalty Gold tier upgrade | 4) UAE &amp; Saudi penetration | 5) Promotional AOV optimization</t>
  </si>
  <si>
    <t>Scenario</t>
  </si>
  <si>
    <t>2025 Actual</t>
  </si>
  <si>
    <t>Growth Rate</t>
  </si>
  <si>
    <t>2026 Forecast</t>
  </si>
  <si>
    <t>2026 GP (54.4%)</t>
  </si>
  <si>
    <t>Conservative</t>
  </si>
  <si>
    <t>12%</t>
  </si>
  <si>
    <t>Base Case</t>
  </si>
  <si>
    <t>22%</t>
  </si>
  <si>
    <t>Optimistic</t>
  </si>
  <si>
    <t>35%</t>
  </si>
  <si>
    <t>Q5  |  DISTRIBUTION CHANNELS &amp; GEOGRAPHIC ANALYSIS</t>
  </si>
  <si>
    <t>🌐 Channel Breakdown</t>
  </si>
  <si>
    <t>Online leads at 33.1% of revenue ($44,041). Store (physical) 24.4% ($32,464). Marketplace 22.0% ($29,224). Instagram 20.4% ($27,164). Digital = 75.6% of revenue — brand is digital-first.</t>
  </si>
  <si>
    <t>📱 Instagram Opportunity</t>
  </si>
  <si>
    <t>Instagram drives 20.4% of revenue with only 294 transactions — 4th in volume but strong AOV. As a social-commerce channel it has the highest growth potential among digital channels.</t>
  </si>
  <si>
    <t>🏪 Physical Retail</t>
  </si>
  <si>
    <t>Store channel contributes $32,464 (24.4%) — still significant, especially for premium/tailoring categories where touch-and-feel matters for conversion.</t>
  </si>
  <si>
    <t>🌍 Geographic Leaders</t>
  </si>
  <si>
    <t>Kuwait #1 ($29,447 | 22.2%) — over-indexes vs population. Jordan #2 ($26,610 | 20.0%). Egypt #3 ($23,137 | 17.4%). UAE (#5) and Saudi Arabia (#6) are underperforming relative to market size.</t>
  </si>
  <si>
    <t>🚩 Geographic Gap</t>
  </si>
  <si>
    <t>UAE + Saudi Arabia combined = $34,269 (25.8%) despite being the largest fashion markets in MENA. Significant headroom for growth with targeted distribution investment.</t>
  </si>
  <si>
    <t>Units</t>
  </si>
  <si>
    <t>AOV ($)</t>
  </si>
  <si>
    <t>33.1%</t>
  </si>
  <si>
    <t>24.4%</t>
  </si>
  <si>
    <t>22.0%</t>
  </si>
  <si>
    <t>20.4%</t>
  </si>
  <si>
    <t>Cities Present</t>
  </si>
  <si>
    <t>Q6  |  OPEX AND CAPEX ANALYSIS</t>
  </si>
  <si>
    <t>📋 OPEX Overview</t>
  </si>
  <si>
    <t>OPEX estimated from available data: COGS, discount spend, and return costs constitute primary variable costs. Fixed costs (warehouse, staff, tech) not captured in dataset — estimated below.</t>
  </si>
  <si>
    <t>🏭 COGS (Variable OPEX)</t>
  </si>
  <si>
    <t>Total COGS = $66,758 | COGS as % of Net Revenue = 50.2% | Average Unit Cost = $32.18 | Gross Margin preserved at 54.4%</t>
  </si>
  <si>
    <t>🏷️ Discount Cost (OPEX)</t>
  </si>
  <si>
    <t>Total discount spend = $6,192.50 (4.5% of Gross Revenue) | Average discount applied = 1.8% | Promotions are highly targeted and low-cost.</t>
  </si>
  <si>
    <t>🔄 Returns Cost (OPEX)</t>
  </si>
  <si>
    <t>Return rate = 5.5% of transactions (82 returns). 90 units returned. Return processing and restocking represent incremental cost of estimated $2,500–$4,000/year.</t>
  </si>
  <si>
    <t>🏗️ CAPEX Indicators</t>
  </si>
  <si>
    <t>2 Warehouses active (North WH, Main WH). Combined closing stock ~53,337 units. Overstock rate = 82.8% of inventory records — high holding cost risk. Stockout = 0% (excellent availability).</t>
  </si>
  <si>
    <t>⚠️ Overstock Risk (CAPEX)</t>
  </si>
  <si>
    <t>596 out of 720 monthly inventory records flagged as overstock (82.8%). This represents a significant working capital tie-up and potential markdown risk — a critical CAPEX/inventory management area.</t>
  </si>
  <si>
    <t>Cost Component</t>
  </si>
  <si>
    <t>Amount ($)</t>
  </si>
  <si>
    <t>% of Net Rev</t>
  </si>
  <si>
    <t>Type</t>
  </si>
  <si>
    <t>Priority</t>
  </si>
  <si>
    <t>COGS – Product Costs</t>
  </si>
  <si>
    <t>50.2%</t>
  </si>
  <si>
    <t>Variable OPEX</t>
  </si>
  <si>
    <t>🔴 High</t>
  </si>
  <si>
    <t>Discount Spend</t>
  </si>
  <si>
    <t>4.7%</t>
  </si>
  <si>
    <t>🟡 Medium</t>
  </si>
  <si>
    <t>Estimated Returns Cost</t>
  </si>
  <si>
    <t>2.3%</t>
  </si>
  <si>
    <t>Warehouse Operations (est.)</t>
  </si>
  <si>
    <t>6.0%</t>
  </si>
  <si>
    <t>Fixed OPEX</t>
  </si>
  <si>
    <t>Technology/CRM (est.)</t>
  </si>
  <si>
    <t>2.6%</t>
  </si>
  <si>
    <t>🟢 Low</t>
  </si>
  <si>
    <t>Overstock Holding Cost (est.)</t>
  </si>
  <si>
    <t>3.8%</t>
  </si>
  <si>
    <t>CAPEX/Working Cap</t>
  </si>
  <si>
    <t>Total Estimated OPEX</t>
  </si>
  <si>
    <t>~67%</t>
  </si>
  <si>
    <t>OLD FASHION  |  Market Trends, Category &amp; Channel Performance  |  2025</t>
  </si>
  <si>
    <t>MONTHLY REVENUE TREND</t>
  </si>
  <si>
    <t>CATEGORY REVENUE</t>
  </si>
  <si>
    <t>Net Revenue</t>
  </si>
  <si>
    <t>Gross Profit</t>
  </si>
  <si>
    <t>CHANNEL REVENUE</t>
  </si>
  <si>
    <t>OLD FASHION  |  Customer Demographics &amp; Segment Intelligence</t>
  </si>
  <si>
    <t xml:space="preserve">  👤  Age Distribution of Customers</t>
  </si>
  <si>
    <t xml:space="preserve">  💎  Loyalty Tier Distribution</t>
  </si>
  <si>
    <t>Age Group</t>
  </si>
  <si>
    <t>Count</t>
  </si>
  <si>
    <t>% Share</t>
  </si>
  <si>
    <t>Loyalty Tier</t>
  </si>
  <si>
    <t>20-29</t>
  </si>
  <si>
    <t>25.0%</t>
  </si>
  <si>
    <t>Bronze</t>
  </si>
  <si>
    <t>62.5%</t>
  </si>
  <si>
    <t>30-39</t>
  </si>
  <si>
    <t>30.0%</t>
  </si>
  <si>
    <t>Silver</t>
  </si>
  <si>
    <t>26.7%</t>
  </si>
  <si>
    <t>40-49</t>
  </si>
  <si>
    <t>31.7%</t>
  </si>
  <si>
    <t>Gold</t>
  </si>
  <si>
    <t>10.8%</t>
  </si>
  <si>
    <t>50-55</t>
  </si>
  <si>
    <t>13.3%</t>
  </si>
  <si>
    <t xml:space="preserve">  🌍  Revenue by City (Top 8)</t>
  </si>
  <si>
    <t>City</t>
  </si>
  <si>
    <t>Amman</t>
  </si>
  <si>
    <t>19.6%</t>
  </si>
  <si>
    <t>Doha</t>
  </si>
  <si>
    <t>13.4%</t>
  </si>
  <si>
    <t>Jeddah</t>
  </si>
  <si>
    <t>11.8%</t>
  </si>
  <si>
    <t>Giza</t>
  </si>
  <si>
    <t>Riyadh</t>
  </si>
  <si>
    <t>10.2%</t>
  </si>
  <si>
    <t>Dubai</t>
  </si>
  <si>
    <t>9.0%</t>
  </si>
  <si>
    <t>Alexandria</t>
  </si>
  <si>
    <t>7.6%</t>
  </si>
  <si>
    <t>Kuwait City</t>
  </si>
  <si>
    <t>6.8%</t>
  </si>
  <si>
    <t xml:space="preserve">  🎯  Customer Segment Revenue Breakdown</t>
  </si>
  <si>
    <t>Transactions</t>
  </si>
  <si>
    <t>OLD FASHION  |  Inventory Intelligence &amp; Supply Chain Health</t>
  </si>
  <si>
    <t>STOCKOUT RATE</t>
  </si>
  <si>
    <t>OVERSTOCK RATE</t>
  </si>
  <si>
    <t>TOTAL OPENING STOCK</t>
  </si>
  <si>
    <t>TOTAL CLOSING STOCK</t>
  </si>
  <si>
    <t>TOTAL UNITS SOLD (INV)</t>
  </si>
  <si>
    <t>DAMAGED STOCK</t>
  </si>
  <si>
    <t>0.0%</t>
  </si>
  <si>
    <t>82.8%</t>
  </si>
  <si>
    <t>52,968</t>
  </si>
  <si>
    <t>53,337</t>
  </si>
  <si>
    <t>2,078</t>
  </si>
  <si>
    <t>420</t>
  </si>
  <si>
    <t>✅ Excellent</t>
  </si>
  <si>
    <t>⚠️ Critical</t>
  </si>
  <si>
    <t xml:space="preserve">  🏭  Warehouse Performance Summary</t>
  </si>
  <si>
    <t>Warehouse</t>
  </si>
  <si>
    <t>Opening Stock</t>
  </si>
  <si>
    <t>Closing Stock</t>
  </si>
  <si>
    <t>Units Returned</t>
  </si>
  <si>
    <t>Damaged</t>
  </si>
  <si>
    <t>Overstock Records</t>
  </si>
  <si>
    <t>Overstock %</t>
  </si>
  <si>
    <t>Main WH</t>
  </si>
  <si>
    <t>North WH</t>
  </si>
  <si>
    <t>82.7%</t>
  </si>
  <si>
    <t xml:space="preserve">  📦  Product Lead Times &amp; Reorder Analysis</t>
  </si>
  <si>
    <t>Avg Lead Time (Days)</t>
  </si>
  <si>
    <t>Avg Reorder Level</t>
  </si>
  <si>
    <t>Products</t>
  </si>
  <si>
    <t>OLD FASHION  |  Strategic Recommendations &amp; Action Plan</t>
  </si>
  <si>
    <t>Initiative</t>
  </si>
  <si>
    <t>Description</t>
  </si>
  <si>
    <t>Expected Impact</t>
  </si>
  <si>
    <t>Timeline</t>
  </si>
  <si>
    <t>Owner</t>
  </si>
  <si>
    <t>🔴 CRITICAL</t>
  </si>
  <si>
    <t>Reduce Overstock (CAPEX Priority)</t>
  </si>
  <si>
    <t>82.8% overstock rate across both warehouses indicates critical working capital inefficiency. Implement dynamic reorder point model, consider markdown strategies for slow-moving SKUs.</t>
  </si>
  <si>
    <t>Reduce to &lt;40% overstock rate</t>
  </si>
  <si>
    <t>Q1 2026</t>
  </si>
  <si>
    <t>CFO / Supply Chain</t>
  </si>
  <si>
    <t>UAE &amp; Saudi Arabia Market Expansion</t>
  </si>
  <si>
    <t>UAE + Saudi = only 25.8% of revenue despite being MENA's largest fashion markets. Dedicated distribution partner, local influencer campaigns, and Marketplace expansion required.</t>
  </si>
  <si>
    <t>+$18,000 incremental revenue</t>
  </si>
  <si>
    <t>Q2 2026</t>
  </si>
  <si>
    <t>Commercial / Marketing</t>
  </si>
  <si>
    <t>🟠 HIGH</t>
  </si>
  <si>
    <t>Loyalty Program Upgrade (Bronze→Gold)</t>
  </si>
  <si>
    <t>Only 10.8% of customers are Gold tier. Implement structured loyalty rewards to upgrade Bronze (62.5%) through Silver to Gold. Gold customers likely have 3-5× LTV.</t>
  </si>
  <si>
    <t>+15% retention revenue</t>
  </si>
  <si>
    <t>CRM / Marketing</t>
  </si>
  <si>
    <t>Q3 Summer Recovery Campaign</t>
  </si>
  <si>
    <t>July drops -37% MoM — a severe seasonal slump. Launch dedicated summer linen/cotton campaign in June with 10-12% targeted discount for Digital Natives and Value Seekers.</t>
  </si>
  <si>
    <t>Reduce Q3 decline to &lt;10%</t>
  </si>
  <si>
    <t>May 2026</t>
  </si>
  <si>
    <t>Marketing</t>
  </si>
  <si>
    <t>Instagram Channel Scale-Up</t>
  </si>
  <si>
    <t>Instagram has 20.4% revenue share with strongest growth potential. Invest in shoppable posts, Stories campaigns, and influencer partnerships targeting Women's 30-45 segment.</t>
  </si>
  <si>
    <t>+30% Instagram revenue</t>
  </si>
  <si>
    <t>Digital / Social</t>
  </si>
  <si>
    <t>🟡 MEDIUM</t>
  </si>
  <si>
    <t>Premium Tailoring Segment Activation</t>
  </si>
  <si>
    <t>Premium Tailoring is only 14.3% of revenue but highest AOV segment. Dedicated lookbook, personal styling service, and VIP channel (WhatsApp/concierge) can double segment share.</t>
  </si>
  <si>
    <t>Grow to 20% of revenue</t>
  </si>
  <si>
    <t>Q3 2026</t>
  </si>
  <si>
    <t>Sales / CRM</t>
  </si>
  <si>
    <t>Promotional AOV Optimization</t>
  </si>
  <si>
    <t>Promotional orders average $63-74 AOV vs $165 non-promotional. Shift to bundle discounts (buy 2 get 10%) rather than percentage discounts to protect AOV.</t>
  </si>
  <si>
    <t>Increase promo AOV to $100+</t>
  </si>
  <si>
    <t>Commercial</t>
  </si>
  <si>
    <t>🟢 STRATEGIC</t>
  </si>
  <si>
    <t>Women's Dedicated Category Launch</t>
  </si>
  <si>
    <t>Women's products = 40.3% of revenue vs only 44.2% of customer base being female. A dedicated Women's launch with exclusive designs could add $12,000-15,000 incremental annually.</t>
  </si>
  <si>
    <t>+$12,000 annual revenue</t>
  </si>
  <si>
    <t>Product /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</si>
</sst>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;\-0.0;0.0"/>
  </numFmts>
  <fonts count="24" x14ac:knownFonts="1">
    <font>
      <sz val="11"/>
      <color theme="1"/>
      <name val="Calibri"/>
      <family val="2"/>
      <charset val="1"/>
    </font>
    <font>
      <b/>
      <sz val="16"/>
      <color rgb="FFC9A84C"/>
      <name val="Arial"/>
      <charset val="1"/>
    </font>
    <font>
      <i/>
      <sz val="10"/>
      <color rgb="FFAABBDD"/>
      <name val="Arial"/>
      <charset val="1"/>
    </font>
    <font>
      <b/>
      <sz val="9"/>
      <color rgb="FFFFFFFF"/>
      <name val="Arial"/>
      <charset val="1"/>
    </font>
    <font>
      <b/>
      <sz val="14"/>
      <color rgb="FF1F2D4E"/>
      <name val="Arial"/>
      <charset val="1"/>
    </font>
    <font>
      <b/>
      <sz val="12"/>
      <color rgb="FF1F2D4E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C0392B"/>
      <name val="Arial"/>
      <charset val="1"/>
    </font>
    <font>
      <sz val="10"/>
      <color rgb="FF1E8449"/>
      <name val="Arial"/>
      <charset val="1"/>
    </font>
    <font>
      <b/>
      <sz val="10"/>
      <color rgb="FF1F2D4E"/>
      <name val="Arial"/>
      <charset val="1"/>
    </font>
    <font>
      <b/>
      <sz val="15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2E5B9A"/>
      <name val="Arial"/>
      <charset val="1"/>
    </font>
    <font>
      <sz val="10"/>
      <color rgb="FF1F2D4E"/>
      <name val="Arial"/>
      <charset val="1"/>
    </font>
    <font>
      <sz val="10"/>
      <color rgb="FF2E5B9A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1E8449"/>
      <name val="Arial"/>
      <charset val="1"/>
    </font>
    <font>
      <i/>
      <sz val="9"/>
      <color rgb="FFC0392B"/>
      <name val="Arial"/>
      <charset val="1"/>
    </font>
    <font>
      <i/>
      <sz val="9"/>
      <color rgb="FF666666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2D4E"/>
        <bgColor rgb="FF003366"/>
      </patternFill>
    </fill>
    <fill>
      <patternFill patternType="solid">
        <fgColor rgb="FF2E5B9A"/>
        <bgColor rgb="FF0066CC"/>
      </patternFill>
    </fill>
    <fill>
      <patternFill patternType="solid">
        <fgColor rgb="FFD6E4F7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5F6FA"/>
        <bgColor rgb="FFF9F9F9"/>
      </patternFill>
    </fill>
    <fill>
      <patternFill patternType="solid">
        <fgColor rgb="FFC9A84C"/>
        <bgColor rgb="FF9BBB59"/>
      </patternFill>
    </fill>
    <fill>
      <patternFill patternType="solid">
        <fgColor rgb="FFE8F5E9"/>
        <bgColor rgb="FFF5F6FA"/>
      </patternFill>
    </fill>
    <fill>
      <patternFill patternType="solid">
        <fgColor rgb="FFFFCCCC"/>
        <bgColor rgb="FFFFE5CC"/>
      </patternFill>
    </fill>
    <fill>
      <patternFill patternType="solid">
        <fgColor rgb="FFFFE5CC"/>
        <bgColor rgb="FFFFFACC"/>
      </patternFill>
    </fill>
    <fill>
      <patternFill patternType="solid">
        <fgColor rgb="FFFFFACC"/>
        <bgColor rgb="FFF9F9F9"/>
      </patternFill>
    </fill>
    <fill>
      <patternFill patternType="solid">
        <fgColor rgb="FFCCFFCC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0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left" vertical="center" wrapText="1"/>
    </xf>
    <xf numFmtId="0" fontId="18" fillId="5" borderId="0" xfId="0" applyFont="1" applyFill="1" applyAlignment="1">
      <alignment horizontal="left" vertical="center" wrapText="1"/>
    </xf>
    <xf numFmtId="0" fontId="17" fillId="4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4" fontId="8" fillId="5" borderId="1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4" fontId="10" fillId="4" borderId="1" xfId="0" applyNumberFormat="1" applyFont="1" applyFill="1" applyBorder="1" applyAlignment="1">
      <alignment horizontal="left" vertical="center"/>
    </xf>
    <xf numFmtId="164" fontId="10" fillId="4" borderId="1" xfId="0" applyNumberFormat="1" applyFont="1" applyFill="1" applyBorder="1" applyAlignment="1">
      <alignment horizontal="left" vertical="center"/>
    </xf>
    <xf numFmtId="3" fontId="10" fillId="4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4" fontId="10" fillId="5" borderId="1" xfId="0" applyNumberFormat="1" applyFont="1" applyFill="1" applyBorder="1" applyAlignment="1">
      <alignment horizontal="left" vertical="center"/>
    </xf>
    <xf numFmtId="164" fontId="10" fillId="5" borderId="1" xfId="0" applyNumberFormat="1" applyFont="1" applyFill="1" applyBorder="1" applyAlignment="1">
      <alignment horizontal="left" vertical="center"/>
    </xf>
    <xf numFmtId="3" fontId="10" fillId="5" borderId="1" xfId="0" applyNumberFormat="1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4" fontId="13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4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4" fontId="10" fillId="4" borderId="0" xfId="0" applyNumberFormat="1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4" fontId="10" fillId="5" borderId="0" xfId="0" applyNumberFormat="1" applyFont="1" applyFill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7B2D8B"/>
      <rgbColor rgb="FFFFFACC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CCFFCC"/>
      <rgbColor rgb="FFFFE5CC"/>
      <rgbColor rgb="FFAABBDD"/>
      <rgbColor rgb="FFF5F6FA"/>
      <rgbColor rgb="FFF9F9F9"/>
      <rgbColor rgb="FFFFCCCC"/>
      <rgbColor rgb="FF4F81BD"/>
      <rgbColor rgb="FF33CCCC"/>
      <rgbColor rgb="FF9BBB59"/>
      <rgbColor rgb="FFFFCC00"/>
      <rgbColor rgb="FFFF9900"/>
      <rgbColor rgb="FFE67E22"/>
      <rgbColor rgb="FF8064A2"/>
      <rgbColor rgb="FFC9A84C"/>
      <rgbColor rgb="FF003366"/>
      <rgbColor rgb="FF1E8449"/>
      <rgbColor rgb="FF003300"/>
      <rgbColor rgb="FF333300"/>
      <rgbColor rgb="FFC0392B"/>
      <rgbColor rgb="FFC0504D"/>
      <rgbColor rgb="FF2E5B9A"/>
      <rgbColor rgb="FF1F2D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Net Revenue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Trends &amp; Charts'!$B$4</c:f>
              <c:strCache>
                <c:ptCount val="1"/>
                <c:pt idx="0">
                  <c:v>Net Revenue ($)</c:v>
                </c:pt>
              </c:strCache>
            </c:strRef>
          </c:tx>
          <c:spPr>
            <a:ln w="24840">
              <a:solidFill>
                <a:srgbClr val="2E5B9A"/>
              </a:solidFill>
              <a:round/>
            </a:ln>
          </c:spPr>
          <c:marker>
            <c:symbol val="none"/>
          </c:marker>
          <c:dLbls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 &amp; Charts'!$A$5:$A$16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'Market Trends &amp; Charts'!$B$5:$B$16</c:f>
              <c:numCache>
                <c:formatCode>#,##0</c:formatCode>
                <c:ptCount val="12"/>
                <c:pt idx="0">
                  <c:v>9574.5</c:v>
                </c:pt>
                <c:pt idx="1">
                  <c:v>9177.3700000000008</c:v>
                </c:pt>
                <c:pt idx="2">
                  <c:v>8570.7999999999993</c:v>
                </c:pt>
                <c:pt idx="3">
                  <c:v>10711.96</c:v>
                </c:pt>
                <c:pt idx="4">
                  <c:v>9377.1299999999992</c:v>
                </c:pt>
                <c:pt idx="5">
                  <c:v>14547.64</c:v>
                </c:pt>
                <c:pt idx="6">
                  <c:v>9132.7099999999991</c:v>
                </c:pt>
                <c:pt idx="7">
                  <c:v>10217.15</c:v>
                </c:pt>
                <c:pt idx="8">
                  <c:v>10329.200000000001</c:v>
                </c:pt>
                <c:pt idx="9">
                  <c:v>11285.62</c:v>
                </c:pt>
                <c:pt idx="10">
                  <c:v>14560.13</c:v>
                </c:pt>
                <c:pt idx="11">
                  <c:v>15408.7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BE-4512-9964-5F222C711F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842224"/>
        <c:axId val="64553176"/>
      </c:lineChart>
      <c:catAx>
        <c:axId val="96842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53176"/>
        <c:crosses val="autoZero"/>
        <c:auto val="1"/>
        <c:lblAlgn val="ctr"/>
        <c:lblOffset val="100"/>
        <c:noMultiLvlLbl val="0"/>
      </c:catAx>
      <c:valAx>
        <c:axId val="64553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Net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8422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Trends &amp; Charts'!$L$4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2E5B9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 &amp; Charts'!$K$5:$K$9</c:f>
              <c:strCache>
                <c:ptCount val="5"/>
                <c:pt idx="0">
                  <c:v>Blazers</c:v>
                </c:pt>
                <c:pt idx="1">
                  <c:v>Knitwear</c:v>
                </c:pt>
                <c:pt idx="2">
                  <c:v>Dresses</c:v>
                </c:pt>
                <c:pt idx="3">
                  <c:v>Trousers</c:v>
                </c:pt>
                <c:pt idx="4">
                  <c:v>Shirts</c:v>
                </c:pt>
              </c:strCache>
            </c:strRef>
          </c:cat>
          <c:val>
            <c:numRef>
              <c:f>'Market Trends &amp; Charts'!$L$5:$L$9</c:f>
              <c:numCache>
                <c:formatCode>#,##0.00</c:formatCode>
                <c:ptCount val="5"/>
                <c:pt idx="0">
                  <c:v>34011.57</c:v>
                </c:pt>
                <c:pt idx="1">
                  <c:v>27227.56</c:v>
                </c:pt>
                <c:pt idx="2">
                  <c:v>25278.29</c:v>
                </c:pt>
                <c:pt idx="3">
                  <c:v>25021.81</c:v>
                </c:pt>
                <c:pt idx="4">
                  <c:v>21353.68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0-4C34-89F0-D77374086950}"/>
            </c:ext>
          </c:extLst>
        </c:ser>
        <c:ser>
          <c:idx val="1"/>
          <c:order val="1"/>
          <c:tx>
            <c:strRef>
              <c:f>'Market Trends &amp; Charts'!$M$4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C9A8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2.133333631962713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F0-4C34-89F0-D77374086950}"/>
                </c:ext>
              </c:extLst>
            </c:dLbl>
            <c:dLbl>
              <c:idx val="1"/>
              <c:layout>
                <c:manualLayout>
                  <c:x val="1.7777780266355944E-2"/>
                  <c:y val="1.29449882170028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F0-4C34-89F0-D77374086950}"/>
                </c:ext>
              </c:extLst>
            </c:dLbl>
            <c:dLbl>
              <c:idx val="2"/>
              <c:layout>
                <c:manualLayout>
                  <c:x val="1.7777780266355944E-2"/>
                  <c:y val="-7.910734747130005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F0-4C34-89F0-D77374086950}"/>
                </c:ext>
              </c:extLst>
            </c:dLbl>
            <c:dLbl>
              <c:idx val="3"/>
              <c:layout>
                <c:manualLayout>
                  <c:x val="1.600000223972034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1F0-4C34-89F0-D77374086950}"/>
                </c:ext>
              </c:extLst>
            </c:dLbl>
            <c:dLbl>
              <c:idx val="4"/>
              <c:layout>
                <c:manualLayout>
                  <c:x val="1.24444461864491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F0-4C34-89F0-D77374086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 &amp; Charts'!$K$5:$K$9</c:f>
              <c:strCache>
                <c:ptCount val="5"/>
                <c:pt idx="0">
                  <c:v>Blazers</c:v>
                </c:pt>
                <c:pt idx="1">
                  <c:v>Knitwear</c:v>
                </c:pt>
                <c:pt idx="2">
                  <c:v>Dresses</c:v>
                </c:pt>
                <c:pt idx="3">
                  <c:v>Trousers</c:v>
                </c:pt>
                <c:pt idx="4">
                  <c:v>Shirts</c:v>
                </c:pt>
              </c:strCache>
            </c:strRef>
          </c:cat>
          <c:val>
            <c:numRef>
              <c:f>'Market Trends &amp; Charts'!$M$5:$M$9</c:f>
              <c:numCache>
                <c:formatCode>#,##0.00</c:formatCode>
                <c:ptCount val="5"/>
                <c:pt idx="0">
                  <c:v>17653.3</c:v>
                </c:pt>
                <c:pt idx="1">
                  <c:v>15123.03</c:v>
                </c:pt>
                <c:pt idx="2">
                  <c:v>13645.05</c:v>
                </c:pt>
                <c:pt idx="3">
                  <c:v>13761.6</c:v>
                </c:pt>
                <c:pt idx="4">
                  <c:v>12144.01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F0-4C34-89F0-D773740869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1450778"/>
        <c:axId val="76948612"/>
      </c:barChart>
      <c:catAx>
        <c:axId val="61450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948612"/>
        <c:crosses val="autoZero"/>
        <c:auto val="1"/>
        <c:lblAlgn val="ctr"/>
        <c:lblOffset val="100"/>
        <c:noMultiLvlLbl val="0"/>
      </c:catAx>
      <c:valAx>
        <c:axId val="76948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507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'Market Trends &amp; Charts'!$L$22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E5A-4453-BF30-345AABAD299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E5A-4453-BF30-345AABAD299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E5A-4453-BF30-345AABAD299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E5A-4453-BF30-345AABAD29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'Market Trends &amp; Charts'!$K$23:$K$26</c:f>
              <c:strCache>
                <c:ptCount val="4"/>
                <c:pt idx="0">
                  <c:v>Online</c:v>
                </c:pt>
                <c:pt idx="1">
                  <c:v>Store</c:v>
                </c:pt>
                <c:pt idx="2">
                  <c:v>Marketplace</c:v>
                </c:pt>
                <c:pt idx="3">
                  <c:v>Instagram</c:v>
                </c:pt>
              </c:strCache>
            </c:strRef>
          </c:cat>
          <c:val>
            <c:numRef>
              <c:f>'Market Trends &amp; Charts'!$L$23:$L$26</c:f>
              <c:numCache>
                <c:formatCode>#,##0.00</c:formatCode>
                <c:ptCount val="4"/>
                <c:pt idx="0">
                  <c:v>44041.3</c:v>
                </c:pt>
                <c:pt idx="1">
                  <c:v>32463.81</c:v>
                </c:pt>
                <c:pt idx="2">
                  <c:v>29223.83</c:v>
                </c:pt>
                <c:pt idx="3">
                  <c:v>27163.97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5A-4453-BF30-345AABAD29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390524</xdr:rowOff>
    </xdr:from>
    <xdr:to>
      <xdr:col>6</xdr:col>
      <xdr:colOff>781050</xdr:colOff>
      <xdr:row>16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781050</xdr:colOff>
      <xdr:row>0</xdr:row>
      <xdr:rowOff>361951</xdr:rowOff>
    </xdr:from>
    <xdr:to>
      <xdr:col>13</xdr:col>
      <xdr:colOff>457199</xdr:colOff>
      <xdr:row>16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781050</xdr:colOff>
      <xdr:row>16</xdr:row>
      <xdr:rowOff>38099</xdr:rowOff>
    </xdr:from>
    <xdr:to>
      <xdr:col>12</xdr:col>
      <xdr:colOff>242850</xdr:colOff>
      <xdr:row>38</xdr:row>
      <xdr:rowOff>80894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D4E"/>
  </sheetPr>
  <dimension ref="A1:M20"/>
  <sheetViews>
    <sheetView zoomScaleNormal="100" workbookViewId="0">
      <pane ySplit="4" topLeftCell="A14" activePane="bottomLeft" state="frozen"/>
      <selection pane="bottomLeft" activeCell="E21" sqref="E21"/>
    </sheetView>
  </sheetViews>
  <sheetFormatPr defaultColWidth="8.7109375" defaultRowHeight="15" x14ac:dyDescent="0.25"/>
  <cols>
    <col min="1" max="1" width="22" customWidth="1"/>
    <col min="2" max="3" width="18" customWidth="1"/>
    <col min="4" max="4" width="12" customWidth="1"/>
    <col min="5" max="6" width="18" customWidth="1"/>
    <col min="7" max="8" width="14" customWidth="1"/>
  </cols>
  <sheetData>
    <row r="1" spans="1:13" ht="7.5" customHeight="1" x14ac:dyDescent="0.25">
      <c r="A1" s="14"/>
      <c r="B1" s="14"/>
      <c r="C1" s="14"/>
      <c r="D1" s="14"/>
      <c r="E1" s="14"/>
      <c r="F1" s="14"/>
      <c r="G1" s="14"/>
      <c r="H1" s="14"/>
    </row>
    <row r="2" spans="1:13" ht="37.5" customHeight="1" x14ac:dyDescent="0.25">
      <c r="A2" s="13" t="s">
        <v>0</v>
      </c>
      <c r="B2" s="13"/>
      <c r="C2" s="13"/>
      <c r="D2" s="13"/>
      <c r="E2" s="13"/>
      <c r="F2" s="13"/>
      <c r="G2" s="13"/>
      <c r="H2" s="13"/>
    </row>
    <row r="3" spans="1:13" ht="21.75" customHeight="1" x14ac:dyDescent="0.25">
      <c r="A3" s="12" t="s">
        <v>1</v>
      </c>
      <c r="B3" s="12"/>
      <c r="C3" s="12"/>
      <c r="D3" s="12"/>
      <c r="E3" s="12"/>
      <c r="F3" s="12"/>
      <c r="G3" s="12"/>
      <c r="H3" s="12"/>
    </row>
    <row r="5" spans="1:13" ht="24.75" customHeight="1" x14ac:dyDescent="0.25">
      <c r="A5" s="15" t="s">
        <v>2</v>
      </c>
      <c r="B5" s="15" t="s">
        <v>3</v>
      </c>
      <c r="C5" s="15" t="s">
        <v>4</v>
      </c>
      <c r="D5" s="15" t="s">
        <v>5</v>
      </c>
      <c r="E5" s="16" t="s">
        <v>6</v>
      </c>
      <c r="F5" s="16" t="s">
        <v>7</v>
      </c>
      <c r="G5" s="16" t="s">
        <v>8</v>
      </c>
      <c r="H5" s="16" t="s">
        <v>9</v>
      </c>
    </row>
    <row r="6" spans="1:13" ht="30" customHeight="1" x14ac:dyDescent="0.25">
      <c r="A6" s="17">
        <v>132892.91</v>
      </c>
      <c r="B6" s="17">
        <v>72326.990000000005</v>
      </c>
      <c r="C6" s="18">
        <v>0.544250178583643</v>
      </c>
      <c r="D6" s="19">
        <v>750</v>
      </c>
      <c r="E6" s="19">
        <v>2078</v>
      </c>
      <c r="F6" s="17">
        <v>177.19054666666699</v>
      </c>
      <c r="G6" s="18">
        <v>5.4666666666666697E-2</v>
      </c>
      <c r="H6" s="18">
        <v>1.762E-2</v>
      </c>
    </row>
    <row r="8" spans="1:13" ht="21.75" customHeight="1" x14ac:dyDescent="0.25">
      <c r="A8" s="11" t="s">
        <v>10</v>
      </c>
      <c r="B8" s="11"/>
      <c r="C8" s="11"/>
      <c r="D8" s="11"/>
      <c r="E8" s="11"/>
      <c r="F8" s="11"/>
      <c r="G8" s="11"/>
      <c r="H8" s="11"/>
    </row>
    <row r="9" spans="1:13" x14ac:dyDescent="0.25">
      <c r="A9" s="20" t="s">
        <v>11</v>
      </c>
      <c r="B9" s="20" t="s">
        <v>12</v>
      </c>
      <c r="C9" s="20" t="s">
        <v>13</v>
      </c>
      <c r="D9" s="20" t="s">
        <v>14</v>
      </c>
      <c r="E9" s="20" t="s">
        <v>15</v>
      </c>
      <c r="F9" s="20" t="s">
        <v>16</v>
      </c>
      <c r="G9" s="20" t="s">
        <v>17</v>
      </c>
      <c r="H9" s="20" t="s">
        <v>18</v>
      </c>
      <c r="I9" s="20" t="s">
        <v>19</v>
      </c>
      <c r="J9" s="20" t="s">
        <v>20</v>
      </c>
      <c r="K9" s="20" t="s">
        <v>21</v>
      </c>
      <c r="L9" s="20" t="s">
        <v>22</v>
      </c>
      <c r="M9" s="20" t="s">
        <v>23</v>
      </c>
    </row>
    <row r="10" spans="1:13" ht="19.5" customHeight="1" x14ac:dyDescent="0.25">
      <c r="A10" s="21" t="s">
        <v>24</v>
      </c>
      <c r="B10" s="22">
        <v>9574.5</v>
      </c>
      <c r="C10" s="23">
        <v>9177.3700000000008</v>
      </c>
      <c r="D10" s="22">
        <v>8570.7999999999993</v>
      </c>
      <c r="E10" s="23">
        <v>10711.96</v>
      </c>
      <c r="F10" s="22">
        <v>9377.1299999999992</v>
      </c>
      <c r="G10" s="23">
        <v>14547.64</v>
      </c>
      <c r="H10" s="22">
        <v>9132.7099999999991</v>
      </c>
      <c r="I10" s="23">
        <v>10217.15</v>
      </c>
      <c r="J10" s="22">
        <v>10329.200000000001</v>
      </c>
      <c r="K10" s="23">
        <v>11285.62</v>
      </c>
      <c r="L10" s="22">
        <v>14560.13</v>
      </c>
      <c r="M10" s="23">
        <v>15408.7</v>
      </c>
    </row>
    <row r="11" spans="1:13" ht="19.5" customHeight="1" x14ac:dyDescent="0.25">
      <c r="A11" s="24" t="s">
        <v>25</v>
      </c>
      <c r="B11" s="25" t="s">
        <v>26</v>
      </c>
      <c r="C11" s="26">
        <v>-4.0999999999999996</v>
      </c>
      <c r="D11" s="26">
        <v>-6.6</v>
      </c>
      <c r="E11" s="27">
        <v>25</v>
      </c>
      <c r="F11" s="26">
        <v>-12.5</v>
      </c>
      <c r="G11" s="27">
        <v>55.1</v>
      </c>
      <c r="H11" s="26">
        <v>-37.200000000000003</v>
      </c>
      <c r="I11" s="27">
        <v>11.9</v>
      </c>
      <c r="J11" s="27">
        <v>1.1000000000000001</v>
      </c>
      <c r="K11" s="27">
        <v>9.3000000000000007</v>
      </c>
      <c r="L11" s="27">
        <v>29</v>
      </c>
      <c r="M11" s="27">
        <v>5.8</v>
      </c>
    </row>
    <row r="13" spans="1:13" ht="21.75" customHeight="1" x14ac:dyDescent="0.25">
      <c r="A13" s="11" t="s">
        <v>27</v>
      </c>
      <c r="B13" s="11"/>
      <c r="C13" s="11"/>
      <c r="D13" s="11"/>
      <c r="E13" s="11" t="s">
        <v>28</v>
      </c>
      <c r="F13" s="11"/>
      <c r="G13" s="11"/>
      <c r="H13" s="11"/>
    </row>
    <row r="14" spans="1:13" x14ac:dyDescent="0.25">
      <c r="A14" s="20" t="s">
        <v>29</v>
      </c>
      <c r="B14" s="20" t="s">
        <v>24</v>
      </c>
      <c r="C14" s="20" t="s">
        <v>30</v>
      </c>
      <c r="D14" s="20" t="s">
        <v>31</v>
      </c>
      <c r="E14" s="20" t="s">
        <v>32</v>
      </c>
      <c r="F14" s="20" t="s">
        <v>24</v>
      </c>
      <c r="G14" s="20" t="s">
        <v>33</v>
      </c>
      <c r="H14" s="20" t="s">
        <v>34</v>
      </c>
    </row>
    <row r="15" spans="1:13" x14ac:dyDescent="0.25">
      <c r="A15" s="28" t="s">
        <v>35</v>
      </c>
      <c r="B15" s="29">
        <v>34011.57</v>
      </c>
      <c r="C15" s="29">
        <v>17653.3</v>
      </c>
      <c r="D15" s="30">
        <v>0.51900000000000002</v>
      </c>
      <c r="E15" s="28" t="s">
        <v>36</v>
      </c>
      <c r="F15" s="29">
        <v>44041.3</v>
      </c>
      <c r="G15" s="31">
        <v>710</v>
      </c>
      <c r="H15" s="30">
        <v>0.33139999999999997</v>
      </c>
    </row>
    <row r="16" spans="1:13" x14ac:dyDescent="0.25">
      <c r="A16" s="32" t="s">
        <v>37</v>
      </c>
      <c r="B16" s="33">
        <v>27227.56</v>
      </c>
      <c r="C16" s="33">
        <v>15123.03</v>
      </c>
      <c r="D16" s="34">
        <v>0.5554</v>
      </c>
      <c r="E16" s="32" t="s">
        <v>38</v>
      </c>
      <c r="F16" s="33">
        <v>32463.81</v>
      </c>
      <c r="G16" s="35">
        <v>489</v>
      </c>
      <c r="H16" s="34">
        <v>0.24429999999999999</v>
      </c>
    </row>
    <row r="17" spans="1:8" x14ac:dyDescent="0.25">
      <c r="A17" s="28" t="s">
        <v>39</v>
      </c>
      <c r="B17" s="29">
        <v>25278.29</v>
      </c>
      <c r="C17" s="29">
        <v>13645.05</v>
      </c>
      <c r="D17" s="30">
        <v>0.53979999999999995</v>
      </c>
      <c r="E17" s="28" t="s">
        <v>40</v>
      </c>
      <c r="F17" s="29">
        <v>29223.83</v>
      </c>
      <c r="G17" s="31">
        <v>464</v>
      </c>
      <c r="H17" s="30">
        <v>0.21990000000000001</v>
      </c>
    </row>
    <row r="18" spans="1:8" x14ac:dyDescent="0.25">
      <c r="A18" s="32" t="s">
        <v>41</v>
      </c>
      <c r="B18" s="33">
        <v>25021.81</v>
      </c>
      <c r="C18" s="33">
        <v>13761.6</v>
      </c>
      <c r="D18" s="34">
        <v>0.55000000000000004</v>
      </c>
      <c r="E18" s="32" t="s">
        <v>42</v>
      </c>
      <c r="F18" s="33">
        <v>27163.97</v>
      </c>
      <c r="G18" s="35">
        <v>415</v>
      </c>
      <c r="H18" s="34">
        <v>0.2044</v>
      </c>
    </row>
    <row r="19" spans="1:8" x14ac:dyDescent="0.25">
      <c r="A19" s="28" t="s">
        <v>43</v>
      </c>
      <c r="B19" s="29">
        <v>21353.68</v>
      </c>
      <c r="C19" s="29">
        <v>12144.01</v>
      </c>
      <c r="D19" s="30">
        <v>0.56869999999999998</v>
      </c>
      <c r="E19" s="28"/>
      <c r="F19" s="29"/>
      <c r="G19" s="31"/>
      <c r="H19" s="30"/>
    </row>
    <row r="20" spans="1:8" x14ac:dyDescent="0.25">
      <c r="A20" s="36" t="s">
        <v>44</v>
      </c>
      <c r="B20" s="37">
        <v>132892.91</v>
      </c>
      <c r="C20" s="37">
        <v>72326.990000000005</v>
      </c>
      <c r="D20" s="38">
        <v>0.54430000000000001</v>
      </c>
      <c r="E20" s="36" t="s">
        <v>44</v>
      </c>
      <c r="F20" s="36">
        <v>132892.91</v>
      </c>
      <c r="G20" s="36">
        <v>2078</v>
      </c>
      <c r="H20" s="36" t="s">
        <v>45</v>
      </c>
    </row>
  </sheetData>
  <mergeCells count="5">
    <mergeCell ref="A2:H2"/>
    <mergeCell ref="A3:H3"/>
    <mergeCell ref="A8:H8"/>
    <mergeCell ref="A13:D13"/>
    <mergeCell ref="E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B1:H85"/>
  <sheetViews>
    <sheetView zoomScaleNormal="100" workbookViewId="0"/>
  </sheetViews>
  <sheetFormatPr defaultColWidth="8.7109375" defaultRowHeight="15" x14ac:dyDescent="0.25"/>
  <cols>
    <col min="1" max="1" width="3" customWidth="1"/>
    <col min="2" max="2" width="26" customWidth="1"/>
    <col min="3" max="7" width="22" customWidth="1"/>
    <col min="8" max="8" width="18" customWidth="1"/>
  </cols>
  <sheetData>
    <row r="1" spans="2:8" ht="36" customHeight="1" x14ac:dyDescent="0.25">
      <c r="B1" s="10" t="s">
        <v>46</v>
      </c>
      <c r="C1" s="10"/>
      <c r="D1" s="10"/>
      <c r="E1" s="10"/>
      <c r="F1" s="10"/>
      <c r="G1" s="10"/>
      <c r="H1" s="10"/>
    </row>
    <row r="3" spans="2:8" ht="27.75" customHeight="1" x14ac:dyDescent="0.25">
      <c r="B3" s="9" t="s">
        <v>47</v>
      </c>
      <c r="C3" s="9"/>
      <c r="D3" s="9"/>
      <c r="E3" s="9"/>
      <c r="F3" s="9"/>
      <c r="G3" s="9"/>
      <c r="H3" s="9"/>
    </row>
    <row r="4" spans="2:8" ht="39.75" customHeight="1" x14ac:dyDescent="0.25">
      <c r="B4" s="39" t="s">
        <v>48</v>
      </c>
      <c r="C4" s="8" t="s">
        <v>49</v>
      </c>
      <c r="D4" s="8"/>
      <c r="E4" s="8"/>
      <c r="F4" s="8"/>
      <c r="G4" s="8"/>
      <c r="H4" s="8"/>
    </row>
    <row r="5" spans="2:8" ht="39.75" customHeight="1" x14ac:dyDescent="0.25">
      <c r="B5" s="40" t="s">
        <v>50</v>
      </c>
      <c r="C5" s="7" t="s">
        <v>51</v>
      </c>
      <c r="D5" s="7"/>
      <c r="E5" s="7"/>
      <c r="F5" s="7"/>
      <c r="G5" s="7"/>
      <c r="H5" s="7"/>
    </row>
    <row r="6" spans="2:8" ht="39.75" customHeight="1" x14ac:dyDescent="0.25">
      <c r="B6" s="39" t="s">
        <v>52</v>
      </c>
      <c r="C6" s="8" t="s">
        <v>53</v>
      </c>
      <c r="D6" s="8"/>
      <c r="E6" s="8"/>
      <c r="F6" s="8"/>
      <c r="G6" s="8"/>
      <c r="H6" s="8"/>
    </row>
    <row r="7" spans="2:8" ht="39.75" customHeight="1" x14ac:dyDescent="0.25">
      <c r="B7" s="40" t="s">
        <v>54</v>
      </c>
      <c r="C7" s="6" t="s">
        <v>55</v>
      </c>
      <c r="D7" s="6"/>
      <c r="E7" s="6"/>
      <c r="F7" s="6"/>
      <c r="G7" s="6"/>
      <c r="H7" s="6"/>
    </row>
    <row r="8" spans="2:8" ht="19.5" customHeight="1" x14ac:dyDescent="0.25">
      <c r="B8" s="20" t="s">
        <v>56</v>
      </c>
      <c r="C8" s="20" t="s">
        <v>24</v>
      </c>
      <c r="D8" s="20" t="s">
        <v>57</v>
      </c>
      <c r="E8" s="20" t="s">
        <v>58</v>
      </c>
    </row>
    <row r="9" spans="2:8" ht="18" customHeight="1" x14ac:dyDescent="0.25">
      <c r="B9" s="41" t="s">
        <v>59</v>
      </c>
      <c r="C9" s="23">
        <v>29447.29</v>
      </c>
      <c r="D9" s="42" t="s">
        <v>60</v>
      </c>
      <c r="E9" s="42">
        <v>1</v>
      </c>
    </row>
    <row r="10" spans="2:8" ht="18" customHeight="1" x14ac:dyDescent="0.25">
      <c r="B10" s="43" t="s">
        <v>61</v>
      </c>
      <c r="C10" s="22">
        <v>26609.55</v>
      </c>
      <c r="D10" s="44" t="s">
        <v>62</v>
      </c>
      <c r="E10" s="44">
        <v>2</v>
      </c>
    </row>
    <row r="11" spans="2:8" ht="18" customHeight="1" x14ac:dyDescent="0.25">
      <c r="B11" s="41" t="s">
        <v>63</v>
      </c>
      <c r="C11" s="23">
        <v>23137.360000000001</v>
      </c>
      <c r="D11" s="42" t="s">
        <v>64</v>
      </c>
      <c r="E11" s="42">
        <v>3</v>
      </c>
    </row>
    <row r="12" spans="2:8" ht="18" customHeight="1" x14ac:dyDescent="0.25">
      <c r="B12" s="43" t="s">
        <v>65</v>
      </c>
      <c r="C12" s="22">
        <v>19429.439999999999</v>
      </c>
      <c r="D12" s="44" t="s">
        <v>66</v>
      </c>
      <c r="E12" s="44">
        <v>4</v>
      </c>
    </row>
    <row r="13" spans="2:8" ht="18" customHeight="1" x14ac:dyDescent="0.25">
      <c r="B13" s="41" t="s">
        <v>67</v>
      </c>
      <c r="C13" s="23">
        <v>18153.21</v>
      </c>
      <c r="D13" s="42" t="s">
        <v>68</v>
      </c>
      <c r="E13" s="42">
        <v>5</v>
      </c>
    </row>
    <row r="14" spans="2:8" ht="18" customHeight="1" x14ac:dyDescent="0.25">
      <c r="B14" s="43" t="s">
        <v>69</v>
      </c>
      <c r="C14" s="22">
        <v>16116.06</v>
      </c>
      <c r="D14" s="44" t="s">
        <v>70</v>
      </c>
      <c r="E14" s="44">
        <v>6</v>
      </c>
    </row>
    <row r="15" spans="2:8" ht="9.75" customHeight="1" x14ac:dyDescent="0.25"/>
    <row r="16" spans="2:8" ht="27.75" customHeight="1" x14ac:dyDescent="0.25">
      <c r="B16" s="9" t="s">
        <v>71</v>
      </c>
      <c r="C16" s="9"/>
      <c r="D16" s="9"/>
      <c r="E16" s="9"/>
      <c r="F16" s="9"/>
      <c r="G16" s="9"/>
      <c r="H16" s="9"/>
    </row>
    <row r="17" spans="2:8" ht="39.75" customHeight="1" x14ac:dyDescent="0.25">
      <c r="B17" s="39" t="s">
        <v>72</v>
      </c>
      <c r="C17" s="5" t="s">
        <v>73</v>
      </c>
      <c r="D17" s="5"/>
      <c r="E17" s="5"/>
      <c r="F17" s="5"/>
      <c r="G17" s="5"/>
      <c r="H17" s="5"/>
    </row>
    <row r="18" spans="2:8" ht="39.75" customHeight="1" x14ac:dyDescent="0.25">
      <c r="B18" s="40" t="s">
        <v>74</v>
      </c>
      <c r="C18" s="6" t="s">
        <v>75</v>
      </c>
      <c r="D18" s="6"/>
      <c r="E18" s="6"/>
      <c r="F18" s="6"/>
      <c r="G18" s="6"/>
      <c r="H18" s="6"/>
    </row>
    <row r="19" spans="2:8" ht="39.75" customHeight="1" x14ac:dyDescent="0.25">
      <c r="B19" s="39" t="s">
        <v>76</v>
      </c>
      <c r="C19" s="8" t="s">
        <v>77</v>
      </c>
      <c r="D19" s="8"/>
      <c r="E19" s="8"/>
      <c r="F19" s="8"/>
      <c r="G19" s="8"/>
      <c r="H19" s="8"/>
    </row>
    <row r="20" spans="2:8" ht="39.75" customHeight="1" x14ac:dyDescent="0.25">
      <c r="B20" s="40" t="s">
        <v>78</v>
      </c>
      <c r="C20" s="6" t="s">
        <v>79</v>
      </c>
      <c r="D20" s="6"/>
      <c r="E20" s="6"/>
      <c r="F20" s="6"/>
      <c r="G20" s="6"/>
      <c r="H20" s="6"/>
    </row>
    <row r="21" spans="2:8" ht="39.75" customHeight="1" x14ac:dyDescent="0.25">
      <c r="B21" s="39" t="s">
        <v>80</v>
      </c>
      <c r="C21" s="8" t="s">
        <v>81</v>
      </c>
      <c r="D21" s="8"/>
      <c r="E21" s="8"/>
      <c r="F21" s="8"/>
      <c r="G21" s="8"/>
      <c r="H21" s="8"/>
    </row>
    <row r="22" spans="2:8" ht="19.5" customHeight="1" x14ac:dyDescent="0.25">
      <c r="B22" s="20" t="s">
        <v>82</v>
      </c>
      <c r="C22" s="20" t="s">
        <v>24</v>
      </c>
      <c r="D22" s="20" t="s">
        <v>83</v>
      </c>
      <c r="E22" s="20" t="s">
        <v>84</v>
      </c>
    </row>
    <row r="23" spans="2:8" ht="18" customHeight="1" x14ac:dyDescent="0.25">
      <c r="B23" s="41" t="s">
        <v>85</v>
      </c>
      <c r="C23" s="23">
        <v>27322.67</v>
      </c>
      <c r="D23" s="42" t="s">
        <v>26</v>
      </c>
      <c r="E23" s="23">
        <v>27322.67</v>
      </c>
    </row>
    <row r="24" spans="2:8" ht="18" customHeight="1" x14ac:dyDescent="0.25">
      <c r="B24" s="43" t="s">
        <v>86</v>
      </c>
      <c r="C24" s="22">
        <v>34636.730000000003</v>
      </c>
      <c r="D24" s="44" t="s">
        <v>87</v>
      </c>
      <c r="E24" s="22">
        <v>61959.4</v>
      </c>
    </row>
    <row r="25" spans="2:8" ht="18" customHeight="1" x14ac:dyDescent="0.25">
      <c r="B25" s="41" t="s">
        <v>88</v>
      </c>
      <c r="C25" s="23">
        <v>29679.06</v>
      </c>
      <c r="D25" s="42" t="s">
        <v>89</v>
      </c>
      <c r="E25" s="23">
        <v>91638.46</v>
      </c>
    </row>
    <row r="26" spans="2:8" ht="18" customHeight="1" x14ac:dyDescent="0.25">
      <c r="B26" s="43" t="s">
        <v>90</v>
      </c>
      <c r="C26" s="22">
        <v>41254.449999999997</v>
      </c>
      <c r="D26" s="44" t="s">
        <v>91</v>
      </c>
      <c r="E26" s="22">
        <v>132892.91</v>
      </c>
    </row>
    <row r="27" spans="2:8" ht="9.75" customHeight="1" x14ac:dyDescent="0.25"/>
    <row r="28" spans="2:8" ht="27.75" customHeight="1" x14ac:dyDescent="0.25">
      <c r="B28" s="9" t="s">
        <v>92</v>
      </c>
      <c r="C28" s="9"/>
      <c r="D28" s="9"/>
      <c r="E28" s="9"/>
      <c r="F28" s="9"/>
      <c r="G28" s="9"/>
      <c r="H28" s="9"/>
    </row>
    <row r="29" spans="2:8" ht="39.75" customHeight="1" x14ac:dyDescent="0.25">
      <c r="B29" s="39" t="s">
        <v>93</v>
      </c>
      <c r="C29" s="8" t="s">
        <v>94</v>
      </c>
      <c r="D29" s="8"/>
      <c r="E29" s="8"/>
      <c r="F29" s="8"/>
      <c r="G29" s="8"/>
      <c r="H29" s="8"/>
    </row>
    <row r="30" spans="2:8" ht="39.75" customHeight="1" x14ac:dyDescent="0.25">
      <c r="B30" s="40" t="s">
        <v>95</v>
      </c>
      <c r="C30" s="6" t="s">
        <v>96</v>
      </c>
      <c r="D30" s="6"/>
      <c r="E30" s="6"/>
      <c r="F30" s="6"/>
      <c r="G30" s="6"/>
      <c r="H30" s="6"/>
    </row>
    <row r="31" spans="2:8" ht="39.75" customHeight="1" x14ac:dyDescent="0.25">
      <c r="B31" s="39" t="s">
        <v>97</v>
      </c>
      <c r="C31" s="8" t="s">
        <v>98</v>
      </c>
      <c r="D31" s="8"/>
      <c r="E31" s="8"/>
      <c r="F31" s="8"/>
      <c r="G31" s="8"/>
      <c r="H31" s="8"/>
    </row>
    <row r="32" spans="2:8" ht="39.75" customHeight="1" x14ac:dyDescent="0.25">
      <c r="B32" s="40" t="s">
        <v>99</v>
      </c>
      <c r="C32" s="6" t="s">
        <v>100</v>
      </c>
      <c r="D32" s="6"/>
      <c r="E32" s="6"/>
      <c r="F32" s="6"/>
      <c r="G32" s="6"/>
      <c r="H32" s="6"/>
    </row>
    <row r="33" spans="2:8" ht="19.5" customHeight="1" x14ac:dyDescent="0.25">
      <c r="B33" s="20" t="s">
        <v>101</v>
      </c>
      <c r="C33" s="20" t="s">
        <v>24</v>
      </c>
      <c r="D33" s="20" t="s">
        <v>34</v>
      </c>
      <c r="E33" s="20" t="s">
        <v>102</v>
      </c>
    </row>
    <row r="34" spans="2:8" ht="18" customHeight="1" x14ac:dyDescent="0.25">
      <c r="B34" s="41" t="s">
        <v>103</v>
      </c>
      <c r="C34" s="23">
        <v>37506.559999999998</v>
      </c>
      <c r="D34" s="42" t="s">
        <v>104</v>
      </c>
      <c r="E34" s="42">
        <v>34</v>
      </c>
    </row>
    <row r="35" spans="2:8" ht="18" customHeight="1" x14ac:dyDescent="0.25">
      <c r="B35" s="43" t="s">
        <v>105</v>
      </c>
      <c r="C35" s="22">
        <v>32090.03</v>
      </c>
      <c r="D35" s="44" t="s">
        <v>106</v>
      </c>
      <c r="E35" s="44">
        <v>29</v>
      </c>
    </row>
    <row r="36" spans="2:8" ht="18" customHeight="1" x14ac:dyDescent="0.25">
      <c r="B36" s="41" t="s">
        <v>107</v>
      </c>
      <c r="C36" s="23">
        <v>25925.61</v>
      </c>
      <c r="D36" s="42" t="s">
        <v>108</v>
      </c>
      <c r="E36" s="42">
        <v>24</v>
      </c>
    </row>
    <row r="37" spans="2:8" ht="18" customHeight="1" x14ac:dyDescent="0.25">
      <c r="B37" s="43" t="s">
        <v>109</v>
      </c>
      <c r="C37" s="22">
        <v>18968.86</v>
      </c>
      <c r="D37" s="44" t="s">
        <v>110</v>
      </c>
      <c r="E37" s="44">
        <v>16</v>
      </c>
    </row>
    <row r="38" spans="2:8" ht="18" customHeight="1" x14ac:dyDescent="0.25">
      <c r="B38" s="41" t="s">
        <v>111</v>
      </c>
      <c r="C38" s="23">
        <v>18401.849999999999</v>
      </c>
      <c r="D38" s="42" t="s">
        <v>112</v>
      </c>
      <c r="E38" s="42">
        <v>17</v>
      </c>
    </row>
    <row r="39" spans="2:8" ht="9.75" customHeight="1" x14ac:dyDescent="0.25"/>
    <row r="40" spans="2:8" ht="27.75" customHeight="1" x14ac:dyDescent="0.25">
      <c r="B40" s="9" t="s">
        <v>113</v>
      </c>
      <c r="C40" s="9"/>
      <c r="D40" s="9"/>
      <c r="E40" s="9"/>
      <c r="F40" s="9"/>
      <c r="G40" s="9"/>
      <c r="H40" s="9"/>
    </row>
    <row r="41" spans="2:8" ht="39.75" customHeight="1" x14ac:dyDescent="0.25">
      <c r="B41" s="39" t="s">
        <v>114</v>
      </c>
      <c r="C41" s="8" t="s">
        <v>115</v>
      </c>
      <c r="D41" s="8"/>
      <c r="E41" s="8"/>
      <c r="F41" s="8"/>
      <c r="G41" s="8"/>
      <c r="H41" s="8"/>
    </row>
    <row r="42" spans="2:8" ht="39.75" customHeight="1" x14ac:dyDescent="0.25">
      <c r="B42" s="40" t="s">
        <v>116</v>
      </c>
      <c r="C42" s="7" t="s">
        <v>117</v>
      </c>
      <c r="D42" s="7"/>
      <c r="E42" s="7"/>
      <c r="F42" s="7"/>
      <c r="G42" s="7"/>
      <c r="H42" s="7"/>
    </row>
    <row r="43" spans="2:8" ht="39.75" customHeight="1" x14ac:dyDescent="0.25">
      <c r="B43" s="39" t="s">
        <v>118</v>
      </c>
      <c r="C43" s="5" t="s">
        <v>119</v>
      </c>
      <c r="D43" s="5"/>
      <c r="E43" s="5"/>
      <c r="F43" s="5"/>
      <c r="G43" s="5"/>
      <c r="H43" s="5"/>
    </row>
    <row r="44" spans="2:8" ht="39.75" customHeight="1" x14ac:dyDescent="0.25">
      <c r="B44" s="40" t="s">
        <v>120</v>
      </c>
      <c r="C44" s="6" t="s">
        <v>121</v>
      </c>
      <c r="D44" s="6"/>
      <c r="E44" s="6"/>
      <c r="F44" s="6"/>
      <c r="G44" s="6"/>
      <c r="H44" s="6"/>
    </row>
    <row r="45" spans="2:8" ht="39.75" customHeight="1" x14ac:dyDescent="0.25">
      <c r="B45" s="39" t="s">
        <v>122</v>
      </c>
      <c r="C45" s="8" t="s">
        <v>123</v>
      </c>
      <c r="D45" s="8"/>
      <c r="E45" s="8"/>
      <c r="F45" s="8"/>
      <c r="G45" s="8"/>
      <c r="H45" s="8"/>
    </row>
    <row r="46" spans="2:8" ht="19.5" customHeight="1" x14ac:dyDescent="0.25">
      <c r="B46" s="20" t="s">
        <v>124</v>
      </c>
      <c r="C46" s="20" t="s">
        <v>125</v>
      </c>
      <c r="D46" s="20" t="s">
        <v>126</v>
      </c>
      <c r="E46" s="20" t="s">
        <v>127</v>
      </c>
      <c r="F46" s="20" t="s">
        <v>128</v>
      </c>
    </row>
    <row r="47" spans="2:8" ht="18" customHeight="1" x14ac:dyDescent="0.25">
      <c r="B47" s="45" t="s">
        <v>129</v>
      </c>
      <c r="C47" s="46">
        <v>132893</v>
      </c>
      <c r="D47" s="46" t="s">
        <v>130</v>
      </c>
      <c r="E47" s="46">
        <v>148840</v>
      </c>
      <c r="F47" s="46">
        <v>80969</v>
      </c>
    </row>
    <row r="48" spans="2:8" ht="18" customHeight="1" x14ac:dyDescent="0.25">
      <c r="B48" s="41" t="s">
        <v>131</v>
      </c>
      <c r="C48" s="42">
        <v>132893</v>
      </c>
      <c r="D48" s="42" t="s">
        <v>132</v>
      </c>
      <c r="E48" s="42">
        <v>162129</v>
      </c>
      <c r="F48" s="42">
        <v>88198</v>
      </c>
    </row>
    <row r="49" spans="2:8" ht="18" customHeight="1" x14ac:dyDescent="0.25">
      <c r="B49" s="47" t="s">
        <v>133</v>
      </c>
      <c r="C49" s="48">
        <v>132893</v>
      </c>
      <c r="D49" s="48" t="s">
        <v>134</v>
      </c>
      <c r="E49" s="48">
        <v>179406</v>
      </c>
      <c r="F49" s="48">
        <v>97577</v>
      </c>
    </row>
    <row r="50" spans="2:8" ht="9.75" customHeight="1" x14ac:dyDescent="0.25"/>
    <row r="51" spans="2:8" ht="27.75" customHeight="1" x14ac:dyDescent="0.25">
      <c r="B51" s="9" t="s">
        <v>135</v>
      </c>
      <c r="C51" s="9"/>
      <c r="D51" s="9"/>
      <c r="E51" s="9"/>
      <c r="F51" s="9"/>
      <c r="G51" s="9"/>
      <c r="H51" s="9"/>
    </row>
    <row r="52" spans="2:8" ht="39.75" customHeight="1" x14ac:dyDescent="0.25">
      <c r="B52" s="39" t="s">
        <v>136</v>
      </c>
      <c r="C52" s="8" t="s">
        <v>137</v>
      </c>
      <c r="D52" s="8"/>
      <c r="E52" s="8"/>
      <c r="F52" s="8"/>
      <c r="G52" s="8"/>
      <c r="H52" s="8"/>
    </row>
    <row r="53" spans="2:8" ht="39.75" customHeight="1" x14ac:dyDescent="0.25">
      <c r="B53" s="40" t="s">
        <v>138</v>
      </c>
      <c r="C53" s="7" t="s">
        <v>139</v>
      </c>
      <c r="D53" s="7"/>
      <c r="E53" s="7"/>
      <c r="F53" s="7"/>
      <c r="G53" s="7"/>
      <c r="H53" s="7"/>
    </row>
    <row r="54" spans="2:8" ht="39.75" customHeight="1" x14ac:dyDescent="0.25">
      <c r="B54" s="39" t="s">
        <v>140</v>
      </c>
      <c r="C54" s="8" t="s">
        <v>141</v>
      </c>
      <c r="D54" s="8"/>
      <c r="E54" s="8"/>
      <c r="F54" s="8"/>
      <c r="G54" s="8"/>
      <c r="H54" s="8"/>
    </row>
    <row r="55" spans="2:8" ht="39.75" customHeight="1" x14ac:dyDescent="0.25">
      <c r="B55" s="40" t="s">
        <v>142</v>
      </c>
      <c r="C55" s="6" t="s">
        <v>143</v>
      </c>
      <c r="D55" s="6"/>
      <c r="E55" s="6"/>
      <c r="F55" s="6"/>
      <c r="G55" s="6"/>
      <c r="H55" s="6"/>
    </row>
    <row r="56" spans="2:8" ht="39.75" customHeight="1" x14ac:dyDescent="0.25">
      <c r="B56" s="39" t="s">
        <v>144</v>
      </c>
      <c r="C56" s="4" t="s">
        <v>145</v>
      </c>
      <c r="D56" s="4"/>
      <c r="E56" s="4"/>
      <c r="F56" s="4"/>
      <c r="G56" s="4"/>
      <c r="H56" s="4"/>
    </row>
    <row r="57" spans="2:8" ht="19.5" customHeight="1" x14ac:dyDescent="0.25">
      <c r="B57" s="20" t="s">
        <v>32</v>
      </c>
      <c r="C57" s="20" t="s">
        <v>24</v>
      </c>
      <c r="D57" s="20" t="s">
        <v>146</v>
      </c>
      <c r="E57" s="20" t="s">
        <v>34</v>
      </c>
      <c r="F57" s="20" t="s">
        <v>147</v>
      </c>
    </row>
    <row r="58" spans="2:8" ht="18" customHeight="1" x14ac:dyDescent="0.25">
      <c r="B58" s="41" t="s">
        <v>36</v>
      </c>
      <c r="C58" s="23">
        <v>44041.3</v>
      </c>
      <c r="D58" s="42">
        <v>710</v>
      </c>
      <c r="E58" s="42" t="s">
        <v>148</v>
      </c>
      <c r="F58" s="23">
        <v>102.18</v>
      </c>
    </row>
    <row r="59" spans="2:8" ht="18" customHeight="1" x14ac:dyDescent="0.25">
      <c r="B59" s="43" t="s">
        <v>38</v>
      </c>
      <c r="C59" s="22">
        <v>32463.81</v>
      </c>
      <c r="D59" s="44">
        <v>489</v>
      </c>
      <c r="E59" s="44" t="s">
        <v>149</v>
      </c>
      <c r="F59" s="22">
        <v>103.06</v>
      </c>
    </row>
    <row r="60" spans="2:8" ht="18" customHeight="1" x14ac:dyDescent="0.25">
      <c r="B60" s="41" t="s">
        <v>40</v>
      </c>
      <c r="C60" s="23">
        <v>29223.83</v>
      </c>
      <c r="D60" s="42">
        <v>464</v>
      </c>
      <c r="E60" s="42" t="s">
        <v>150</v>
      </c>
      <c r="F60" s="23">
        <v>99.74</v>
      </c>
    </row>
    <row r="61" spans="2:8" ht="18" customHeight="1" x14ac:dyDescent="0.25">
      <c r="B61" s="43" t="s">
        <v>42</v>
      </c>
      <c r="C61" s="22">
        <v>27163.97</v>
      </c>
      <c r="D61" s="44">
        <v>415</v>
      </c>
      <c r="E61" s="44" t="s">
        <v>151</v>
      </c>
      <c r="F61" s="22">
        <v>100.98</v>
      </c>
    </row>
    <row r="63" spans="2:8" ht="19.5" customHeight="1" x14ac:dyDescent="0.25">
      <c r="B63" s="20" t="s">
        <v>56</v>
      </c>
      <c r="C63" s="20" t="s">
        <v>24</v>
      </c>
      <c r="D63" s="20" t="s">
        <v>34</v>
      </c>
      <c r="E63" s="20" t="s">
        <v>152</v>
      </c>
    </row>
    <row r="64" spans="2:8" ht="18" customHeight="1" x14ac:dyDescent="0.25">
      <c r="B64" s="41" t="s">
        <v>59</v>
      </c>
      <c r="C64" s="23">
        <v>29447.29</v>
      </c>
      <c r="D64" s="42" t="s">
        <v>60</v>
      </c>
      <c r="E64" s="42">
        <v>9</v>
      </c>
    </row>
    <row r="65" spans="2:8" ht="18" customHeight="1" x14ac:dyDescent="0.25">
      <c r="B65" s="43" t="s">
        <v>61</v>
      </c>
      <c r="C65" s="22">
        <v>26609.55</v>
      </c>
      <c r="D65" s="44" t="s">
        <v>62</v>
      </c>
      <c r="E65" s="44">
        <v>8</v>
      </c>
    </row>
    <row r="66" spans="2:8" ht="18" customHeight="1" x14ac:dyDescent="0.25">
      <c r="B66" s="41" t="s">
        <v>63</v>
      </c>
      <c r="C66" s="23">
        <v>23137.360000000001</v>
      </c>
      <c r="D66" s="42" t="s">
        <v>64</v>
      </c>
      <c r="E66" s="42">
        <v>7</v>
      </c>
    </row>
    <row r="67" spans="2:8" ht="18" customHeight="1" x14ac:dyDescent="0.25">
      <c r="B67" s="43" t="s">
        <v>65</v>
      </c>
      <c r="C67" s="22">
        <v>19429.439999999999</v>
      </c>
      <c r="D67" s="44" t="s">
        <v>66</v>
      </c>
      <c r="E67" s="44">
        <v>9</v>
      </c>
    </row>
    <row r="68" spans="2:8" ht="18" customHeight="1" x14ac:dyDescent="0.25">
      <c r="B68" s="41" t="s">
        <v>67</v>
      </c>
      <c r="C68" s="23">
        <v>18153.21</v>
      </c>
      <c r="D68" s="42" t="s">
        <v>68</v>
      </c>
      <c r="E68" s="42">
        <v>10</v>
      </c>
    </row>
    <row r="69" spans="2:8" ht="18" customHeight="1" x14ac:dyDescent="0.25">
      <c r="B69" s="43" t="s">
        <v>69</v>
      </c>
      <c r="C69" s="22">
        <v>16116.06</v>
      </c>
      <c r="D69" s="44" t="s">
        <v>70</v>
      </c>
      <c r="E69" s="44">
        <v>7</v>
      </c>
    </row>
    <row r="70" spans="2:8" ht="9.75" customHeight="1" x14ac:dyDescent="0.25"/>
    <row r="71" spans="2:8" ht="27.75" customHeight="1" x14ac:dyDescent="0.25">
      <c r="B71" s="9" t="s">
        <v>153</v>
      </c>
      <c r="C71" s="9"/>
      <c r="D71" s="9"/>
      <c r="E71" s="9"/>
      <c r="F71" s="9"/>
      <c r="G71" s="9"/>
      <c r="H71" s="9"/>
    </row>
    <row r="72" spans="2:8" ht="39.75" customHeight="1" x14ac:dyDescent="0.25">
      <c r="B72" s="39" t="s">
        <v>154</v>
      </c>
      <c r="C72" s="8" t="s">
        <v>155</v>
      </c>
      <c r="D72" s="8"/>
      <c r="E72" s="8"/>
      <c r="F72" s="8"/>
      <c r="G72" s="8"/>
      <c r="H72" s="8"/>
    </row>
    <row r="73" spans="2:8" ht="39.75" customHeight="1" x14ac:dyDescent="0.25">
      <c r="B73" s="40" t="s">
        <v>156</v>
      </c>
      <c r="C73" s="6" t="s">
        <v>157</v>
      </c>
      <c r="D73" s="6"/>
      <c r="E73" s="6"/>
      <c r="F73" s="6"/>
      <c r="G73" s="6"/>
      <c r="H73" s="6"/>
    </row>
    <row r="74" spans="2:8" ht="39.75" customHeight="1" x14ac:dyDescent="0.25">
      <c r="B74" s="39" t="s">
        <v>158</v>
      </c>
      <c r="C74" s="8" t="s">
        <v>159</v>
      </c>
      <c r="D74" s="8"/>
      <c r="E74" s="8"/>
      <c r="F74" s="8"/>
      <c r="G74" s="8"/>
      <c r="H74" s="8"/>
    </row>
    <row r="75" spans="2:8" ht="39.75" customHeight="1" x14ac:dyDescent="0.25">
      <c r="B75" s="40" t="s">
        <v>160</v>
      </c>
      <c r="C75" s="6" t="s">
        <v>161</v>
      </c>
      <c r="D75" s="6"/>
      <c r="E75" s="6"/>
      <c r="F75" s="6"/>
      <c r="G75" s="6"/>
      <c r="H75" s="6"/>
    </row>
    <row r="76" spans="2:8" ht="39.75" customHeight="1" x14ac:dyDescent="0.25">
      <c r="B76" s="39" t="s">
        <v>162</v>
      </c>
      <c r="C76" s="8" t="s">
        <v>163</v>
      </c>
      <c r="D76" s="8"/>
      <c r="E76" s="8"/>
      <c r="F76" s="8"/>
      <c r="G76" s="8"/>
      <c r="H76" s="8"/>
    </row>
    <row r="77" spans="2:8" ht="39.75" customHeight="1" x14ac:dyDescent="0.25">
      <c r="B77" s="40" t="s">
        <v>164</v>
      </c>
      <c r="C77" s="3" t="s">
        <v>165</v>
      </c>
      <c r="D77" s="3"/>
      <c r="E77" s="3"/>
      <c r="F77" s="3"/>
      <c r="G77" s="3"/>
      <c r="H77" s="3"/>
    </row>
    <row r="78" spans="2:8" ht="19.5" customHeight="1" x14ac:dyDescent="0.25">
      <c r="B78" s="20" t="s">
        <v>166</v>
      </c>
      <c r="C78" s="20" t="s">
        <v>167</v>
      </c>
      <c r="D78" s="20" t="s">
        <v>168</v>
      </c>
      <c r="E78" s="20" t="s">
        <v>169</v>
      </c>
      <c r="F78" s="20" t="s">
        <v>170</v>
      </c>
    </row>
    <row r="79" spans="2:8" ht="18" customHeight="1" x14ac:dyDescent="0.25">
      <c r="B79" s="41" t="s">
        <v>171</v>
      </c>
      <c r="C79" s="23">
        <v>66758.42</v>
      </c>
      <c r="D79" s="42" t="s">
        <v>172</v>
      </c>
      <c r="E79" s="42" t="s">
        <v>173</v>
      </c>
      <c r="F79" s="42" t="s">
        <v>174</v>
      </c>
    </row>
    <row r="80" spans="2:8" ht="18" customHeight="1" x14ac:dyDescent="0.25">
      <c r="B80" s="43" t="s">
        <v>175</v>
      </c>
      <c r="C80" s="22">
        <v>6192.5</v>
      </c>
      <c r="D80" s="44" t="s">
        <v>176</v>
      </c>
      <c r="E80" s="44" t="s">
        <v>173</v>
      </c>
      <c r="F80" s="44" t="s">
        <v>177</v>
      </c>
    </row>
    <row r="81" spans="2:6" ht="18" customHeight="1" x14ac:dyDescent="0.25">
      <c r="B81" s="41" t="s">
        <v>178</v>
      </c>
      <c r="C81" s="42">
        <v>3000</v>
      </c>
      <c r="D81" s="42" t="s">
        <v>179</v>
      </c>
      <c r="E81" s="42" t="s">
        <v>173</v>
      </c>
      <c r="F81" s="42" t="s">
        <v>177</v>
      </c>
    </row>
    <row r="82" spans="2:6" ht="18" customHeight="1" x14ac:dyDescent="0.25">
      <c r="B82" s="43" t="s">
        <v>180</v>
      </c>
      <c r="C82" s="44">
        <v>8000</v>
      </c>
      <c r="D82" s="44" t="s">
        <v>181</v>
      </c>
      <c r="E82" s="44" t="s">
        <v>182</v>
      </c>
      <c r="F82" s="44" t="s">
        <v>174</v>
      </c>
    </row>
    <row r="83" spans="2:6" ht="18" customHeight="1" x14ac:dyDescent="0.25">
      <c r="B83" s="41" t="s">
        <v>183</v>
      </c>
      <c r="C83" s="42">
        <v>3500</v>
      </c>
      <c r="D83" s="42" t="s">
        <v>184</v>
      </c>
      <c r="E83" s="42" t="s">
        <v>182</v>
      </c>
      <c r="F83" s="42" t="s">
        <v>185</v>
      </c>
    </row>
    <row r="84" spans="2:6" ht="18" customHeight="1" x14ac:dyDescent="0.25">
      <c r="B84" s="43" t="s">
        <v>186</v>
      </c>
      <c r="C84" s="44">
        <v>5000</v>
      </c>
      <c r="D84" s="44" t="s">
        <v>187</v>
      </c>
      <c r="E84" s="44" t="s">
        <v>188</v>
      </c>
      <c r="F84" s="44" t="s">
        <v>174</v>
      </c>
    </row>
    <row r="85" spans="2:6" ht="18" customHeight="1" x14ac:dyDescent="0.25">
      <c r="B85" s="49" t="s">
        <v>189</v>
      </c>
      <c r="C85" s="50">
        <v>87450.92</v>
      </c>
      <c r="D85" s="51" t="s">
        <v>190</v>
      </c>
      <c r="E85" s="51" t="s">
        <v>44</v>
      </c>
      <c r="F85" s="51" t="s">
        <v>26</v>
      </c>
    </row>
  </sheetData>
  <mergeCells count="36">
    <mergeCell ref="C77:H77"/>
    <mergeCell ref="C72:H72"/>
    <mergeCell ref="C73:H73"/>
    <mergeCell ref="C74:H74"/>
    <mergeCell ref="C75:H75"/>
    <mergeCell ref="C76:H76"/>
    <mergeCell ref="C53:H53"/>
    <mergeCell ref="C54:H54"/>
    <mergeCell ref="C55:H55"/>
    <mergeCell ref="C56:H56"/>
    <mergeCell ref="B71:H71"/>
    <mergeCell ref="C43:H43"/>
    <mergeCell ref="C44:H44"/>
    <mergeCell ref="C45:H45"/>
    <mergeCell ref="B51:H51"/>
    <mergeCell ref="C52:H52"/>
    <mergeCell ref="C31:H31"/>
    <mergeCell ref="C32:H32"/>
    <mergeCell ref="B40:H40"/>
    <mergeCell ref="C41:H41"/>
    <mergeCell ref="C42:H42"/>
    <mergeCell ref="C20:H20"/>
    <mergeCell ref="C21:H21"/>
    <mergeCell ref="B28:H28"/>
    <mergeCell ref="C29:H29"/>
    <mergeCell ref="C30:H30"/>
    <mergeCell ref="C7:H7"/>
    <mergeCell ref="B16:H16"/>
    <mergeCell ref="C17:H17"/>
    <mergeCell ref="C18:H18"/>
    <mergeCell ref="C19:H19"/>
    <mergeCell ref="B1:H1"/>
    <mergeCell ref="B3:H3"/>
    <mergeCell ref="C4:H4"/>
    <mergeCell ref="C5:H5"/>
    <mergeCell ref="C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N26"/>
  <sheetViews>
    <sheetView topLeftCell="B10" zoomScaleNormal="100" workbookViewId="0">
      <selection activeCell="J31" sqref="J31"/>
    </sheetView>
  </sheetViews>
  <sheetFormatPr defaultColWidth="8.7109375" defaultRowHeight="15" x14ac:dyDescent="0.25"/>
  <cols>
    <col min="1" max="14" width="16" customWidth="1"/>
  </cols>
  <sheetData>
    <row r="1" spans="1:14" ht="31.5" customHeight="1" x14ac:dyDescent="0.25">
      <c r="A1" s="2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5">
      <c r="A3" s="1" t="s">
        <v>192</v>
      </c>
      <c r="B3" s="1"/>
      <c r="K3" s="1" t="s">
        <v>193</v>
      </c>
      <c r="L3" s="1"/>
      <c r="M3" s="1"/>
    </row>
    <row r="4" spans="1:14" x14ac:dyDescent="0.25">
      <c r="A4" s="20" t="s">
        <v>11</v>
      </c>
      <c r="B4" s="20" t="s">
        <v>24</v>
      </c>
      <c r="K4" s="52" t="s">
        <v>29</v>
      </c>
      <c r="L4" s="52" t="s">
        <v>194</v>
      </c>
      <c r="M4" s="52" t="s">
        <v>195</v>
      </c>
    </row>
    <row r="5" spans="1:14" x14ac:dyDescent="0.25">
      <c r="A5" s="28" t="s">
        <v>12</v>
      </c>
      <c r="B5" s="31">
        <v>9574.5</v>
      </c>
      <c r="K5" s="53" t="s">
        <v>35</v>
      </c>
      <c r="L5" s="54">
        <v>34011.57</v>
      </c>
      <c r="M5" s="54">
        <v>17653.3</v>
      </c>
    </row>
    <row r="6" spans="1:14" x14ac:dyDescent="0.25">
      <c r="A6" s="32" t="s">
        <v>13</v>
      </c>
      <c r="B6" s="35">
        <v>9177.3700000000008</v>
      </c>
      <c r="K6" s="55" t="s">
        <v>37</v>
      </c>
      <c r="L6" s="56">
        <v>27227.56</v>
      </c>
      <c r="M6" s="56">
        <v>15123.03</v>
      </c>
    </row>
    <row r="7" spans="1:14" x14ac:dyDescent="0.25">
      <c r="A7" s="28" t="s">
        <v>14</v>
      </c>
      <c r="B7" s="31">
        <v>8570.7999999999993</v>
      </c>
      <c r="K7" s="53" t="s">
        <v>39</v>
      </c>
      <c r="L7" s="54">
        <v>25278.29</v>
      </c>
      <c r="M7" s="54">
        <v>13645.05</v>
      </c>
    </row>
    <row r="8" spans="1:14" x14ac:dyDescent="0.25">
      <c r="A8" s="32" t="s">
        <v>15</v>
      </c>
      <c r="B8" s="35">
        <v>10711.96</v>
      </c>
      <c r="K8" s="55" t="s">
        <v>41</v>
      </c>
      <c r="L8" s="56">
        <v>25021.81</v>
      </c>
      <c r="M8" s="56">
        <v>13761.6</v>
      </c>
    </row>
    <row r="9" spans="1:14" x14ac:dyDescent="0.25">
      <c r="A9" s="28" t="s">
        <v>16</v>
      </c>
      <c r="B9" s="31">
        <v>9377.1299999999992</v>
      </c>
      <c r="K9" s="53" t="s">
        <v>43</v>
      </c>
      <c r="L9" s="54">
        <v>21353.68</v>
      </c>
      <c r="M9" s="54">
        <v>12144.01</v>
      </c>
    </row>
    <row r="10" spans="1:14" x14ac:dyDescent="0.25">
      <c r="A10" s="32" t="s">
        <v>17</v>
      </c>
      <c r="B10" s="35">
        <v>14547.64</v>
      </c>
    </row>
    <row r="11" spans="1:14" x14ac:dyDescent="0.25">
      <c r="A11" s="28" t="s">
        <v>18</v>
      </c>
      <c r="B11" s="31">
        <v>9132.7099999999991</v>
      </c>
    </row>
    <row r="12" spans="1:14" x14ac:dyDescent="0.25">
      <c r="A12" s="32" t="s">
        <v>19</v>
      </c>
      <c r="B12" s="35">
        <v>10217.15</v>
      </c>
    </row>
    <row r="13" spans="1:14" x14ac:dyDescent="0.25">
      <c r="A13" s="28" t="s">
        <v>20</v>
      </c>
      <c r="B13" s="31">
        <v>10329.200000000001</v>
      </c>
    </row>
    <row r="14" spans="1:14" x14ac:dyDescent="0.25">
      <c r="A14" s="32" t="s">
        <v>21</v>
      </c>
      <c r="B14" s="35">
        <v>11285.62</v>
      </c>
    </row>
    <row r="15" spans="1:14" x14ac:dyDescent="0.25">
      <c r="A15" s="28" t="s">
        <v>22</v>
      </c>
      <c r="B15" s="31">
        <v>14560.13</v>
      </c>
    </row>
    <row r="16" spans="1:14" x14ac:dyDescent="0.25">
      <c r="A16" s="32" t="s">
        <v>23</v>
      </c>
      <c r="B16" s="35">
        <v>15408.7</v>
      </c>
    </row>
    <row r="21" spans="11:12" x14ac:dyDescent="0.25">
      <c r="K21" s="1" t="s">
        <v>196</v>
      </c>
      <c r="L21" s="1"/>
    </row>
    <row r="22" spans="11:12" x14ac:dyDescent="0.25">
      <c r="K22" s="52" t="s">
        <v>32</v>
      </c>
      <c r="L22" s="52" t="s">
        <v>194</v>
      </c>
    </row>
    <row r="23" spans="11:12" x14ac:dyDescent="0.25">
      <c r="K23" s="53" t="s">
        <v>36</v>
      </c>
      <c r="L23" s="54">
        <v>44041.3</v>
      </c>
    </row>
    <row r="24" spans="11:12" x14ac:dyDescent="0.25">
      <c r="K24" s="55" t="s">
        <v>38</v>
      </c>
      <c r="L24" s="56">
        <v>32463.81</v>
      </c>
    </row>
    <row r="25" spans="11:12" x14ac:dyDescent="0.25">
      <c r="K25" s="53" t="s">
        <v>40</v>
      </c>
      <c r="L25" s="54">
        <v>29223.83</v>
      </c>
    </row>
    <row r="26" spans="11:12" x14ac:dyDescent="0.25">
      <c r="K26" s="55" t="s">
        <v>42</v>
      </c>
      <c r="L26" s="56">
        <v>27163.97</v>
      </c>
    </row>
  </sheetData>
  <mergeCells count="4">
    <mergeCell ref="A1:N1"/>
    <mergeCell ref="A3:B3"/>
    <mergeCell ref="K3:M3"/>
    <mergeCell ref="K21:L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2D8B"/>
  </sheetPr>
  <dimension ref="A1:J29"/>
  <sheetViews>
    <sheetView zoomScaleNormal="100" workbookViewId="0">
      <selection sqref="A1:J1"/>
    </sheetView>
  </sheetViews>
  <sheetFormatPr defaultColWidth="8.7109375" defaultRowHeight="15" x14ac:dyDescent="0.25"/>
  <cols>
    <col min="1" max="1" width="22" customWidth="1"/>
    <col min="2" max="2" width="16" customWidth="1"/>
    <col min="3" max="3" width="18" customWidth="1"/>
    <col min="4" max="5" width="14" customWidth="1"/>
    <col min="6" max="6" width="18" customWidth="1"/>
    <col min="7" max="7" width="14" customWidth="1"/>
  </cols>
  <sheetData>
    <row r="1" spans="1:10" ht="31.5" customHeight="1" x14ac:dyDescent="0.25">
      <c r="A1" s="2" t="s">
        <v>197</v>
      </c>
      <c r="B1" s="2"/>
      <c r="C1" s="2"/>
      <c r="D1" s="2"/>
      <c r="E1" s="2"/>
      <c r="F1" s="2"/>
      <c r="G1" s="2"/>
      <c r="H1" s="2"/>
      <c r="I1" s="2"/>
      <c r="J1" s="2"/>
    </row>
    <row r="3" spans="1:10" ht="21.75" customHeight="1" x14ac:dyDescent="0.25">
      <c r="A3" s="11" t="s">
        <v>198</v>
      </c>
      <c r="B3" s="11"/>
      <c r="C3" s="11"/>
      <c r="D3" s="11"/>
      <c r="E3" s="11" t="s">
        <v>199</v>
      </c>
      <c r="F3" s="11"/>
      <c r="G3" s="11"/>
      <c r="H3" s="11"/>
    </row>
    <row r="4" spans="1:10" x14ac:dyDescent="0.25">
      <c r="A4" s="20" t="s">
        <v>200</v>
      </c>
      <c r="B4" s="20" t="s">
        <v>201</v>
      </c>
      <c r="C4" s="20" t="s">
        <v>202</v>
      </c>
      <c r="E4" s="20" t="s">
        <v>203</v>
      </c>
      <c r="F4" s="20" t="s">
        <v>201</v>
      </c>
      <c r="G4" s="20" t="s">
        <v>202</v>
      </c>
    </row>
    <row r="5" spans="1:10" x14ac:dyDescent="0.25">
      <c r="A5" s="28" t="s">
        <v>204</v>
      </c>
      <c r="B5" s="57">
        <v>30</v>
      </c>
      <c r="C5" s="57" t="s">
        <v>205</v>
      </c>
      <c r="E5" s="28" t="s">
        <v>206</v>
      </c>
      <c r="F5" s="57">
        <v>75</v>
      </c>
      <c r="G5" s="57" t="s">
        <v>207</v>
      </c>
    </row>
    <row r="6" spans="1:10" x14ac:dyDescent="0.25">
      <c r="A6" s="32" t="s">
        <v>208</v>
      </c>
      <c r="B6" s="58">
        <v>36</v>
      </c>
      <c r="C6" s="58" t="s">
        <v>209</v>
      </c>
      <c r="E6" s="32" t="s">
        <v>210</v>
      </c>
      <c r="F6" s="58">
        <v>32</v>
      </c>
      <c r="G6" s="58" t="s">
        <v>211</v>
      </c>
    </row>
    <row r="7" spans="1:10" x14ac:dyDescent="0.25">
      <c r="A7" s="28" t="s">
        <v>212</v>
      </c>
      <c r="B7" s="57">
        <v>38</v>
      </c>
      <c r="C7" s="57" t="s">
        <v>213</v>
      </c>
      <c r="E7" s="28" t="s">
        <v>214</v>
      </c>
      <c r="F7" s="57">
        <v>13</v>
      </c>
      <c r="G7" s="57" t="s">
        <v>215</v>
      </c>
    </row>
    <row r="8" spans="1:10" x14ac:dyDescent="0.25">
      <c r="A8" s="32" t="s">
        <v>216</v>
      </c>
      <c r="B8" s="58">
        <v>16</v>
      </c>
      <c r="C8" s="58" t="s">
        <v>217</v>
      </c>
    </row>
    <row r="12" spans="1:10" ht="21.75" customHeight="1" x14ac:dyDescent="0.25">
      <c r="A12" s="11" t="s">
        <v>218</v>
      </c>
      <c r="B12" s="11"/>
      <c r="C12" s="11"/>
      <c r="D12" s="11"/>
      <c r="E12" s="11"/>
    </row>
    <row r="13" spans="1:10" x14ac:dyDescent="0.25">
      <c r="A13" s="20" t="s">
        <v>219</v>
      </c>
      <c r="B13" s="20" t="s">
        <v>56</v>
      </c>
      <c r="C13" s="20" t="s">
        <v>24</v>
      </c>
      <c r="D13" s="20" t="s">
        <v>34</v>
      </c>
      <c r="E13" s="20" t="s">
        <v>102</v>
      </c>
    </row>
    <row r="14" spans="1:10" x14ac:dyDescent="0.25">
      <c r="A14" s="28" t="s">
        <v>220</v>
      </c>
      <c r="B14" s="28" t="s">
        <v>67</v>
      </c>
      <c r="C14" s="29">
        <v>26097.3</v>
      </c>
      <c r="D14" s="57" t="s">
        <v>221</v>
      </c>
      <c r="E14" s="57">
        <v>22</v>
      </c>
    </row>
    <row r="15" spans="1:10" x14ac:dyDescent="0.25">
      <c r="A15" s="32" t="s">
        <v>222</v>
      </c>
      <c r="B15" s="32" t="s">
        <v>67</v>
      </c>
      <c r="C15" s="33">
        <v>17771.439999999999</v>
      </c>
      <c r="D15" s="58" t="s">
        <v>223</v>
      </c>
      <c r="E15" s="58">
        <v>14</v>
      </c>
    </row>
    <row r="16" spans="1:10" x14ac:dyDescent="0.25">
      <c r="A16" s="28" t="s">
        <v>224</v>
      </c>
      <c r="B16" s="28" t="s">
        <v>69</v>
      </c>
      <c r="C16" s="29">
        <v>15618.41</v>
      </c>
      <c r="D16" s="57" t="s">
        <v>225</v>
      </c>
      <c r="E16" s="57">
        <v>14</v>
      </c>
    </row>
    <row r="17" spans="1:5" x14ac:dyDescent="0.25">
      <c r="A17" s="32" t="s">
        <v>226</v>
      </c>
      <c r="B17" s="32" t="s">
        <v>59</v>
      </c>
      <c r="C17" s="33">
        <v>14348.01</v>
      </c>
      <c r="D17" s="58" t="s">
        <v>215</v>
      </c>
      <c r="E17" s="58">
        <v>14</v>
      </c>
    </row>
    <row r="18" spans="1:5" x14ac:dyDescent="0.25">
      <c r="A18" s="28" t="s">
        <v>227</v>
      </c>
      <c r="B18" s="28" t="s">
        <v>69</v>
      </c>
      <c r="C18" s="29">
        <v>13619.58</v>
      </c>
      <c r="D18" s="57" t="s">
        <v>228</v>
      </c>
      <c r="E18" s="57">
        <v>11</v>
      </c>
    </row>
    <row r="19" spans="1:5" x14ac:dyDescent="0.25">
      <c r="A19" s="32" t="s">
        <v>229</v>
      </c>
      <c r="B19" s="32" t="s">
        <v>65</v>
      </c>
      <c r="C19" s="33">
        <v>11908.01</v>
      </c>
      <c r="D19" s="58" t="s">
        <v>230</v>
      </c>
      <c r="E19" s="58">
        <v>11</v>
      </c>
    </row>
    <row r="20" spans="1:5" x14ac:dyDescent="0.25">
      <c r="A20" s="28" t="s">
        <v>231</v>
      </c>
      <c r="B20" s="28" t="s">
        <v>65</v>
      </c>
      <c r="C20" s="29">
        <v>10146.450000000001</v>
      </c>
      <c r="D20" s="57" t="s">
        <v>232</v>
      </c>
      <c r="E20" s="57">
        <v>9</v>
      </c>
    </row>
    <row r="21" spans="1:5" x14ac:dyDescent="0.25">
      <c r="A21" s="32" t="s">
        <v>233</v>
      </c>
      <c r="B21" s="32" t="s">
        <v>61</v>
      </c>
      <c r="C21" s="33">
        <v>9031.84</v>
      </c>
      <c r="D21" s="58" t="s">
        <v>234</v>
      </c>
      <c r="E21" s="58">
        <v>10</v>
      </c>
    </row>
    <row r="23" spans="1:5" ht="21.75" customHeight="1" x14ac:dyDescent="0.25">
      <c r="A23" s="11" t="s">
        <v>235</v>
      </c>
      <c r="B23" s="11"/>
      <c r="C23" s="11"/>
      <c r="D23" s="11"/>
      <c r="E23" s="11"/>
    </row>
    <row r="24" spans="1:5" x14ac:dyDescent="0.25">
      <c r="A24" s="20" t="s">
        <v>101</v>
      </c>
      <c r="B24" s="20" t="s">
        <v>24</v>
      </c>
      <c r="C24" s="20" t="s">
        <v>30</v>
      </c>
      <c r="D24" s="20" t="s">
        <v>34</v>
      </c>
      <c r="E24" s="20" t="s">
        <v>236</v>
      </c>
    </row>
    <row r="25" spans="1:5" x14ac:dyDescent="0.25">
      <c r="A25" s="28" t="s">
        <v>103</v>
      </c>
      <c r="B25" s="29">
        <v>37506.559999999998</v>
      </c>
      <c r="C25" s="29">
        <v>20474.47</v>
      </c>
      <c r="D25" s="57" t="s">
        <v>104</v>
      </c>
      <c r="E25" s="57">
        <v>436</v>
      </c>
    </row>
    <row r="26" spans="1:5" x14ac:dyDescent="0.25">
      <c r="A26" s="32" t="s">
        <v>105</v>
      </c>
      <c r="B26" s="33">
        <v>32090.03</v>
      </c>
      <c r="C26" s="33">
        <v>17628.14</v>
      </c>
      <c r="D26" s="58" t="s">
        <v>106</v>
      </c>
      <c r="E26" s="58">
        <v>370</v>
      </c>
    </row>
    <row r="27" spans="1:5" x14ac:dyDescent="0.25">
      <c r="A27" s="28" t="s">
        <v>107</v>
      </c>
      <c r="B27" s="29">
        <v>25925.61</v>
      </c>
      <c r="C27" s="29">
        <v>14118.21</v>
      </c>
      <c r="D27" s="57" t="s">
        <v>108</v>
      </c>
      <c r="E27" s="57">
        <v>279</v>
      </c>
    </row>
    <row r="28" spans="1:5" x14ac:dyDescent="0.25">
      <c r="A28" s="32" t="s">
        <v>109</v>
      </c>
      <c r="B28" s="33">
        <v>18968.86</v>
      </c>
      <c r="C28" s="33">
        <v>10233.56</v>
      </c>
      <c r="D28" s="58" t="s">
        <v>110</v>
      </c>
      <c r="E28" s="58">
        <v>216</v>
      </c>
    </row>
    <row r="29" spans="1:5" x14ac:dyDescent="0.25">
      <c r="A29" s="28" t="s">
        <v>111</v>
      </c>
      <c r="B29" s="29">
        <v>18401.849999999999</v>
      </c>
      <c r="C29" s="29">
        <v>9872.61</v>
      </c>
      <c r="D29" s="57" t="s">
        <v>112</v>
      </c>
      <c r="E29" s="57">
        <v>199</v>
      </c>
    </row>
  </sheetData>
  <mergeCells count="5">
    <mergeCell ref="A1:J1"/>
    <mergeCell ref="A3:D3"/>
    <mergeCell ref="E3:H3"/>
    <mergeCell ref="A12:E12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H18"/>
  <sheetViews>
    <sheetView zoomScaleNormal="100" workbookViewId="0">
      <selection sqref="A1:G1"/>
    </sheetView>
  </sheetViews>
  <sheetFormatPr defaultColWidth="8.7109375" defaultRowHeight="15" x14ac:dyDescent="0.25"/>
  <cols>
    <col min="1" max="6" width="20" customWidth="1"/>
  </cols>
  <sheetData>
    <row r="1" spans="1:8" ht="31.5" customHeight="1" x14ac:dyDescent="0.25">
      <c r="A1" s="2" t="s">
        <v>237</v>
      </c>
      <c r="B1" s="2"/>
      <c r="C1" s="2"/>
      <c r="D1" s="2"/>
      <c r="E1" s="2"/>
      <c r="F1" s="2"/>
      <c r="G1" s="2"/>
    </row>
    <row r="3" spans="1:8" ht="24.75" customHeight="1" x14ac:dyDescent="0.25">
      <c r="A3" s="15" t="s">
        <v>238</v>
      </c>
      <c r="B3" s="15" t="s">
        <v>239</v>
      </c>
      <c r="C3" s="15" t="s">
        <v>240</v>
      </c>
      <c r="D3" s="16" t="s">
        <v>241</v>
      </c>
      <c r="E3" s="16" t="s">
        <v>242</v>
      </c>
      <c r="F3" s="16" t="s">
        <v>243</v>
      </c>
    </row>
    <row r="4" spans="1:8" ht="30" customHeight="1" x14ac:dyDescent="0.25">
      <c r="A4" s="59" t="s">
        <v>244</v>
      </c>
      <c r="B4" s="59" t="s">
        <v>245</v>
      </c>
      <c r="C4" s="59" t="s">
        <v>246</v>
      </c>
      <c r="D4" s="59" t="s">
        <v>247</v>
      </c>
      <c r="E4" s="59" t="s">
        <v>248</v>
      </c>
      <c r="F4" s="59" t="s">
        <v>249</v>
      </c>
    </row>
    <row r="5" spans="1:8" x14ac:dyDescent="0.25">
      <c r="A5" s="60" t="s">
        <v>250</v>
      </c>
      <c r="B5" s="61" t="s">
        <v>251</v>
      </c>
      <c r="C5" s="62" t="s">
        <v>146</v>
      </c>
      <c r="D5" s="62" t="s">
        <v>146</v>
      </c>
      <c r="E5" s="62" t="s">
        <v>146</v>
      </c>
      <c r="F5" s="62" t="s">
        <v>146</v>
      </c>
    </row>
    <row r="7" spans="1:8" ht="21.75" customHeight="1" x14ac:dyDescent="0.25">
      <c r="A7" s="11" t="s">
        <v>252</v>
      </c>
      <c r="B7" s="11"/>
      <c r="C7" s="11"/>
      <c r="D7" s="11"/>
      <c r="E7" s="11"/>
      <c r="F7" s="11"/>
    </row>
    <row r="8" spans="1:8" x14ac:dyDescent="0.25">
      <c r="A8" s="20" t="s">
        <v>253</v>
      </c>
      <c r="B8" s="20" t="s">
        <v>254</v>
      </c>
      <c r="C8" s="20" t="s">
        <v>255</v>
      </c>
      <c r="D8" s="20" t="s">
        <v>33</v>
      </c>
      <c r="E8" s="20" t="s">
        <v>256</v>
      </c>
      <c r="F8" s="20" t="s">
        <v>257</v>
      </c>
      <c r="G8" s="20" t="s">
        <v>258</v>
      </c>
      <c r="H8" s="20" t="s">
        <v>259</v>
      </c>
    </row>
    <row r="9" spans="1:8" x14ac:dyDescent="0.25">
      <c r="A9" s="28" t="s">
        <v>260</v>
      </c>
      <c r="B9" s="57">
        <v>25963</v>
      </c>
      <c r="C9" s="57">
        <v>26164</v>
      </c>
      <c r="D9" s="57">
        <v>1017</v>
      </c>
      <c r="E9" s="57">
        <v>50</v>
      </c>
      <c r="F9" s="57">
        <v>213</v>
      </c>
      <c r="G9" s="57">
        <v>289</v>
      </c>
      <c r="H9" s="57" t="s">
        <v>245</v>
      </c>
    </row>
    <row r="10" spans="1:8" x14ac:dyDescent="0.25">
      <c r="A10" s="32" t="s">
        <v>261</v>
      </c>
      <c r="B10" s="58">
        <v>27005</v>
      </c>
      <c r="C10" s="58">
        <v>27173</v>
      </c>
      <c r="D10" s="58">
        <v>1061</v>
      </c>
      <c r="E10" s="58">
        <v>40</v>
      </c>
      <c r="F10" s="58">
        <v>207</v>
      </c>
      <c r="G10" s="58">
        <v>307</v>
      </c>
      <c r="H10" s="58" t="s">
        <v>262</v>
      </c>
    </row>
    <row r="12" spans="1:8" ht="21.75" customHeight="1" x14ac:dyDescent="0.25">
      <c r="A12" s="11" t="s">
        <v>263</v>
      </c>
      <c r="B12" s="11"/>
      <c r="C12" s="11"/>
      <c r="D12" s="11"/>
      <c r="E12" s="11"/>
      <c r="F12" s="11"/>
    </row>
    <row r="13" spans="1:8" x14ac:dyDescent="0.25">
      <c r="A13" s="20" t="s">
        <v>29</v>
      </c>
      <c r="B13" s="20" t="s">
        <v>264</v>
      </c>
      <c r="C13" s="20" t="s">
        <v>265</v>
      </c>
      <c r="D13" s="20" t="s">
        <v>266</v>
      </c>
    </row>
    <row r="14" spans="1:8" x14ac:dyDescent="0.25">
      <c r="A14" s="28" t="s">
        <v>35</v>
      </c>
      <c r="B14" s="57">
        <v>22.2</v>
      </c>
      <c r="C14" s="57">
        <v>27.5</v>
      </c>
      <c r="D14" s="57">
        <v>12</v>
      </c>
    </row>
    <row r="15" spans="1:8" x14ac:dyDescent="0.25">
      <c r="A15" s="32" t="s">
        <v>39</v>
      </c>
      <c r="B15" s="58">
        <v>29.2</v>
      </c>
      <c r="C15" s="58">
        <v>26.5</v>
      </c>
      <c r="D15" s="58">
        <v>12</v>
      </c>
    </row>
    <row r="16" spans="1:8" x14ac:dyDescent="0.25">
      <c r="A16" s="28" t="s">
        <v>37</v>
      </c>
      <c r="B16" s="57">
        <v>22.8</v>
      </c>
      <c r="C16" s="57">
        <v>28.5</v>
      </c>
      <c r="D16" s="57">
        <v>12</v>
      </c>
    </row>
    <row r="17" spans="1:4" x14ac:dyDescent="0.25">
      <c r="A17" s="32" t="s">
        <v>43</v>
      </c>
      <c r="B17" s="58">
        <v>25.7</v>
      </c>
      <c r="C17" s="58">
        <v>27</v>
      </c>
      <c r="D17" s="58">
        <v>12</v>
      </c>
    </row>
    <row r="18" spans="1:4" x14ac:dyDescent="0.25">
      <c r="A18" s="28" t="s">
        <v>41</v>
      </c>
      <c r="B18" s="57">
        <v>20.399999999999999</v>
      </c>
      <c r="C18" s="57">
        <v>28.5</v>
      </c>
      <c r="D18" s="57">
        <v>12</v>
      </c>
    </row>
  </sheetData>
  <mergeCells count="3">
    <mergeCell ref="A1:G1"/>
    <mergeCell ref="A7:F7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H11"/>
  <sheetViews>
    <sheetView tabSelected="1" zoomScaleNormal="100" workbookViewId="0">
      <selection sqref="A1:H1"/>
    </sheetView>
  </sheetViews>
  <sheetFormatPr defaultColWidth="8.7109375" defaultRowHeight="15" x14ac:dyDescent="0.25"/>
  <cols>
    <col min="1" max="1" width="16" customWidth="1"/>
    <col min="2" max="2" width="26" customWidth="1"/>
    <col min="3" max="3" width="55" customWidth="1"/>
    <col min="4" max="4" width="25" customWidth="1"/>
    <col min="5" max="5" width="14" customWidth="1"/>
    <col min="6" max="6" width="20" customWidth="1"/>
  </cols>
  <sheetData>
    <row r="1" spans="1:8" ht="31.5" customHeight="1" x14ac:dyDescent="0.25">
      <c r="A1" s="2" t="s">
        <v>267</v>
      </c>
      <c r="B1" s="2"/>
      <c r="C1" s="2"/>
      <c r="D1" s="2"/>
      <c r="E1" s="2"/>
      <c r="F1" s="2"/>
      <c r="G1" s="2"/>
      <c r="H1" s="2"/>
    </row>
    <row r="3" spans="1:8" ht="21.75" customHeight="1" x14ac:dyDescent="0.25">
      <c r="A3" s="63" t="s">
        <v>170</v>
      </c>
      <c r="B3" s="63" t="s">
        <v>268</v>
      </c>
      <c r="C3" s="63" t="s">
        <v>269</v>
      </c>
      <c r="D3" s="63" t="s">
        <v>270</v>
      </c>
      <c r="E3" s="63" t="s">
        <v>271</v>
      </c>
      <c r="F3" s="63" t="s">
        <v>272</v>
      </c>
    </row>
    <row r="4" spans="1:8" ht="54.75" customHeight="1" x14ac:dyDescent="0.25">
      <c r="A4" s="64" t="s">
        <v>273</v>
      </c>
      <c r="B4" s="64" t="s">
        <v>274</v>
      </c>
      <c r="C4" s="65" t="s">
        <v>275</v>
      </c>
      <c r="D4" s="65" t="s">
        <v>276</v>
      </c>
      <c r="E4" s="65" t="s">
        <v>277</v>
      </c>
      <c r="F4" s="65" t="s">
        <v>278</v>
      </c>
    </row>
    <row r="5" spans="1:8" ht="54.75" customHeight="1" x14ac:dyDescent="0.25">
      <c r="A5" s="64" t="s">
        <v>273</v>
      </c>
      <c r="B5" s="64" t="s">
        <v>279</v>
      </c>
      <c r="C5" s="65" t="s">
        <v>280</v>
      </c>
      <c r="D5" s="65" t="s">
        <v>281</v>
      </c>
      <c r="E5" s="65" t="s">
        <v>282</v>
      </c>
      <c r="F5" s="65" t="s">
        <v>283</v>
      </c>
    </row>
    <row r="6" spans="1:8" ht="54.75" customHeight="1" x14ac:dyDescent="0.25">
      <c r="A6" s="66" t="s">
        <v>284</v>
      </c>
      <c r="B6" s="66" t="s">
        <v>285</v>
      </c>
      <c r="C6" s="67" t="s">
        <v>286</v>
      </c>
      <c r="D6" s="67" t="s">
        <v>287</v>
      </c>
      <c r="E6" s="67" t="s">
        <v>277</v>
      </c>
      <c r="F6" s="67" t="s">
        <v>288</v>
      </c>
    </row>
    <row r="7" spans="1:8" ht="54.75" customHeight="1" x14ac:dyDescent="0.25">
      <c r="A7" s="66" t="s">
        <v>284</v>
      </c>
      <c r="B7" s="66" t="s">
        <v>289</v>
      </c>
      <c r="C7" s="67" t="s">
        <v>290</v>
      </c>
      <c r="D7" s="67" t="s">
        <v>291</v>
      </c>
      <c r="E7" s="67" t="s">
        <v>292</v>
      </c>
      <c r="F7" s="67" t="s">
        <v>293</v>
      </c>
    </row>
    <row r="8" spans="1:8" ht="54.75" customHeight="1" x14ac:dyDescent="0.25">
      <c r="A8" s="66" t="s">
        <v>284</v>
      </c>
      <c r="B8" s="66" t="s">
        <v>294</v>
      </c>
      <c r="C8" s="67" t="s">
        <v>295</v>
      </c>
      <c r="D8" s="67" t="s">
        <v>296</v>
      </c>
      <c r="E8" s="67" t="s">
        <v>282</v>
      </c>
      <c r="F8" s="67" t="s">
        <v>297</v>
      </c>
    </row>
    <row r="9" spans="1:8" ht="54.75" customHeight="1" x14ac:dyDescent="0.25">
      <c r="A9" s="68" t="s">
        <v>298</v>
      </c>
      <c r="B9" s="68" t="s">
        <v>299</v>
      </c>
      <c r="C9" s="69" t="s">
        <v>300</v>
      </c>
      <c r="D9" s="69" t="s">
        <v>301</v>
      </c>
      <c r="E9" s="69" t="s">
        <v>302</v>
      </c>
      <c r="F9" s="69" t="s">
        <v>303</v>
      </c>
    </row>
    <row r="10" spans="1:8" ht="54.75" customHeight="1" x14ac:dyDescent="0.25">
      <c r="A10" s="68" t="s">
        <v>298</v>
      </c>
      <c r="B10" s="68" t="s">
        <v>304</v>
      </c>
      <c r="C10" s="69" t="s">
        <v>305</v>
      </c>
      <c r="D10" s="69" t="s">
        <v>306</v>
      </c>
      <c r="E10" s="69" t="s">
        <v>282</v>
      </c>
      <c r="F10" s="69" t="s">
        <v>307</v>
      </c>
    </row>
    <row r="11" spans="1:8" ht="54.75" customHeight="1" x14ac:dyDescent="0.25">
      <c r="A11" s="70" t="s">
        <v>308</v>
      </c>
      <c r="B11" s="70" t="s">
        <v>309</v>
      </c>
      <c r="C11" s="71" t="s">
        <v>310</v>
      </c>
      <c r="D11" s="71" t="s">
        <v>311</v>
      </c>
      <c r="E11" s="71" t="s">
        <v>302</v>
      </c>
      <c r="F11" s="71" t="s">
        <v>312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Business Questions</vt:lpstr>
      <vt:lpstr>Market Trends &amp; Charts</vt:lpstr>
      <vt:lpstr>Demographics</vt:lpstr>
      <vt:lpstr>Inventory &amp; Supply Chain</vt:lpstr>
      <vt:lpstr>Strategic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El-Dawy</cp:lastModifiedBy>
  <cp:revision>1</cp:revision>
  <dcterms:created xsi:type="dcterms:W3CDTF">2026-04-17T20:16:57Z</dcterms:created>
  <dcterms:modified xsi:type="dcterms:W3CDTF">2026-04-17T20:36:49Z</dcterms:modified>
  <dc:language>en-US</dc:language>
</cp:coreProperties>
</file>