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Channel" sheetId="5" state="visible" r:id="rId5"/>
    <sheet xmlns:r="http://schemas.openxmlformats.org/officeDocument/2006/relationships" name="Dim_Promotion" sheetId="6" state="visible" r:id="rId6"/>
    <sheet xmlns:r="http://schemas.openxmlformats.org/officeDocument/2006/relationships" name="Fact_Sales" sheetId="7" state="visible" r:id="rId7"/>
    <sheet xmlns:r="http://schemas.openxmlformats.org/officeDocument/2006/relationships" name="Fact_Inventory_Monthly" sheetId="8" state="visible" r:id="rId8"/>
    <sheet xmlns:r="http://schemas.openxmlformats.org/officeDocument/2006/relationships" name="KPI_Summary" sheetId="9" state="visible" r:id="rId9"/>
  </sheets>
  <definedNames>
    <definedName name="ProductIDs">'Dim_Product'!$A$2:$A$61</definedName>
    <definedName name="CustomerIDs">'Dim_Customer'!$A$2:$A$121</definedName>
    <definedName name="ChannelIDs">'Dim_Channel'!$A$2:$A$5</definedName>
    <definedName name="PromotionIDs">'Dim_Promotion'!$A$2:$A$11</definedName>
    <definedName name="SizesList">"XS,S,M,L,XL,XXL"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%"/>
    <numFmt numFmtId="167" formatCode="$#,##0.00;[Red]($#,##0.00);-"/>
  </numFmts>
  <fonts count="7">
    <font>
      <name val="Calibri"/>
      <family val="2"/>
      <color theme="1"/>
      <sz val="11"/>
      <scheme val="minor"/>
    </font>
    <font>
      <b val="1"/>
      <color rgb="001F1F1F"/>
      <sz val="14"/>
    </font>
    <font>
      <b val="1"/>
    </font>
    <font>
      <b val="1"/>
      <color rgb="00FFFFFF"/>
    </font>
    <font>
      <color rgb="00008000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7" fontId="6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1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DimDate" displayName="tblDimDate" ref="A1:L366" headerRowCount="1">
  <autoFilter ref="A1:L366"/>
  <tableColumns count="12">
    <tableColumn id="1" name="Date_Key"/>
    <tableColumn id="2" name="Date"/>
    <tableColumn id="3" name="Day"/>
    <tableColumn id="4" name="Month"/>
    <tableColumn id="5" name="Month_Name"/>
    <tableColumn id="6" name="Quarter"/>
    <tableColumn id="7" name="Year"/>
    <tableColumn id="8" name="Week_Number"/>
    <tableColumn id="9" name="Day_of_Week"/>
    <tableColumn id="10" name="Weekend_Flag"/>
    <tableColumn id="11" name="Holiday_Flag"/>
    <tableColumn id="12" name="S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imProduct" displayName="tblDimProduct" ref="A1:U61" headerRowCount="1">
  <autoFilter ref="A1:U61"/>
  <tableColumns count="21">
    <tableColumn id="1" name="Product_ID"/>
    <tableColumn id="2" name="SKU"/>
    <tableColumn id="3" name="Product_Name"/>
    <tableColumn id="4" name="Category"/>
    <tableColumn id="5" name="Subcategory"/>
    <tableColumn id="6" name="Gender"/>
    <tableColumn id="7" name="Fabric_Type"/>
    <tableColumn id="8" name="Color"/>
    <tableColumn id="9" name="Core_Size_Run"/>
    <tableColumn id="10" name="Base_List_Price"/>
    <tableColumn id="11" name="Base_Unit_Cost"/>
    <tableColumn id="12" name="Launch_Date"/>
    <tableColumn id="13" name="Collection_Name"/>
    <tableColumn id="14" name="Season"/>
    <tableColumn id="15" name="Style_Theme"/>
    <tableColumn id="16" name="Timelessness_Score"/>
    <tableColumn id="17" name="Trend_Score"/>
    <tableColumn id="18" name="Supplier_ID"/>
    <tableColumn id="19" name="Reorder_Level"/>
    <tableColumn id="20" name="Lead_Time_Days"/>
    <tableColumn id="21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imCustomer" displayName="tblDimCustomer" ref="A1:I121" headerRowCount="1">
  <autoFilter ref="A1:I121"/>
  <tableColumns count="9">
    <tableColumn id="1" name="Customer_ID"/>
    <tableColumn id="2" name="Gender"/>
    <tableColumn id="3" name="Age"/>
    <tableColumn id="4" name="City"/>
    <tableColumn id="5" name="Country"/>
    <tableColumn id="6" name="Customer_Segment"/>
    <tableColumn id="7" name="Registration_Date"/>
    <tableColumn id="8" name="Preferred_Channel_ID"/>
    <tableColumn id="9" name="Loyalty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imChannel" displayName="tblDimChannel" ref="A1:B5" headerRowCount="1">
  <autoFilter ref="A1:B5"/>
  <tableColumns count="2">
    <tableColumn id="1" name="Channel_ID"/>
    <tableColumn id="2" name="Channel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imPromotion" displayName="tblDimPromotion" ref="A1:G11" headerRowCount="1">
  <autoFilter ref="A1:G11"/>
  <tableColumns count="7">
    <tableColumn id="1" name="Promotion_ID"/>
    <tableColumn id="2" name="Promotion_Name"/>
    <tableColumn id="3" name="Discount_Type"/>
    <tableColumn id="4" name="Discount_Value"/>
    <tableColumn id="5" name="Target_Category"/>
    <tableColumn id="6" name="Start_Date"/>
    <tableColumn id="7" name="End_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actSales" displayName="tblFactSales" ref="A1:X1501" headerRowCount="1">
  <autoFilter ref="A1:X1501"/>
  <tableColumns count="24">
    <tableColumn id="1" name="Sales_Line_ID"/>
    <tableColumn id="2" name="Order_ID"/>
    <tableColumn id="3" name="Date_Key"/>
    <tableColumn id="4" name="Customer_ID"/>
    <tableColumn id="5" name="Product_ID"/>
    <tableColumn id="6" name="Size"/>
    <tableColumn id="7" name="Channel_ID"/>
    <tableColumn id="8" name="Promotion_ID"/>
    <tableColumn id="9" name="List_Price"/>
    <tableColumn id="10" name="Discount_Pct"/>
    <tableColumn id="11" name="Net_Unit_Price"/>
    <tableColumn id="12" name="Quantity_Sold"/>
    <tableColumn id="13" name="Gross_Revenue"/>
    <tableColumn id="14" name="Unit_Cost"/>
    <tableColumn id="15" name="Total_Cost"/>
    <tableColumn id="16" name="Gross_Profit"/>
    <tableColumn id="17" name="Returned_Flag"/>
    <tableColumn id="18" name="Returned_Quantity"/>
    <tableColumn id="19" name="Net_Revenue"/>
    <tableColumn id="20" name="Product_Name_Lookup"/>
    <tableColumn id="21" name="Category_Lookup"/>
    <tableColumn id="22" name="Customer_Segment_Lookup"/>
    <tableColumn id="23" name="Channel_Name_Lookup"/>
    <tableColumn id="24" name="Promotion_Name_Looku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actInventory" displayName="tblFactInventory" ref="A1:K721" headerRowCount="1">
  <autoFilter ref="A1:K721"/>
  <tableColumns count="11">
    <tableColumn id="1" name="Month_Key"/>
    <tableColumn id="2" name="Product_ID"/>
    <tableColumn id="3" name="Opening_Stock"/>
    <tableColumn id="4" name="Received_Stock"/>
    <tableColumn id="5" name="Sold_Stock"/>
    <tableColumn id="6" name="Returned_Stock"/>
    <tableColumn id="7" name="Damaged_Stock"/>
    <tableColumn id="8" name="Closing_Stock"/>
    <tableColumn id="9" name="Reorder_Level"/>
    <tableColumn id="10" name="Stockout_Flag"/>
    <tableColumn id="11" name="Overstock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tabSelected="1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Old Fashion – Data-Driven Fashion Brand</t>
        </is>
      </c>
    </row>
    <row r="2">
      <c r="A2" s="2" t="inlineStr">
        <is>
          <t>Workbook purpose</t>
        </is>
      </c>
      <c r="B2" t="inlineStr">
        <is>
          <t>Synthetic but internally validated fashion dataset for Power BI / Excel modeling.</t>
        </is>
      </c>
    </row>
    <row r="3">
      <c r="A3" s="2" t="inlineStr">
        <is>
          <t>Fact row count</t>
        </is>
      </c>
      <c r="B3" t="inlineStr">
        <is>
          <t>Fact_Sales contains exactly 1,500 order-line rows.</t>
        </is>
      </c>
    </row>
    <row r="4">
      <c r="A4" s="2" t="inlineStr">
        <is>
          <t>Star schema</t>
        </is>
      </c>
      <c r="B4" t="inlineStr">
        <is>
          <t>Fact_Sales, Fact_Inventory_Monthly linked to dimensions using surrogate keys.</t>
        </is>
      </c>
    </row>
    <row r="5">
      <c r="A5" s="2" t="inlineStr">
        <is>
          <t>Primary joins</t>
        </is>
      </c>
      <c r="B5" t="inlineStr">
        <is>
          <t>Fact_Sales[Date_Key]→Dim_Date[Date_Key]; Fact_Sales[Product_ID]→Dim_Product[Product_ID]; Fact_Sales[Customer_ID]→Dim_Customer[Customer_ID]; Fact_Sales[Channel_ID]→Dim_Channel[Channel_ID]; Fact_Sales[Promotion_ID]→Dim_Promotion[Promotion_ID].</t>
        </is>
      </c>
    </row>
    <row r="6">
      <c r="A6" s="2" t="inlineStr">
        <is>
          <t>Validation</t>
        </is>
      </c>
      <c r="B6" t="inlineStr">
        <is>
          <t>Foreign keys in fact tables are constrained with data validation lists where practical, and every key value exists in its matching dimension table.</t>
        </is>
      </c>
    </row>
    <row r="7">
      <c r="A7" s="2" t="inlineStr">
        <is>
          <t>Derived columns</t>
        </is>
      </c>
      <c r="B7" t="inlineStr">
        <is>
          <t>Fact_Sales revenue / cost / profit fields use formulas so the file is ready for audit and extension.</t>
        </is>
      </c>
    </row>
    <row r="8">
      <c r="A8" s="2" t="inlineStr">
        <is>
          <t>Suggested Power BI model</t>
        </is>
      </c>
      <c r="B8" t="inlineStr">
        <is>
          <t>Use one-to-many relationships from each dimension to the fact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3" customWidth="1" min="8" max="8"/>
    <col width="13" customWidth="1" min="9" max="9"/>
    <col width="14" customWidth="1" min="10" max="10"/>
    <col width="14" customWidth="1" min="11" max="11"/>
    <col width="10" customWidth="1" min="12" max="12"/>
  </cols>
  <sheetData>
    <row r="1">
      <c r="A1" s="3" t="inlineStr">
        <is>
          <t>Date_Key</t>
        </is>
      </c>
      <c r="B1" s="3" t="inlineStr">
        <is>
          <t>Date</t>
        </is>
      </c>
      <c r="C1" s="3" t="inlineStr">
        <is>
          <t>Day</t>
        </is>
      </c>
      <c r="D1" s="3" t="inlineStr">
        <is>
          <t>Month</t>
        </is>
      </c>
      <c r="E1" s="3" t="inlineStr">
        <is>
          <t>Month_Name</t>
        </is>
      </c>
      <c r="F1" s="3" t="inlineStr">
        <is>
          <t>Quarter</t>
        </is>
      </c>
      <c r="G1" s="3" t="inlineStr">
        <is>
          <t>Year</t>
        </is>
      </c>
      <c r="H1" s="3" t="inlineStr">
        <is>
          <t>Week_Number</t>
        </is>
      </c>
      <c r="I1" s="3" t="inlineStr">
        <is>
          <t>Day_of_Week</t>
        </is>
      </c>
      <c r="J1" s="3" t="inlineStr">
        <is>
          <t>Weekend_Flag</t>
        </is>
      </c>
      <c r="K1" s="3" t="inlineStr">
        <is>
          <t>Holiday_Flag</t>
        </is>
      </c>
      <c r="L1" s="3" t="inlineStr">
        <is>
          <t>Season</t>
        </is>
      </c>
    </row>
    <row r="2">
      <c r="A2" s="4" t="n">
        <v>20250101</v>
      </c>
      <c r="B2" s="5" t="n">
        <v>45658</v>
      </c>
      <c r="C2" t="n">
        <v>1</v>
      </c>
      <c r="D2" t="n">
        <v>1</v>
      </c>
      <c r="E2" t="inlineStr">
        <is>
          <t>January</t>
        </is>
      </c>
      <c r="F2" t="inlineStr">
        <is>
          <t>Q1</t>
        </is>
      </c>
      <c r="G2" t="n">
        <v>2025</v>
      </c>
      <c r="H2" t="n">
        <v>0</v>
      </c>
      <c r="I2" t="inlineStr">
        <is>
          <t>Wednesday</t>
        </is>
      </c>
      <c r="J2" t="inlineStr">
        <is>
          <t>No</t>
        </is>
      </c>
      <c r="K2" t="inlineStr">
        <is>
          <t>No</t>
        </is>
      </c>
      <c r="L2" t="inlineStr">
        <is>
          <t>Winter</t>
        </is>
      </c>
    </row>
    <row r="3">
      <c r="A3" s="4" t="n">
        <v>20250102</v>
      </c>
      <c r="B3" s="5" t="n">
        <v>45659</v>
      </c>
      <c r="C3" t="n">
        <v>2</v>
      </c>
      <c r="D3" t="n">
        <v>1</v>
      </c>
      <c r="E3" t="inlineStr">
        <is>
          <t>January</t>
        </is>
      </c>
      <c r="F3" t="inlineStr">
        <is>
          <t>Q1</t>
        </is>
      </c>
      <c r="G3" t="n">
        <v>2025</v>
      </c>
      <c r="H3" t="n">
        <v>0</v>
      </c>
      <c r="I3" t="inlineStr">
        <is>
          <t>Thursday</t>
        </is>
      </c>
      <c r="J3" t="inlineStr">
        <is>
          <t>No</t>
        </is>
      </c>
      <c r="K3" t="inlineStr">
        <is>
          <t>No</t>
        </is>
      </c>
      <c r="L3" t="inlineStr">
        <is>
          <t>Winter</t>
        </is>
      </c>
    </row>
    <row r="4">
      <c r="A4" s="4" t="n">
        <v>20250103</v>
      </c>
      <c r="B4" s="5" t="n">
        <v>45660</v>
      </c>
      <c r="C4" t="n">
        <v>3</v>
      </c>
      <c r="D4" t="n">
        <v>1</v>
      </c>
      <c r="E4" t="inlineStr">
        <is>
          <t>January</t>
        </is>
      </c>
      <c r="F4" t="inlineStr">
        <is>
          <t>Q1</t>
        </is>
      </c>
      <c r="G4" t="n">
        <v>2025</v>
      </c>
      <c r="H4" t="n">
        <v>0</v>
      </c>
      <c r="I4" t="inlineStr">
        <is>
          <t>Friday</t>
        </is>
      </c>
      <c r="J4" t="inlineStr">
        <is>
          <t>Yes</t>
        </is>
      </c>
      <c r="K4" t="inlineStr">
        <is>
          <t>No</t>
        </is>
      </c>
      <c r="L4" t="inlineStr">
        <is>
          <t>Winter</t>
        </is>
      </c>
    </row>
    <row r="5">
      <c r="A5" s="4" t="n">
        <v>20250104</v>
      </c>
      <c r="B5" s="5" t="n">
        <v>45661</v>
      </c>
      <c r="C5" t="n">
        <v>4</v>
      </c>
      <c r="D5" t="n">
        <v>1</v>
      </c>
      <c r="E5" t="inlineStr">
        <is>
          <t>January</t>
        </is>
      </c>
      <c r="F5" t="inlineStr">
        <is>
          <t>Q1</t>
        </is>
      </c>
      <c r="G5" t="n">
        <v>2025</v>
      </c>
      <c r="H5" t="n">
        <v>0</v>
      </c>
      <c r="I5" t="inlineStr">
        <is>
          <t>Saturday</t>
        </is>
      </c>
      <c r="J5" t="inlineStr">
        <is>
          <t>Yes</t>
        </is>
      </c>
      <c r="K5" t="inlineStr">
        <is>
          <t>No</t>
        </is>
      </c>
      <c r="L5" t="inlineStr">
        <is>
          <t>Winter</t>
        </is>
      </c>
    </row>
    <row r="6">
      <c r="A6" s="4" t="n">
        <v>20250105</v>
      </c>
      <c r="B6" s="5" t="n">
        <v>45662</v>
      </c>
      <c r="C6" t="n">
        <v>5</v>
      </c>
      <c r="D6" t="n">
        <v>1</v>
      </c>
      <c r="E6" t="inlineStr">
        <is>
          <t>January</t>
        </is>
      </c>
      <c r="F6" t="inlineStr">
        <is>
          <t>Q1</t>
        </is>
      </c>
      <c r="G6" t="n">
        <v>2025</v>
      </c>
      <c r="H6" t="n">
        <v>1</v>
      </c>
      <c r="I6" t="inlineStr">
        <is>
          <t>Sunday</t>
        </is>
      </c>
      <c r="J6" t="inlineStr">
        <is>
          <t>Yes</t>
        </is>
      </c>
      <c r="K6" t="inlineStr">
        <is>
          <t>No</t>
        </is>
      </c>
      <c r="L6" t="inlineStr">
        <is>
          <t>Winter</t>
        </is>
      </c>
    </row>
    <row r="7">
      <c r="A7" s="4" t="n">
        <v>20250106</v>
      </c>
      <c r="B7" s="5" t="n">
        <v>45663</v>
      </c>
      <c r="C7" t="n">
        <v>6</v>
      </c>
      <c r="D7" t="n">
        <v>1</v>
      </c>
      <c r="E7" t="inlineStr">
        <is>
          <t>January</t>
        </is>
      </c>
      <c r="F7" t="inlineStr">
        <is>
          <t>Q1</t>
        </is>
      </c>
      <c r="G7" t="n">
        <v>2025</v>
      </c>
      <c r="H7" t="n">
        <v>1</v>
      </c>
      <c r="I7" t="inlineStr">
        <is>
          <t>Monday</t>
        </is>
      </c>
      <c r="J7" t="inlineStr">
        <is>
          <t>No</t>
        </is>
      </c>
      <c r="K7" t="inlineStr">
        <is>
          <t>No</t>
        </is>
      </c>
      <c r="L7" t="inlineStr">
        <is>
          <t>Winter</t>
        </is>
      </c>
    </row>
    <row r="8">
      <c r="A8" s="4" t="n">
        <v>20250107</v>
      </c>
      <c r="B8" s="5" t="n">
        <v>45664</v>
      </c>
      <c r="C8" t="n">
        <v>7</v>
      </c>
      <c r="D8" t="n">
        <v>1</v>
      </c>
      <c r="E8" t="inlineStr">
        <is>
          <t>January</t>
        </is>
      </c>
      <c r="F8" t="inlineStr">
        <is>
          <t>Q1</t>
        </is>
      </c>
      <c r="G8" t="n">
        <v>2025</v>
      </c>
      <c r="H8" t="n">
        <v>1</v>
      </c>
      <c r="I8" t="inlineStr">
        <is>
          <t>Tuesday</t>
        </is>
      </c>
      <c r="J8" t="inlineStr">
        <is>
          <t>No</t>
        </is>
      </c>
      <c r="K8" t="inlineStr">
        <is>
          <t>No</t>
        </is>
      </c>
      <c r="L8" t="inlineStr">
        <is>
          <t>Winter</t>
        </is>
      </c>
    </row>
    <row r="9">
      <c r="A9" s="4" t="n">
        <v>20250108</v>
      </c>
      <c r="B9" s="5" t="n">
        <v>45665</v>
      </c>
      <c r="C9" t="n">
        <v>8</v>
      </c>
      <c r="D9" t="n">
        <v>1</v>
      </c>
      <c r="E9" t="inlineStr">
        <is>
          <t>January</t>
        </is>
      </c>
      <c r="F9" t="inlineStr">
        <is>
          <t>Q1</t>
        </is>
      </c>
      <c r="G9" t="n">
        <v>2025</v>
      </c>
      <c r="H9" t="n">
        <v>1</v>
      </c>
      <c r="I9" t="inlineStr">
        <is>
          <t>Wednesday</t>
        </is>
      </c>
      <c r="J9" t="inlineStr">
        <is>
          <t>No</t>
        </is>
      </c>
      <c r="K9" t="inlineStr">
        <is>
          <t>No</t>
        </is>
      </c>
      <c r="L9" t="inlineStr">
        <is>
          <t>Winter</t>
        </is>
      </c>
    </row>
    <row r="10">
      <c r="A10" s="4" t="n">
        <v>20250109</v>
      </c>
      <c r="B10" s="5" t="n">
        <v>45666</v>
      </c>
      <c r="C10" t="n">
        <v>9</v>
      </c>
      <c r="D10" t="n">
        <v>1</v>
      </c>
      <c r="E10" t="inlineStr">
        <is>
          <t>January</t>
        </is>
      </c>
      <c r="F10" t="inlineStr">
        <is>
          <t>Q1</t>
        </is>
      </c>
      <c r="G10" t="n">
        <v>2025</v>
      </c>
      <c r="H10" t="n">
        <v>1</v>
      </c>
      <c r="I10" t="inlineStr">
        <is>
          <t>Thursday</t>
        </is>
      </c>
      <c r="J10" t="inlineStr">
        <is>
          <t>No</t>
        </is>
      </c>
      <c r="K10" t="inlineStr">
        <is>
          <t>No</t>
        </is>
      </c>
      <c r="L10" t="inlineStr">
        <is>
          <t>Winter</t>
        </is>
      </c>
    </row>
    <row r="11">
      <c r="A11" s="4" t="n">
        <v>20250110</v>
      </c>
      <c r="B11" s="5" t="n">
        <v>45667</v>
      </c>
      <c r="C11" t="n">
        <v>10</v>
      </c>
      <c r="D11" t="n">
        <v>1</v>
      </c>
      <c r="E11" t="inlineStr">
        <is>
          <t>January</t>
        </is>
      </c>
      <c r="F11" t="inlineStr">
        <is>
          <t>Q1</t>
        </is>
      </c>
      <c r="G11" t="n">
        <v>2025</v>
      </c>
      <c r="H11" t="n">
        <v>1</v>
      </c>
      <c r="I11" t="inlineStr">
        <is>
          <t>Friday</t>
        </is>
      </c>
      <c r="J11" t="inlineStr">
        <is>
          <t>Yes</t>
        </is>
      </c>
      <c r="K11" t="inlineStr">
        <is>
          <t>No</t>
        </is>
      </c>
      <c r="L11" t="inlineStr">
        <is>
          <t>Winter</t>
        </is>
      </c>
    </row>
    <row r="12">
      <c r="A12" s="4" t="n">
        <v>20250111</v>
      </c>
      <c r="B12" s="5" t="n">
        <v>45668</v>
      </c>
      <c r="C12" t="n">
        <v>11</v>
      </c>
      <c r="D12" t="n">
        <v>1</v>
      </c>
      <c r="E12" t="inlineStr">
        <is>
          <t>January</t>
        </is>
      </c>
      <c r="F12" t="inlineStr">
        <is>
          <t>Q1</t>
        </is>
      </c>
      <c r="G12" t="n">
        <v>2025</v>
      </c>
      <c r="H12" t="n">
        <v>1</v>
      </c>
      <c r="I12" t="inlineStr">
        <is>
          <t>Saturday</t>
        </is>
      </c>
      <c r="J12" t="inlineStr">
        <is>
          <t>Yes</t>
        </is>
      </c>
      <c r="K12" t="inlineStr">
        <is>
          <t>No</t>
        </is>
      </c>
      <c r="L12" t="inlineStr">
        <is>
          <t>Winter</t>
        </is>
      </c>
    </row>
    <row r="13">
      <c r="A13" s="4" t="n">
        <v>20250112</v>
      </c>
      <c r="B13" s="5" t="n">
        <v>45669</v>
      </c>
      <c r="C13" t="n">
        <v>12</v>
      </c>
      <c r="D13" t="n">
        <v>1</v>
      </c>
      <c r="E13" t="inlineStr">
        <is>
          <t>January</t>
        </is>
      </c>
      <c r="F13" t="inlineStr">
        <is>
          <t>Q1</t>
        </is>
      </c>
      <c r="G13" t="n">
        <v>2025</v>
      </c>
      <c r="H13" t="n">
        <v>2</v>
      </c>
      <c r="I13" t="inlineStr">
        <is>
          <t>Sunday</t>
        </is>
      </c>
      <c r="J13" t="inlineStr">
        <is>
          <t>Yes</t>
        </is>
      </c>
      <c r="K13" t="inlineStr">
        <is>
          <t>No</t>
        </is>
      </c>
      <c r="L13" t="inlineStr">
        <is>
          <t>Winter</t>
        </is>
      </c>
    </row>
    <row r="14">
      <c r="A14" s="4" t="n">
        <v>20250113</v>
      </c>
      <c r="B14" s="5" t="n">
        <v>45670</v>
      </c>
      <c r="C14" t="n">
        <v>13</v>
      </c>
      <c r="D14" t="n">
        <v>1</v>
      </c>
      <c r="E14" t="inlineStr">
        <is>
          <t>January</t>
        </is>
      </c>
      <c r="F14" t="inlineStr">
        <is>
          <t>Q1</t>
        </is>
      </c>
      <c r="G14" t="n">
        <v>2025</v>
      </c>
      <c r="H14" t="n">
        <v>2</v>
      </c>
      <c r="I14" t="inlineStr">
        <is>
          <t>Monday</t>
        </is>
      </c>
      <c r="J14" t="inlineStr">
        <is>
          <t>No</t>
        </is>
      </c>
      <c r="K14" t="inlineStr">
        <is>
          <t>No</t>
        </is>
      </c>
      <c r="L14" t="inlineStr">
        <is>
          <t>Winter</t>
        </is>
      </c>
    </row>
    <row r="15">
      <c r="A15" s="4" t="n">
        <v>20250114</v>
      </c>
      <c r="B15" s="5" t="n">
        <v>45671</v>
      </c>
      <c r="C15" t="n">
        <v>14</v>
      </c>
      <c r="D15" t="n">
        <v>1</v>
      </c>
      <c r="E15" t="inlineStr">
        <is>
          <t>January</t>
        </is>
      </c>
      <c r="F15" t="inlineStr">
        <is>
          <t>Q1</t>
        </is>
      </c>
      <c r="G15" t="n">
        <v>2025</v>
      </c>
      <c r="H15" t="n">
        <v>2</v>
      </c>
      <c r="I15" t="inlineStr">
        <is>
          <t>Tuesday</t>
        </is>
      </c>
      <c r="J15" t="inlineStr">
        <is>
          <t>No</t>
        </is>
      </c>
      <c r="K15" t="inlineStr">
        <is>
          <t>No</t>
        </is>
      </c>
      <c r="L15" t="inlineStr">
        <is>
          <t>Winter</t>
        </is>
      </c>
    </row>
    <row r="16">
      <c r="A16" s="4" t="n">
        <v>20250115</v>
      </c>
      <c r="B16" s="5" t="n">
        <v>45672</v>
      </c>
      <c r="C16" t="n">
        <v>15</v>
      </c>
      <c r="D16" t="n">
        <v>1</v>
      </c>
      <c r="E16" t="inlineStr">
        <is>
          <t>January</t>
        </is>
      </c>
      <c r="F16" t="inlineStr">
        <is>
          <t>Q1</t>
        </is>
      </c>
      <c r="G16" t="n">
        <v>2025</v>
      </c>
      <c r="H16" t="n">
        <v>2</v>
      </c>
      <c r="I16" t="inlineStr">
        <is>
          <t>Wednesday</t>
        </is>
      </c>
      <c r="J16" t="inlineStr">
        <is>
          <t>No</t>
        </is>
      </c>
      <c r="K16" t="inlineStr">
        <is>
          <t>No</t>
        </is>
      </c>
      <c r="L16" t="inlineStr">
        <is>
          <t>Winter</t>
        </is>
      </c>
    </row>
    <row r="17">
      <c r="A17" s="4" t="n">
        <v>20250116</v>
      </c>
      <c r="B17" s="5" t="n">
        <v>45673</v>
      </c>
      <c r="C17" t="n">
        <v>16</v>
      </c>
      <c r="D17" t="n">
        <v>1</v>
      </c>
      <c r="E17" t="inlineStr">
        <is>
          <t>January</t>
        </is>
      </c>
      <c r="F17" t="inlineStr">
        <is>
          <t>Q1</t>
        </is>
      </c>
      <c r="G17" t="n">
        <v>2025</v>
      </c>
      <c r="H17" t="n">
        <v>2</v>
      </c>
      <c r="I17" t="inlineStr">
        <is>
          <t>Thursday</t>
        </is>
      </c>
      <c r="J17" t="inlineStr">
        <is>
          <t>No</t>
        </is>
      </c>
      <c r="K17" t="inlineStr">
        <is>
          <t>No</t>
        </is>
      </c>
      <c r="L17" t="inlineStr">
        <is>
          <t>Winter</t>
        </is>
      </c>
    </row>
    <row r="18">
      <c r="A18" s="4" t="n">
        <v>20250117</v>
      </c>
      <c r="B18" s="5" t="n">
        <v>45674</v>
      </c>
      <c r="C18" t="n">
        <v>17</v>
      </c>
      <c r="D18" t="n">
        <v>1</v>
      </c>
      <c r="E18" t="inlineStr">
        <is>
          <t>January</t>
        </is>
      </c>
      <c r="F18" t="inlineStr">
        <is>
          <t>Q1</t>
        </is>
      </c>
      <c r="G18" t="n">
        <v>2025</v>
      </c>
      <c r="H18" t="n">
        <v>2</v>
      </c>
      <c r="I18" t="inlineStr">
        <is>
          <t>Friday</t>
        </is>
      </c>
      <c r="J18" t="inlineStr">
        <is>
          <t>Yes</t>
        </is>
      </c>
      <c r="K18" t="inlineStr">
        <is>
          <t>No</t>
        </is>
      </c>
      <c r="L18" t="inlineStr">
        <is>
          <t>Winter</t>
        </is>
      </c>
    </row>
    <row r="19">
      <c r="A19" s="4" t="n">
        <v>20250118</v>
      </c>
      <c r="B19" s="5" t="n">
        <v>45675</v>
      </c>
      <c r="C19" t="n">
        <v>18</v>
      </c>
      <c r="D19" t="n">
        <v>1</v>
      </c>
      <c r="E19" t="inlineStr">
        <is>
          <t>January</t>
        </is>
      </c>
      <c r="F19" t="inlineStr">
        <is>
          <t>Q1</t>
        </is>
      </c>
      <c r="G19" t="n">
        <v>2025</v>
      </c>
      <c r="H19" t="n">
        <v>2</v>
      </c>
      <c r="I19" t="inlineStr">
        <is>
          <t>Saturday</t>
        </is>
      </c>
      <c r="J19" t="inlineStr">
        <is>
          <t>Yes</t>
        </is>
      </c>
      <c r="K19" t="inlineStr">
        <is>
          <t>No</t>
        </is>
      </c>
      <c r="L19" t="inlineStr">
        <is>
          <t>Winter</t>
        </is>
      </c>
    </row>
    <row r="20">
      <c r="A20" s="4" t="n">
        <v>20250119</v>
      </c>
      <c r="B20" s="5" t="n">
        <v>45676</v>
      </c>
      <c r="C20" t="n">
        <v>19</v>
      </c>
      <c r="D20" t="n">
        <v>1</v>
      </c>
      <c r="E20" t="inlineStr">
        <is>
          <t>January</t>
        </is>
      </c>
      <c r="F20" t="inlineStr">
        <is>
          <t>Q1</t>
        </is>
      </c>
      <c r="G20" t="n">
        <v>2025</v>
      </c>
      <c r="H20" t="n">
        <v>3</v>
      </c>
      <c r="I20" t="inlineStr">
        <is>
          <t>Sunday</t>
        </is>
      </c>
      <c r="J20" t="inlineStr">
        <is>
          <t>Yes</t>
        </is>
      </c>
      <c r="K20" t="inlineStr">
        <is>
          <t>No</t>
        </is>
      </c>
      <c r="L20" t="inlineStr">
        <is>
          <t>Winter</t>
        </is>
      </c>
    </row>
    <row r="21">
      <c r="A21" s="4" t="n">
        <v>20250120</v>
      </c>
      <c r="B21" s="5" t="n">
        <v>45677</v>
      </c>
      <c r="C21" t="n">
        <v>20</v>
      </c>
      <c r="D21" t="n">
        <v>1</v>
      </c>
      <c r="E21" t="inlineStr">
        <is>
          <t>January</t>
        </is>
      </c>
      <c r="F21" t="inlineStr">
        <is>
          <t>Q1</t>
        </is>
      </c>
      <c r="G21" t="n">
        <v>2025</v>
      </c>
      <c r="H21" t="n">
        <v>3</v>
      </c>
      <c r="I21" t="inlineStr">
        <is>
          <t>Monday</t>
        </is>
      </c>
      <c r="J21" t="inlineStr">
        <is>
          <t>No</t>
        </is>
      </c>
      <c r="K21" t="inlineStr">
        <is>
          <t>No</t>
        </is>
      </c>
      <c r="L21" t="inlineStr">
        <is>
          <t>Winter</t>
        </is>
      </c>
    </row>
    <row r="22">
      <c r="A22" s="4" t="n">
        <v>20250121</v>
      </c>
      <c r="B22" s="5" t="n">
        <v>45678</v>
      </c>
      <c r="C22" t="n">
        <v>21</v>
      </c>
      <c r="D22" t="n">
        <v>1</v>
      </c>
      <c r="E22" t="inlineStr">
        <is>
          <t>January</t>
        </is>
      </c>
      <c r="F22" t="inlineStr">
        <is>
          <t>Q1</t>
        </is>
      </c>
      <c r="G22" t="n">
        <v>2025</v>
      </c>
      <c r="H22" t="n">
        <v>3</v>
      </c>
      <c r="I22" t="inlineStr">
        <is>
          <t>Tuesday</t>
        </is>
      </c>
      <c r="J22" t="inlineStr">
        <is>
          <t>No</t>
        </is>
      </c>
      <c r="K22" t="inlineStr">
        <is>
          <t>No</t>
        </is>
      </c>
      <c r="L22" t="inlineStr">
        <is>
          <t>Winter</t>
        </is>
      </c>
    </row>
    <row r="23">
      <c r="A23" s="4" t="n">
        <v>20250122</v>
      </c>
      <c r="B23" s="5" t="n">
        <v>45679</v>
      </c>
      <c r="C23" t="n">
        <v>22</v>
      </c>
      <c r="D23" t="n">
        <v>1</v>
      </c>
      <c r="E23" t="inlineStr">
        <is>
          <t>January</t>
        </is>
      </c>
      <c r="F23" t="inlineStr">
        <is>
          <t>Q1</t>
        </is>
      </c>
      <c r="G23" t="n">
        <v>2025</v>
      </c>
      <c r="H23" t="n">
        <v>3</v>
      </c>
      <c r="I23" t="inlineStr">
        <is>
          <t>Wednesday</t>
        </is>
      </c>
      <c r="J23" t="inlineStr">
        <is>
          <t>No</t>
        </is>
      </c>
      <c r="K23" t="inlineStr">
        <is>
          <t>No</t>
        </is>
      </c>
      <c r="L23" t="inlineStr">
        <is>
          <t>Winter</t>
        </is>
      </c>
    </row>
    <row r="24">
      <c r="A24" s="4" t="n">
        <v>20250123</v>
      </c>
      <c r="B24" s="5" t="n">
        <v>45680</v>
      </c>
      <c r="C24" t="n">
        <v>23</v>
      </c>
      <c r="D24" t="n">
        <v>1</v>
      </c>
      <c r="E24" t="inlineStr">
        <is>
          <t>January</t>
        </is>
      </c>
      <c r="F24" t="inlineStr">
        <is>
          <t>Q1</t>
        </is>
      </c>
      <c r="G24" t="n">
        <v>2025</v>
      </c>
      <c r="H24" t="n">
        <v>3</v>
      </c>
      <c r="I24" t="inlineStr">
        <is>
          <t>Thursday</t>
        </is>
      </c>
      <c r="J24" t="inlineStr">
        <is>
          <t>No</t>
        </is>
      </c>
      <c r="K24" t="inlineStr">
        <is>
          <t>No</t>
        </is>
      </c>
      <c r="L24" t="inlineStr">
        <is>
          <t>Winter</t>
        </is>
      </c>
    </row>
    <row r="25">
      <c r="A25" s="4" t="n">
        <v>20250124</v>
      </c>
      <c r="B25" s="5" t="n">
        <v>45681</v>
      </c>
      <c r="C25" t="n">
        <v>24</v>
      </c>
      <c r="D25" t="n">
        <v>1</v>
      </c>
      <c r="E25" t="inlineStr">
        <is>
          <t>January</t>
        </is>
      </c>
      <c r="F25" t="inlineStr">
        <is>
          <t>Q1</t>
        </is>
      </c>
      <c r="G25" t="n">
        <v>2025</v>
      </c>
      <c r="H25" t="n">
        <v>3</v>
      </c>
      <c r="I25" t="inlineStr">
        <is>
          <t>Friday</t>
        </is>
      </c>
      <c r="J25" t="inlineStr">
        <is>
          <t>Yes</t>
        </is>
      </c>
      <c r="K25" t="inlineStr">
        <is>
          <t>No</t>
        </is>
      </c>
      <c r="L25" t="inlineStr">
        <is>
          <t>Winter</t>
        </is>
      </c>
    </row>
    <row r="26">
      <c r="A26" s="4" t="n">
        <v>20250125</v>
      </c>
      <c r="B26" s="5" t="n">
        <v>45682</v>
      </c>
      <c r="C26" t="n">
        <v>25</v>
      </c>
      <c r="D26" t="n">
        <v>1</v>
      </c>
      <c r="E26" t="inlineStr">
        <is>
          <t>January</t>
        </is>
      </c>
      <c r="F26" t="inlineStr">
        <is>
          <t>Q1</t>
        </is>
      </c>
      <c r="G26" t="n">
        <v>2025</v>
      </c>
      <c r="H26" t="n">
        <v>3</v>
      </c>
      <c r="I26" t="inlineStr">
        <is>
          <t>Saturday</t>
        </is>
      </c>
      <c r="J26" t="inlineStr">
        <is>
          <t>Yes</t>
        </is>
      </c>
      <c r="K26" t="inlineStr">
        <is>
          <t>No</t>
        </is>
      </c>
      <c r="L26" t="inlineStr">
        <is>
          <t>Winter</t>
        </is>
      </c>
    </row>
    <row r="27">
      <c r="A27" s="4" t="n">
        <v>20250126</v>
      </c>
      <c r="B27" s="5" t="n">
        <v>45683</v>
      </c>
      <c r="C27" t="n">
        <v>26</v>
      </c>
      <c r="D27" t="n">
        <v>1</v>
      </c>
      <c r="E27" t="inlineStr">
        <is>
          <t>January</t>
        </is>
      </c>
      <c r="F27" t="inlineStr">
        <is>
          <t>Q1</t>
        </is>
      </c>
      <c r="G27" t="n">
        <v>2025</v>
      </c>
      <c r="H27" t="n">
        <v>4</v>
      </c>
      <c r="I27" t="inlineStr">
        <is>
          <t>Sunday</t>
        </is>
      </c>
      <c r="J27" t="inlineStr">
        <is>
          <t>Yes</t>
        </is>
      </c>
      <c r="K27" t="inlineStr">
        <is>
          <t>No</t>
        </is>
      </c>
      <c r="L27" t="inlineStr">
        <is>
          <t>Winter</t>
        </is>
      </c>
    </row>
    <row r="28">
      <c r="A28" s="4" t="n">
        <v>20250127</v>
      </c>
      <c r="B28" s="5" t="n">
        <v>45684</v>
      </c>
      <c r="C28" t="n">
        <v>27</v>
      </c>
      <c r="D28" t="n">
        <v>1</v>
      </c>
      <c r="E28" t="inlineStr">
        <is>
          <t>January</t>
        </is>
      </c>
      <c r="F28" t="inlineStr">
        <is>
          <t>Q1</t>
        </is>
      </c>
      <c r="G28" t="n">
        <v>2025</v>
      </c>
      <c r="H28" t="n">
        <v>4</v>
      </c>
      <c r="I28" t="inlineStr">
        <is>
          <t>Monday</t>
        </is>
      </c>
      <c r="J28" t="inlineStr">
        <is>
          <t>No</t>
        </is>
      </c>
      <c r="K28" t="inlineStr">
        <is>
          <t>No</t>
        </is>
      </c>
      <c r="L28" t="inlineStr">
        <is>
          <t>Winter</t>
        </is>
      </c>
    </row>
    <row r="29">
      <c r="A29" s="4" t="n">
        <v>20250128</v>
      </c>
      <c r="B29" s="5" t="n">
        <v>45685</v>
      </c>
      <c r="C29" t="n">
        <v>28</v>
      </c>
      <c r="D29" t="n">
        <v>1</v>
      </c>
      <c r="E29" t="inlineStr">
        <is>
          <t>January</t>
        </is>
      </c>
      <c r="F29" t="inlineStr">
        <is>
          <t>Q1</t>
        </is>
      </c>
      <c r="G29" t="n">
        <v>2025</v>
      </c>
      <c r="H29" t="n">
        <v>4</v>
      </c>
      <c r="I29" t="inlineStr">
        <is>
          <t>Tuesday</t>
        </is>
      </c>
      <c r="J29" t="inlineStr">
        <is>
          <t>No</t>
        </is>
      </c>
      <c r="K29" t="inlineStr">
        <is>
          <t>No</t>
        </is>
      </c>
      <c r="L29" t="inlineStr">
        <is>
          <t>Winter</t>
        </is>
      </c>
    </row>
    <row r="30">
      <c r="A30" s="4" t="n">
        <v>20250129</v>
      </c>
      <c r="B30" s="5" t="n">
        <v>45686</v>
      </c>
      <c r="C30" t="n">
        <v>29</v>
      </c>
      <c r="D30" t="n">
        <v>1</v>
      </c>
      <c r="E30" t="inlineStr">
        <is>
          <t>January</t>
        </is>
      </c>
      <c r="F30" t="inlineStr">
        <is>
          <t>Q1</t>
        </is>
      </c>
      <c r="G30" t="n">
        <v>2025</v>
      </c>
      <c r="H30" t="n">
        <v>4</v>
      </c>
      <c r="I30" t="inlineStr">
        <is>
          <t>Wednesday</t>
        </is>
      </c>
      <c r="J30" t="inlineStr">
        <is>
          <t>No</t>
        </is>
      </c>
      <c r="K30" t="inlineStr">
        <is>
          <t>No</t>
        </is>
      </c>
      <c r="L30" t="inlineStr">
        <is>
          <t>Winter</t>
        </is>
      </c>
    </row>
    <row r="31">
      <c r="A31" s="4" t="n">
        <v>20250130</v>
      </c>
      <c r="B31" s="5" t="n">
        <v>45687</v>
      </c>
      <c r="C31" t="n">
        <v>30</v>
      </c>
      <c r="D31" t="n">
        <v>1</v>
      </c>
      <c r="E31" t="inlineStr">
        <is>
          <t>January</t>
        </is>
      </c>
      <c r="F31" t="inlineStr">
        <is>
          <t>Q1</t>
        </is>
      </c>
      <c r="G31" t="n">
        <v>2025</v>
      </c>
      <c r="H31" t="n">
        <v>4</v>
      </c>
      <c r="I31" t="inlineStr">
        <is>
          <t>Thursday</t>
        </is>
      </c>
      <c r="J31" t="inlineStr">
        <is>
          <t>No</t>
        </is>
      </c>
      <c r="K31" t="inlineStr">
        <is>
          <t>No</t>
        </is>
      </c>
      <c r="L31" t="inlineStr">
        <is>
          <t>Winter</t>
        </is>
      </c>
    </row>
    <row r="32">
      <c r="A32" s="4" t="n">
        <v>20250131</v>
      </c>
      <c r="B32" s="5" t="n">
        <v>45688</v>
      </c>
      <c r="C32" t="n">
        <v>31</v>
      </c>
      <c r="D32" t="n">
        <v>1</v>
      </c>
      <c r="E32" t="inlineStr">
        <is>
          <t>January</t>
        </is>
      </c>
      <c r="F32" t="inlineStr">
        <is>
          <t>Q1</t>
        </is>
      </c>
      <c r="G32" t="n">
        <v>2025</v>
      </c>
      <c r="H32" t="n">
        <v>4</v>
      </c>
      <c r="I32" t="inlineStr">
        <is>
          <t>Friday</t>
        </is>
      </c>
      <c r="J32" t="inlineStr">
        <is>
          <t>Yes</t>
        </is>
      </c>
      <c r="K32" t="inlineStr">
        <is>
          <t>No</t>
        </is>
      </c>
      <c r="L32" t="inlineStr">
        <is>
          <t>Winter</t>
        </is>
      </c>
    </row>
    <row r="33">
      <c r="A33" s="4" t="n">
        <v>20250201</v>
      </c>
      <c r="B33" s="5" t="n">
        <v>45689</v>
      </c>
      <c r="C33" t="n">
        <v>1</v>
      </c>
      <c r="D33" t="n">
        <v>2</v>
      </c>
      <c r="E33" t="inlineStr">
        <is>
          <t>February</t>
        </is>
      </c>
      <c r="F33" t="inlineStr">
        <is>
          <t>Q1</t>
        </is>
      </c>
      <c r="G33" t="n">
        <v>2025</v>
      </c>
      <c r="H33" t="n">
        <v>4</v>
      </c>
      <c r="I33" t="inlineStr">
        <is>
          <t>Saturday</t>
        </is>
      </c>
      <c r="J33" t="inlineStr">
        <is>
          <t>Yes</t>
        </is>
      </c>
      <c r="K33" t="inlineStr">
        <is>
          <t>No</t>
        </is>
      </c>
      <c r="L33" t="inlineStr">
        <is>
          <t>Winter</t>
        </is>
      </c>
    </row>
    <row r="34">
      <c r="A34" s="4" t="n">
        <v>20250202</v>
      </c>
      <c r="B34" s="5" t="n">
        <v>45690</v>
      </c>
      <c r="C34" t="n">
        <v>2</v>
      </c>
      <c r="D34" t="n">
        <v>2</v>
      </c>
      <c r="E34" t="inlineStr">
        <is>
          <t>February</t>
        </is>
      </c>
      <c r="F34" t="inlineStr">
        <is>
          <t>Q1</t>
        </is>
      </c>
      <c r="G34" t="n">
        <v>2025</v>
      </c>
      <c r="H34" t="n">
        <v>5</v>
      </c>
      <c r="I34" t="inlineStr">
        <is>
          <t>Sunday</t>
        </is>
      </c>
      <c r="J34" t="inlineStr">
        <is>
          <t>Yes</t>
        </is>
      </c>
      <c r="K34" t="inlineStr">
        <is>
          <t>No</t>
        </is>
      </c>
      <c r="L34" t="inlineStr">
        <is>
          <t>Winter</t>
        </is>
      </c>
    </row>
    <row r="35">
      <c r="A35" s="4" t="n">
        <v>20250203</v>
      </c>
      <c r="B35" s="5" t="n">
        <v>45691</v>
      </c>
      <c r="C35" t="n">
        <v>3</v>
      </c>
      <c r="D35" t="n">
        <v>2</v>
      </c>
      <c r="E35" t="inlineStr">
        <is>
          <t>February</t>
        </is>
      </c>
      <c r="F35" t="inlineStr">
        <is>
          <t>Q1</t>
        </is>
      </c>
      <c r="G35" t="n">
        <v>2025</v>
      </c>
      <c r="H35" t="n">
        <v>5</v>
      </c>
      <c r="I35" t="inlineStr">
        <is>
          <t>Monday</t>
        </is>
      </c>
      <c r="J35" t="inlineStr">
        <is>
          <t>No</t>
        </is>
      </c>
      <c r="K35" t="inlineStr">
        <is>
          <t>No</t>
        </is>
      </c>
      <c r="L35" t="inlineStr">
        <is>
          <t>Winter</t>
        </is>
      </c>
    </row>
    <row r="36">
      <c r="A36" s="4" t="n">
        <v>20250204</v>
      </c>
      <c r="B36" s="5" t="n">
        <v>45692</v>
      </c>
      <c r="C36" t="n">
        <v>4</v>
      </c>
      <c r="D36" t="n">
        <v>2</v>
      </c>
      <c r="E36" t="inlineStr">
        <is>
          <t>February</t>
        </is>
      </c>
      <c r="F36" t="inlineStr">
        <is>
          <t>Q1</t>
        </is>
      </c>
      <c r="G36" t="n">
        <v>2025</v>
      </c>
      <c r="H36" t="n">
        <v>5</v>
      </c>
      <c r="I36" t="inlineStr">
        <is>
          <t>Tuesday</t>
        </is>
      </c>
      <c r="J36" t="inlineStr">
        <is>
          <t>No</t>
        </is>
      </c>
      <c r="K36" t="inlineStr">
        <is>
          <t>No</t>
        </is>
      </c>
      <c r="L36" t="inlineStr">
        <is>
          <t>Winter</t>
        </is>
      </c>
    </row>
    <row r="37">
      <c r="A37" s="4" t="n">
        <v>20250205</v>
      </c>
      <c r="B37" s="5" t="n">
        <v>45693</v>
      </c>
      <c r="C37" t="n">
        <v>5</v>
      </c>
      <c r="D37" t="n">
        <v>2</v>
      </c>
      <c r="E37" t="inlineStr">
        <is>
          <t>February</t>
        </is>
      </c>
      <c r="F37" t="inlineStr">
        <is>
          <t>Q1</t>
        </is>
      </c>
      <c r="G37" t="n">
        <v>2025</v>
      </c>
      <c r="H37" t="n">
        <v>5</v>
      </c>
      <c r="I37" t="inlineStr">
        <is>
          <t>Wednesday</t>
        </is>
      </c>
      <c r="J37" t="inlineStr">
        <is>
          <t>No</t>
        </is>
      </c>
      <c r="K37" t="inlineStr">
        <is>
          <t>No</t>
        </is>
      </c>
      <c r="L37" t="inlineStr">
        <is>
          <t>Winter</t>
        </is>
      </c>
    </row>
    <row r="38">
      <c r="A38" s="4" t="n">
        <v>20250206</v>
      </c>
      <c r="B38" s="5" t="n">
        <v>45694</v>
      </c>
      <c r="C38" t="n">
        <v>6</v>
      </c>
      <c r="D38" t="n">
        <v>2</v>
      </c>
      <c r="E38" t="inlineStr">
        <is>
          <t>February</t>
        </is>
      </c>
      <c r="F38" t="inlineStr">
        <is>
          <t>Q1</t>
        </is>
      </c>
      <c r="G38" t="n">
        <v>2025</v>
      </c>
      <c r="H38" t="n">
        <v>5</v>
      </c>
      <c r="I38" t="inlineStr">
        <is>
          <t>Thursday</t>
        </is>
      </c>
      <c r="J38" t="inlineStr">
        <is>
          <t>No</t>
        </is>
      </c>
      <c r="K38" t="inlineStr">
        <is>
          <t>No</t>
        </is>
      </c>
      <c r="L38" t="inlineStr">
        <is>
          <t>Winter</t>
        </is>
      </c>
    </row>
    <row r="39">
      <c r="A39" s="4" t="n">
        <v>20250207</v>
      </c>
      <c r="B39" s="5" t="n">
        <v>45695</v>
      </c>
      <c r="C39" t="n">
        <v>7</v>
      </c>
      <c r="D39" t="n">
        <v>2</v>
      </c>
      <c r="E39" t="inlineStr">
        <is>
          <t>February</t>
        </is>
      </c>
      <c r="F39" t="inlineStr">
        <is>
          <t>Q1</t>
        </is>
      </c>
      <c r="G39" t="n">
        <v>2025</v>
      </c>
      <c r="H39" t="n">
        <v>5</v>
      </c>
      <c r="I39" t="inlineStr">
        <is>
          <t>Friday</t>
        </is>
      </c>
      <c r="J39" t="inlineStr">
        <is>
          <t>Yes</t>
        </is>
      </c>
      <c r="K39" t="inlineStr">
        <is>
          <t>No</t>
        </is>
      </c>
      <c r="L39" t="inlineStr">
        <is>
          <t>Winter</t>
        </is>
      </c>
    </row>
    <row r="40">
      <c r="A40" s="4" t="n">
        <v>20250208</v>
      </c>
      <c r="B40" s="5" t="n">
        <v>45696</v>
      </c>
      <c r="C40" t="n">
        <v>8</v>
      </c>
      <c r="D40" t="n">
        <v>2</v>
      </c>
      <c r="E40" t="inlineStr">
        <is>
          <t>February</t>
        </is>
      </c>
      <c r="F40" t="inlineStr">
        <is>
          <t>Q1</t>
        </is>
      </c>
      <c r="G40" t="n">
        <v>2025</v>
      </c>
      <c r="H40" t="n">
        <v>5</v>
      </c>
      <c r="I40" t="inlineStr">
        <is>
          <t>Saturday</t>
        </is>
      </c>
      <c r="J40" t="inlineStr">
        <is>
          <t>Yes</t>
        </is>
      </c>
      <c r="K40" t="inlineStr">
        <is>
          <t>No</t>
        </is>
      </c>
      <c r="L40" t="inlineStr">
        <is>
          <t>Winter</t>
        </is>
      </c>
    </row>
    <row r="41">
      <c r="A41" s="4" t="n">
        <v>20250209</v>
      </c>
      <c r="B41" s="5" t="n">
        <v>45697</v>
      </c>
      <c r="C41" t="n">
        <v>9</v>
      </c>
      <c r="D41" t="n">
        <v>2</v>
      </c>
      <c r="E41" t="inlineStr">
        <is>
          <t>February</t>
        </is>
      </c>
      <c r="F41" t="inlineStr">
        <is>
          <t>Q1</t>
        </is>
      </c>
      <c r="G41" t="n">
        <v>2025</v>
      </c>
      <c r="H41" t="n">
        <v>6</v>
      </c>
      <c r="I41" t="inlineStr">
        <is>
          <t>Sunday</t>
        </is>
      </c>
      <c r="J41" t="inlineStr">
        <is>
          <t>Yes</t>
        </is>
      </c>
      <c r="K41" t="inlineStr">
        <is>
          <t>No</t>
        </is>
      </c>
      <c r="L41" t="inlineStr">
        <is>
          <t>Winter</t>
        </is>
      </c>
    </row>
    <row r="42">
      <c r="A42" s="4" t="n">
        <v>20250210</v>
      </c>
      <c r="B42" s="5" t="n">
        <v>45698</v>
      </c>
      <c r="C42" t="n">
        <v>10</v>
      </c>
      <c r="D42" t="n">
        <v>2</v>
      </c>
      <c r="E42" t="inlineStr">
        <is>
          <t>February</t>
        </is>
      </c>
      <c r="F42" t="inlineStr">
        <is>
          <t>Q1</t>
        </is>
      </c>
      <c r="G42" t="n">
        <v>2025</v>
      </c>
      <c r="H42" t="n">
        <v>6</v>
      </c>
      <c r="I42" t="inlineStr">
        <is>
          <t>Monday</t>
        </is>
      </c>
      <c r="J42" t="inlineStr">
        <is>
          <t>No</t>
        </is>
      </c>
      <c r="K42" t="inlineStr">
        <is>
          <t>No</t>
        </is>
      </c>
      <c r="L42" t="inlineStr">
        <is>
          <t>Winter</t>
        </is>
      </c>
    </row>
    <row r="43">
      <c r="A43" s="4" t="n">
        <v>20250211</v>
      </c>
      <c r="B43" s="5" t="n">
        <v>45699</v>
      </c>
      <c r="C43" t="n">
        <v>11</v>
      </c>
      <c r="D43" t="n">
        <v>2</v>
      </c>
      <c r="E43" t="inlineStr">
        <is>
          <t>February</t>
        </is>
      </c>
      <c r="F43" t="inlineStr">
        <is>
          <t>Q1</t>
        </is>
      </c>
      <c r="G43" t="n">
        <v>2025</v>
      </c>
      <c r="H43" t="n">
        <v>6</v>
      </c>
      <c r="I43" t="inlineStr">
        <is>
          <t>Tuesday</t>
        </is>
      </c>
      <c r="J43" t="inlineStr">
        <is>
          <t>No</t>
        </is>
      </c>
      <c r="K43" t="inlineStr">
        <is>
          <t>No</t>
        </is>
      </c>
      <c r="L43" t="inlineStr">
        <is>
          <t>Winter</t>
        </is>
      </c>
    </row>
    <row r="44">
      <c r="A44" s="4" t="n">
        <v>20250212</v>
      </c>
      <c r="B44" s="5" t="n">
        <v>45700</v>
      </c>
      <c r="C44" t="n">
        <v>12</v>
      </c>
      <c r="D44" t="n">
        <v>2</v>
      </c>
      <c r="E44" t="inlineStr">
        <is>
          <t>February</t>
        </is>
      </c>
      <c r="F44" t="inlineStr">
        <is>
          <t>Q1</t>
        </is>
      </c>
      <c r="G44" t="n">
        <v>2025</v>
      </c>
      <c r="H44" t="n">
        <v>6</v>
      </c>
      <c r="I44" t="inlineStr">
        <is>
          <t>Wednesday</t>
        </is>
      </c>
      <c r="J44" t="inlineStr">
        <is>
          <t>No</t>
        </is>
      </c>
      <c r="K44" t="inlineStr">
        <is>
          <t>No</t>
        </is>
      </c>
      <c r="L44" t="inlineStr">
        <is>
          <t>Winter</t>
        </is>
      </c>
    </row>
    <row r="45">
      <c r="A45" s="4" t="n">
        <v>20250213</v>
      </c>
      <c r="B45" s="5" t="n">
        <v>45701</v>
      </c>
      <c r="C45" t="n">
        <v>13</v>
      </c>
      <c r="D45" t="n">
        <v>2</v>
      </c>
      <c r="E45" t="inlineStr">
        <is>
          <t>February</t>
        </is>
      </c>
      <c r="F45" t="inlineStr">
        <is>
          <t>Q1</t>
        </is>
      </c>
      <c r="G45" t="n">
        <v>2025</v>
      </c>
      <c r="H45" t="n">
        <v>6</v>
      </c>
      <c r="I45" t="inlineStr">
        <is>
          <t>Thursday</t>
        </is>
      </c>
      <c r="J45" t="inlineStr">
        <is>
          <t>No</t>
        </is>
      </c>
      <c r="K45" t="inlineStr">
        <is>
          <t>No</t>
        </is>
      </c>
      <c r="L45" t="inlineStr">
        <is>
          <t>Winter</t>
        </is>
      </c>
    </row>
    <row r="46">
      <c r="A46" s="4" t="n">
        <v>20250214</v>
      </c>
      <c r="B46" s="5" t="n">
        <v>45702</v>
      </c>
      <c r="C46" t="n">
        <v>14</v>
      </c>
      <c r="D46" t="n">
        <v>2</v>
      </c>
      <c r="E46" t="inlineStr">
        <is>
          <t>February</t>
        </is>
      </c>
      <c r="F46" t="inlineStr">
        <is>
          <t>Q1</t>
        </is>
      </c>
      <c r="G46" t="n">
        <v>2025</v>
      </c>
      <c r="H46" t="n">
        <v>6</v>
      </c>
      <c r="I46" t="inlineStr">
        <is>
          <t>Friday</t>
        </is>
      </c>
      <c r="J46" t="inlineStr">
        <is>
          <t>Yes</t>
        </is>
      </c>
      <c r="K46" t="inlineStr">
        <is>
          <t>No</t>
        </is>
      </c>
      <c r="L46" t="inlineStr">
        <is>
          <t>Winter</t>
        </is>
      </c>
    </row>
    <row r="47">
      <c r="A47" s="4" t="n">
        <v>20250215</v>
      </c>
      <c r="B47" s="5" t="n">
        <v>45703</v>
      </c>
      <c r="C47" t="n">
        <v>15</v>
      </c>
      <c r="D47" t="n">
        <v>2</v>
      </c>
      <c r="E47" t="inlineStr">
        <is>
          <t>February</t>
        </is>
      </c>
      <c r="F47" t="inlineStr">
        <is>
          <t>Q1</t>
        </is>
      </c>
      <c r="G47" t="n">
        <v>2025</v>
      </c>
      <c r="H47" t="n">
        <v>6</v>
      </c>
      <c r="I47" t="inlineStr">
        <is>
          <t>Saturday</t>
        </is>
      </c>
      <c r="J47" t="inlineStr">
        <is>
          <t>Yes</t>
        </is>
      </c>
      <c r="K47" t="inlineStr">
        <is>
          <t>No</t>
        </is>
      </c>
      <c r="L47" t="inlineStr">
        <is>
          <t>Winter</t>
        </is>
      </c>
    </row>
    <row r="48">
      <c r="A48" s="4" t="n">
        <v>20250216</v>
      </c>
      <c r="B48" s="5" t="n">
        <v>45704</v>
      </c>
      <c r="C48" t="n">
        <v>16</v>
      </c>
      <c r="D48" t="n">
        <v>2</v>
      </c>
      <c r="E48" t="inlineStr">
        <is>
          <t>February</t>
        </is>
      </c>
      <c r="F48" t="inlineStr">
        <is>
          <t>Q1</t>
        </is>
      </c>
      <c r="G48" t="n">
        <v>2025</v>
      </c>
      <c r="H48" t="n">
        <v>7</v>
      </c>
      <c r="I48" t="inlineStr">
        <is>
          <t>Sunday</t>
        </is>
      </c>
      <c r="J48" t="inlineStr">
        <is>
          <t>Yes</t>
        </is>
      </c>
      <c r="K48" t="inlineStr">
        <is>
          <t>No</t>
        </is>
      </c>
      <c r="L48" t="inlineStr">
        <is>
          <t>Winter</t>
        </is>
      </c>
    </row>
    <row r="49">
      <c r="A49" s="4" t="n">
        <v>20250217</v>
      </c>
      <c r="B49" s="5" t="n">
        <v>45705</v>
      </c>
      <c r="C49" t="n">
        <v>17</v>
      </c>
      <c r="D49" t="n">
        <v>2</v>
      </c>
      <c r="E49" t="inlineStr">
        <is>
          <t>February</t>
        </is>
      </c>
      <c r="F49" t="inlineStr">
        <is>
          <t>Q1</t>
        </is>
      </c>
      <c r="G49" t="n">
        <v>2025</v>
      </c>
      <c r="H49" t="n">
        <v>7</v>
      </c>
      <c r="I49" t="inlineStr">
        <is>
          <t>Monday</t>
        </is>
      </c>
      <c r="J49" t="inlineStr">
        <is>
          <t>No</t>
        </is>
      </c>
      <c r="K49" t="inlineStr">
        <is>
          <t>No</t>
        </is>
      </c>
      <c r="L49" t="inlineStr">
        <is>
          <t>Winter</t>
        </is>
      </c>
    </row>
    <row r="50">
      <c r="A50" s="4" t="n">
        <v>20250218</v>
      </c>
      <c r="B50" s="5" t="n">
        <v>45706</v>
      </c>
      <c r="C50" t="n">
        <v>18</v>
      </c>
      <c r="D50" t="n">
        <v>2</v>
      </c>
      <c r="E50" t="inlineStr">
        <is>
          <t>February</t>
        </is>
      </c>
      <c r="F50" t="inlineStr">
        <is>
          <t>Q1</t>
        </is>
      </c>
      <c r="G50" t="n">
        <v>2025</v>
      </c>
      <c r="H50" t="n">
        <v>7</v>
      </c>
      <c r="I50" t="inlineStr">
        <is>
          <t>Tuesday</t>
        </is>
      </c>
      <c r="J50" t="inlineStr">
        <is>
          <t>No</t>
        </is>
      </c>
      <c r="K50" t="inlineStr">
        <is>
          <t>No</t>
        </is>
      </c>
      <c r="L50" t="inlineStr">
        <is>
          <t>Winter</t>
        </is>
      </c>
    </row>
    <row r="51">
      <c r="A51" s="4" t="n">
        <v>20250219</v>
      </c>
      <c r="B51" s="5" t="n">
        <v>45707</v>
      </c>
      <c r="C51" t="n">
        <v>19</v>
      </c>
      <c r="D51" t="n">
        <v>2</v>
      </c>
      <c r="E51" t="inlineStr">
        <is>
          <t>February</t>
        </is>
      </c>
      <c r="F51" t="inlineStr">
        <is>
          <t>Q1</t>
        </is>
      </c>
      <c r="G51" t="n">
        <v>2025</v>
      </c>
      <c r="H51" t="n">
        <v>7</v>
      </c>
      <c r="I51" t="inlineStr">
        <is>
          <t>Wednesday</t>
        </is>
      </c>
      <c r="J51" t="inlineStr">
        <is>
          <t>No</t>
        </is>
      </c>
      <c r="K51" t="inlineStr">
        <is>
          <t>No</t>
        </is>
      </c>
      <c r="L51" t="inlineStr">
        <is>
          <t>Winter</t>
        </is>
      </c>
    </row>
    <row r="52">
      <c r="A52" s="4" t="n">
        <v>20250220</v>
      </c>
      <c r="B52" s="5" t="n">
        <v>45708</v>
      </c>
      <c r="C52" t="n">
        <v>20</v>
      </c>
      <c r="D52" t="n">
        <v>2</v>
      </c>
      <c r="E52" t="inlineStr">
        <is>
          <t>February</t>
        </is>
      </c>
      <c r="F52" t="inlineStr">
        <is>
          <t>Q1</t>
        </is>
      </c>
      <c r="G52" t="n">
        <v>2025</v>
      </c>
      <c r="H52" t="n">
        <v>7</v>
      </c>
      <c r="I52" t="inlineStr">
        <is>
          <t>Thursday</t>
        </is>
      </c>
      <c r="J52" t="inlineStr">
        <is>
          <t>No</t>
        </is>
      </c>
      <c r="K52" t="inlineStr">
        <is>
          <t>No</t>
        </is>
      </c>
      <c r="L52" t="inlineStr">
        <is>
          <t>Winter</t>
        </is>
      </c>
    </row>
    <row r="53">
      <c r="A53" s="4" t="n">
        <v>20250221</v>
      </c>
      <c r="B53" s="5" t="n">
        <v>45709</v>
      </c>
      <c r="C53" t="n">
        <v>21</v>
      </c>
      <c r="D53" t="n">
        <v>2</v>
      </c>
      <c r="E53" t="inlineStr">
        <is>
          <t>February</t>
        </is>
      </c>
      <c r="F53" t="inlineStr">
        <is>
          <t>Q1</t>
        </is>
      </c>
      <c r="G53" t="n">
        <v>2025</v>
      </c>
      <c r="H53" t="n">
        <v>7</v>
      </c>
      <c r="I53" t="inlineStr">
        <is>
          <t>Friday</t>
        </is>
      </c>
      <c r="J53" t="inlineStr">
        <is>
          <t>Yes</t>
        </is>
      </c>
      <c r="K53" t="inlineStr">
        <is>
          <t>No</t>
        </is>
      </c>
      <c r="L53" t="inlineStr">
        <is>
          <t>Winter</t>
        </is>
      </c>
    </row>
    <row r="54">
      <c r="A54" s="4" t="n">
        <v>20250222</v>
      </c>
      <c r="B54" s="5" t="n">
        <v>45710</v>
      </c>
      <c r="C54" t="n">
        <v>22</v>
      </c>
      <c r="D54" t="n">
        <v>2</v>
      </c>
      <c r="E54" t="inlineStr">
        <is>
          <t>February</t>
        </is>
      </c>
      <c r="F54" t="inlineStr">
        <is>
          <t>Q1</t>
        </is>
      </c>
      <c r="G54" t="n">
        <v>2025</v>
      </c>
      <c r="H54" t="n">
        <v>7</v>
      </c>
      <c r="I54" t="inlineStr">
        <is>
          <t>Saturday</t>
        </is>
      </c>
      <c r="J54" t="inlineStr">
        <is>
          <t>Yes</t>
        </is>
      </c>
      <c r="K54" t="inlineStr">
        <is>
          <t>No</t>
        </is>
      </c>
      <c r="L54" t="inlineStr">
        <is>
          <t>Winter</t>
        </is>
      </c>
    </row>
    <row r="55">
      <c r="A55" s="4" t="n">
        <v>20250223</v>
      </c>
      <c r="B55" s="5" t="n">
        <v>45711</v>
      </c>
      <c r="C55" t="n">
        <v>23</v>
      </c>
      <c r="D55" t="n">
        <v>2</v>
      </c>
      <c r="E55" t="inlineStr">
        <is>
          <t>February</t>
        </is>
      </c>
      <c r="F55" t="inlineStr">
        <is>
          <t>Q1</t>
        </is>
      </c>
      <c r="G55" t="n">
        <v>2025</v>
      </c>
      <c r="H55" t="n">
        <v>8</v>
      </c>
      <c r="I55" t="inlineStr">
        <is>
          <t>Sunday</t>
        </is>
      </c>
      <c r="J55" t="inlineStr">
        <is>
          <t>Yes</t>
        </is>
      </c>
      <c r="K55" t="inlineStr">
        <is>
          <t>No</t>
        </is>
      </c>
      <c r="L55" t="inlineStr">
        <is>
          <t>Winter</t>
        </is>
      </c>
    </row>
    <row r="56">
      <c r="A56" s="4" t="n">
        <v>20250224</v>
      </c>
      <c r="B56" s="5" t="n">
        <v>45712</v>
      </c>
      <c r="C56" t="n">
        <v>24</v>
      </c>
      <c r="D56" t="n">
        <v>2</v>
      </c>
      <c r="E56" t="inlineStr">
        <is>
          <t>February</t>
        </is>
      </c>
      <c r="F56" t="inlineStr">
        <is>
          <t>Q1</t>
        </is>
      </c>
      <c r="G56" t="n">
        <v>2025</v>
      </c>
      <c r="H56" t="n">
        <v>8</v>
      </c>
      <c r="I56" t="inlineStr">
        <is>
          <t>Monday</t>
        </is>
      </c>
      <c r="J56" t="inlineStr">
        <is>
          <t>No</t>
        </is>
      </c>
      <c r="K56" t="inlineStr">
        <is>
          <t>No</t>
        </is>
      </c>
      <c r="L56" t="inlineStr">
        <is>
          <t>Winter</t>
        </is>
      </c>
    </row>
    <row r="57">
      <c r="A57" s="4" t="n">
        <v>20250225</v>
      </c>
      <c r="B57" s="5" t="n">
        <v>45713</v>
      </c>
      <c r="C57" t="n">
        <v>25</v>
      </c>
      <c r="D57" t="n">
        <v>2</v>
      </c>
      <c r="E57" t="inlineStr">
        <is>
          <t>February</t>
        </is>
      </c>
      <c r="F57" t="inlineStr">
        <is>
          <t>Q1</t>
        </is>
      </c>
      <c r="G57" t="n">
        <v>2025</v>
      </c>
      <c r="H57" t="n">
        <v>8</v>
      </c>
      <c r="I57" t="inlineStr">
        <is>
          <t>Tuesday</t>
        </is>
      </c>
      <c r="J57" t="inlineStr">
        <is>
          <t>No</t>
        </is>
      </c>
      <c r="K57" t="inlineStr">
        <is>
          <t>No</t>
        </is>
      </c>
      <c r="L57" t="inlineStr">
        <is>
          <t>Winter</t>
        </is>
      </c>
    </row>
    <row r="58">
      <c r="A58" s="4" t="n">
        <v>20250226</v>
      </c>
      <c r="B58" s="5" t="n">
        <v>45714</v>
      </c>
      <c r="C58" t="n">
        <v>26</v>
      </c>
      <c r="D58" t="n">
        <v>2</v>
      </c>
      <c r="E58" t="inlineStr">
        <is>
          <t>February</t>
        </is>
      </c>
      <c r="F58" t="inlineStr">
        <is>
          <t>Q1</t>
        </is>
      </c>
      <c r="G58" t="n">
        <v>2025</v>
      </c>
      <c r="H58" t="n">
        <v>8</v>
      </c>
      <c r="I58" t="inlineStr">
        <is>
          <t>Wednesday</t>
        </is>
      </c>
      <c r="J58" t="inlineStr">
        <is>
          <t>No</t>
        </is>
      </c>
      <c r="K58" t="inlineStr">
        <is>
          <t>No</t>
        </is>
      </c>
      <c r="L58" t="inlineStr">
        <is>
          <t>Winter</t>
        </is>
      </c>
    </row>
    <row r="59">
      <c r="A59" s="4" t="n">
        <v>20250227</v>
      </c>
      <c r="B59" s="5" t="n">
        <v>45715</v>
      </c>
      <c r="C59" t="n">
        <v>27</v>
      </c>
      <c r="D59" t="n">
        <v>2</v>
      </c>
      <c r="E59" t="inlineStr">
        <is>
          <t>February</t>
        </is>
      </c>
      <c r="F59" t="inlineStr">
        <is>
          <t>Q1</t>
        </is>
      </c>
      <c r="G59" t="n">
        <v>2025</v>
      </c>
      <c r="H59" t="n">
        <v>8</v>
      </c>
      <c r="I59" t="inlineStr">
        <is>
          <t>Thursday</t>
        </is>
      </c>
      <c r="J59" t="inlineStr">
        <is>
          <t>No</t>
        </is>
      </c>
      <c r="K59" t="inlineStr">
        <is>
          <t>No</t>
        </is>
      </c>
      <c r="L59" t="inlineStr">
        <is>
          <t>Winter</t>
        </is>
      </c>
    </row>
    <row r="60">
      <c r="A60" s="4" t="n">
        <v>20250228</v>
      </c>
      <c r="B60" s="5" t="n">
        <v>45716</v>
      </c>
      <c r="C60" t="n">
        <v>28</v>
      </c>
      <c r="D60" t="n">
        <v>2</v>
      </c>
      <c r="E60" t="inlineStr">
        <is>
          <t>February</t>
        </is>
      </c>
      <c r="F60" t="inlineStr">
        <is>
          <t>Q1</t>
        </is>
      </c>
      <c r="G60" t="n">
        <v>2025</v>
      </c>
      <c r="H60" t="n">
        <v>8</v>
      </c>
      <c r="I60" t="inlineStr">
        <is>
          <t>Friday</t>
        </is>
      </c>
      <c r="J60" t="inlineStr">
        <is>
          <t>Yes</t>
        </is>
      </c>
      <c r="K60" t="inlineStr">
        <is>
          <t>No</t>
        </is>
      </c>
      <c r="L60" t="inlineStr">
        <is>
          <t>Winter</t>
        </is>
      </c>
    </row>
    <row r="61">
      <c r="A61" s="4" t="n">
        <v>20250301</v>
      </c>
      <c r="B61" s="5" t="n">
        <v>45717</v>
      </c>
      <c r="C61" t="n">
        <v>1</v>
      </c>
      <c r="D61" t="n">
        <v>3</v>
      </c>
      <c r="E61" t="inlineStr">
        <is>
          <t>March</t>
        </is>
      </c>
      <c r="F61" t="inlineStr">
        <is>
          <t>Q1</t>
        </is>
      </c>
      <c r="G61" t="n">
        <v>2025</v>
      </c>
      <c r="H61" t="n">
        <v>8</v>
      </c>
      <c r="I61" t="inlineStr">
        <is>
          <t>Saturday</t>
        </is>
      </c>
      <c r="J61" t="inlineStr">
        <is>
          <t>Yes</t>
        </is>
      </c>
      <c r="K61" t="inlineStr">
        <is>
          <t>No</t>
        </is>
      </c>
      <c r="L61" t="inlineStr">
        <is>
          <t>Spring</t>
        </is>
      </c>
    </row>
    <row r="62">
      <c r="A62" s="4" t="n">
        <v>20250302</v>
      </c>
      <c r="B62" s="5" t="n">
        <v>45718</v>
      </c>
      <c r="C62" t="n">
        <v>2</v>
      </c>
      <c r="D62" t="n">
        <v>3</v>
      </c>
      <c r="E62" t="inlineStr">
        <is>
          <t>March</t>
        </is>
      </c>
      <c r="F62" t="inlineStr">
        <is>
          <t>Q1</t>
        </is>
      </c>
      <c r="G62" t="n">
        <v>2025</v>
      </c>
      <c r="H62" t="n">
        <v>9</v>
      </c>
      <c r="I62" t="inlineStr">
        <is>
          <t>Sunday</t>
        </is>
      </c>
      <c r="J62" t="inlineStr">
        <is>
          <t>Yes</t>
        </is>
      </c>
      <c r="K62" t="inlineStr">
        <is>
          <t>No</t>
        </is>
      </c>
      <c r="L62" t="inlineStr">
        <is>
          <t>Spring</t>
        </is>
      </c>
    </row>
    <row r="63">
      <c r="A63" s="4" t="n">
        <v>20250303</v>
      </c>
      <c r="B63" s="5" t="n">
        <v>45719</v>
      </c>
      <c r="C63" t="n">
        <v>3</v>
      </c>
      <c r="D63" t="n">
        <v>3</v>
      </c>
      <c r="E63" t="inlineStr">
        <is>
          <t>March</t>
        </is>
      </c>
      <c r="F63" t="inlineStr">
        <is>
          <t>Q1</t>
        </is>
      </c>
      <c r="G63" t="n">
        <v>2025</v>
      </c>
      <c r="H63" t="n">
        <v>9</v>
      </c>
      <c r="I63" t="inlineStr">
        <is>
          <t>Monday</t>
        </is>
      </c>
      <c r="J63" t="inlineStr">
        <is>
          <t>No</t>
        </is>
      </c>
      <c r="K63" t="inlineStr">
        <is>
          <t>No</t>
        </is>
      </c>
      <c r="L63" t="inlineStr">
        <is>
          <t>Spring</t>
        </is>
      </c>
    </row>
    <row r="64">
      <c r="A64" s="4" t="n">
        <v>20250304</v>
      </c>
      <c r="B64" s="5" t="n">
        <v>45720</v>
      </c>
      <c r="C64" t="n">
        <v>4</v>
      </c>
      <c r="D64" t="n">
        <v>3</v>
      </c>
      <c r="E64" t="inlineStr">
        <is>
          <t>March</t>
        </is>
      </c>
      <c r="F64" t="inlineStr">
        <is>
          <t>Q1</t>
        </is>
      </c>
      <c r="G64" t="n">
        <v>2025</v>
      </c>
      <c r="H64" t="n">
        <v>9</v>
      </c>
      <c r="I64" t="inlineStr">
        <is>
          <t>Tuesday</t>
        </is>
      </c>
      <c r="J64" t="inlineStr">
        <is>
          <t>No</t>
        </is>
      </c>
      <c r="K64" t="inlineStr">
        <is>
          <t>No</t>
        </is>
      </c>
      <c r="L64" t="inlineStr">
        <is>
          <t>Spring</t>
        </is>
      </c>
    </row>
    <row r="65">
      <c r="A65" s="4" t="n">
        <v>20250305</v>
      </c>
      <c r="B65" s="5" t="n">
        <v>45721</v>
      </c>
      <c r="C65" t="n">
        <v>5</v>
      </c>
      <c r="D65" t="n">
        <v>3</v>
      </c>
      <c r="E65" t="inlineStr">
        <is>
          <t>March</t>
        </is>
      </c>
      <c r="F65" t="inlineStr">
        <is>
          <t>Q1</t>
        </is>
      </c>
      <c r="G65" t="n">
        <v>2025</v>
      </c>
      <c r="H65" t="n">
        <v>9</v>
      </c>
      <c r="I65" t="inlineStr">
        <is>
          <t>Wednesday</t>
        </is>
      </c>
      <c r="J65" t="inlineStr">
        <is>
          <t>No</t>
        </is>
      </c>
      <c r="K65" t="inlineStr">
        <is>
          <t>No</t>
        </is>
      </c>
      <c r="L65" t="inlineStr">
        <is>
          <t>Spring</t>
        </is>
      </c>
    </row>
    <row r="66">
      <c r="A66" s="4" t="n">
        <v>20250306</v>
      </c>
      <c r="B66" s="5" t="n">
        <v>45722</v>
      </c>
      <c r="C66" t="n">
        <v>6</v>
      </c>
      <c r="D66" t="n">
        <v>3</v>
      </c>
      <c r="E66" t="inlineStr">
        <is>
          <t>March</t>
        </is>
      </c>
      <c r="F66" t="inlineStr">
        <is>
          <t>Q1</t>
        </is>
      </c>
      <c r="G66" t="n">
        <v>2025</v>
      </c>
      <c r="H66" t="n">
        <v>9</v>
      </c>
      <c r="I66" t="inlineStr">
        <is>
          <t>Thursday</t>
        </is>
      </c>
      <c r="J66" t="inlineStr">
        <is>
          <t>No</t>
        </is>
      </c>
      <c r="K66" t="inlineStr">
        <is>
          <t>No</t>
        </is>
      </c>
      <c r="L66" t="inlineStr">
        <is>
          <t>Spring</t>
        </is>
      </c>
    </row>
    <row r="67">
      <c r="A67" s="4" t="n">
        <v>20250307</v>
      </c>
      <c r="B67" s="5" t="n">
        <v>45723</v>
      </c>
      <c r="C67" t="n">
        <v>7</v>
      </c>
      <c r="D67" t="n">
        <v>3</v>
      </c>
      <c r="E67" t="inlineStr">
        <is>
          <t>March</t>
        </is>
      </c>
      <c r="F67" t="inlineStr">
        <is>
          <t>Q1</t>
        </is>
      </c>
      <c r="G67" t="n">
        <v>2025</v>
      </c>
      <c r="H67" t="n">
        <v>9</v>
      </c>
      <c r="I67" t="inlineStr">
        <is>
          <t>Friday</t>
        </is>
      </c>
      <c r="J67" t="inlineStr">
        <is>
          <t>Yes</t>
        </is>
      </c>
      <c r="K67" t="inlineStr">
        <is>
          <t>No</t>
        </is>
      </c>
      <c r="L67" t="inlineStr">
        <is>
          <t>Spring</t>
        </is>
      </c>
    </row>
    <row r="68">
      <c r="A68" s="4" t="n">
        <v>20250308</v>
      </c>
      <c r="B68" s="5" t="n">
        <v>45724</v>
      </c>
      <c r="C68" t="n">
        <v>8</v>
      </c>
      <c r="D68" t="n">
        <v>3</v>
      </c>
      <c r="E68" t="inlineStr">
        <is>
          <t>March</t>
        </is>
      </c>
      <c r="F68" t="inlineStr">
        <is>
          <t>Q1</t>
        </is>
      </c>
      <c r="G68" t="n">
        <v>2025</v>
      </c>
      <c r="H68" t="n">
        <v>9</v>
      </c>
      <c r="I68" t="inlineStr">
        <is>
          <t>Saturday</t>
        </is>
      </c>
      <c r="J68" t="inlineStr">
        <is>
          <t>Yes</t>
        </is>
      </c>
      <c r="K68" t="inlineStr">
        <is>
          <t>No</t>
        </is>
      </c>
      <c r="L68" t="inlineStr">
        <is>
          <t>Spring</t>
        </is>
      </c>
    </row>
    <row r="69">
      <c r="A69" s="4" t="n">
        <v>20250309</v>
      </c>
      <c r="B69" s="5" t="n">
        <v>45725</v>
      </c>
      <c r="C69" t="n">
        <v>9</v>
      </c>
      <c r="D69" t="n">
        <v>3</v>
      </c>
      <c r="E69" t="inlineStr">
        <is>
          <t>March</t>
        </is>
      </c>
      <c r="F69" t="inlineStr">
        <is>
          <t>Q1</t>
        </is>
      </c>
      <c r="G69" t="n">
        <v>2025</v>
      </c>
      <c r="H69" t="n">
        <v>10</v>
      </c>
      <c r="I69" t="inlineStr">
        <is>
          <t>Sunday</t>
        </is>
      </c>
      <c r="J69" t="inlineStr">
        <is>
          <t>Yes</t>
        </is>
      </c>
      <c r="K69" t="inlineStr">
        <is>
          <t>No</t>
        </is>
      </c>
      <c r="L69" t="inlineStr">
        <is>
          <t>Spring</t>
        </is>
      </c>
    </row>
    <row r="70">
      <c r="A70" s="4" t="n">
        <v>20250310</v>
      </c>
      <c r="B70" s="5" t="n">
        <v>45726</v>
      </c>
      <c r="C70" t="n">
        <v>10</v>
      </c>
      <c r="D70" t="n">
        <v>3</v>
      </c>
      <c r="E70" t="inlineStr">
        <is>
          <t>March</t>
        </is>
      </c>
      <c r="F70" t="inlineStr">
        <is>
          <t>Q1</t>
        </is>
      </c>
      <c r="G70" t="n">
        <v>2025</v>
      </c>
      <c r="H70" t="n">
        <v>10</v>
      </c>
      <c r="I70" t="inlineStr">
        <is>
          <t>Monday</t>
        </is>
      </c>
      <c r="J70" t="inlineStr">
        <is>
          <t>No</t>
        </is>
      </c>
      <c r="K70" t="inlineStr">
        <is>
          <t>No</t>
        </is>
      </c>
      <c r="L70" t="inlineStr">
        <is>
          <t>Spring</t>
        </is>
      </c>
    </row>
    <row r="71">
      <c r="A71" s="4" t="n">
        <v>20250311</v>
      </c>
      <c r="B71" s="5" t="n">
        <v>45727</v>
      </c>
      <c r="C71" t="n">
        <v>11</v>
      </c>
      <c r="D71" t="n">
        <v>3</v>
      </c>
      <c r="E71" t="inlineStr">
        <is>
          <t>March</t>
        </is>
      </c>
      <c r="F71" t="inlineStr">
        <is>
          <t>Q1</t>
        </is>
      </c>
      <c r="G71" t="n">
        <v>2025</v>
      </c>
      <c r="H71" t="n">
        <v>10</v>
      </c>
      <c r="I71" t="inlineStr">
        <is>
          <t>Tuesday</t>
        </is>
      </c>
      <c r="J71" t="inlineStr">
        <is>
          <t>No</t>
        </is>
      </c>
      <c r="K71" t="inlineStr">
        <is>
          <t>No</t>
        </is>
      </c>
      <c r="L71" t="inlineStr">
        <is>
          <t>Spring</t>
        </is>
      </c>
    </row>
    <row r="72">
      <c r="A72" s="4" t="n">
        <v>20250312</v>
      </c>
      <c r="B72" s="5" t="n">
        <v>45728</v>
      </c>
      <c r="C72" t="n">
        <v>12</v>
      </c>
      <c r="D72" t="n">
        <v>3</v>
      </c>
      <c r="E72" t="inlineStr">
        <is>
          <t>March</t>
        </is>
      </c>
      <c r="F72" t="inlineStr">
        <is>
          <t>Q1</t>
        </is>
      </c>
      <c r="G72" t="n">
        <v>2025</v>
      </c>
      <c r="H72" t="n">
        <v>10</v>
      </c>
      <c r="I72" t="inlineStr">
        <is>
          <t>Wednesday</t>
        </is>
      </c>
      <c r="J72" t="inlineStr">
        <is>
          <t>No</t>
        </is>
      </c>
      <c r="K72" t="inlineStr">
        <is>
          <t>No</t>
        </is>
      </c>
      <c r="L72" t="inlineStr">
        <is>
          <t>Spring</t>
        </is>
      </c>
    </row>
    <row r="73">
      <c r="A73" s="4" t="n">
        <v>20250313</v>
      </c>
      <c r="B73" s="5" t="n">
        <v>45729</v>
      </c>
      <c r="C73" t="n">
        <v>13</v>
      </c>
      <c r="D73" t="n">
        <v>3</v>
      </c>
      <c r="E73" t="inlineStr">
        <is>
          <t>March</t>
        </is>
      </c>
      <c r="F73" t="inlineStr">
        <is>
          <t>Q1</t>
        </is>
      </c>
      <c r="G73" t="n">
        <v>2025</v>
      </c>
      <c r="H73" t="n">
        <v>10</v>
      </c>
      <c r="I73" t="inlineStr">
        <is>
          <t>Thursday</t>
        </is>
      </c>
      <c r="J73" t="inlineStr">
        <is>
          <t>No</t>
        </is>
      </c>
      <c r="K73" t="inlineStr">
        <is>
          <t>No</t>
        </is>
      </c>
      <c r="L73" t="inlineStr">
        <is>
          <t>Spring</t>
        </is>
      </c>
    </row>
    <row r="74">
      <c r="A74" s="4" t="n">
        <v>20250314</v>
      </c>
      <c r="B74" s="5" t="n">
        <v>45730</v>
      </c>
      <c r="C74" t="n">
        <v>14</v>
      </c>
      <c r="D74" t="n">
        <v>3</v>
      </c>
      <c r="E74" t="inlineStr">
        <is>
          <t>March</t>
        </is>
      </c>
      <c r="F74" t="inlineStr">
        <is>
          <t>Q1</t>
        </is>
      </c>
      <c r="G74" t="n">
        <v>2025</v>
      </c>
      <c r="H74" t="n">
        <v>10</v>
      </c>
      <c r="I74" t="inlineStr">
        <is>
          <t>Friday</t>
        </is>
      </c>
      <c r="J74" t="inlineStr">
        <is>
          <t>Yes</t>
        </is>
      </c>
      <c r="K74" t="inlineStr">
        <is>
          <t>No</t>
        </is>
      </c>
      <c r="L74" t="inlineStr">
        <is>
          <t>Spring</t>
        </is>
      </c>
    </row>
    <row r="75">
      <c r="A75" s="4" t="n">
        <v>20250315</v>
      </c>
      <c r="B75" s="5" t="n">
        <v>45731</v>
      </c>
      <c r="C75" t="n">
        <v>15</v>
      </c>
      <c r="D75" t="n">
        <v>3</v>
      </c>
      <c r="E75" t="inlineStr">
        <is>
          <t>March</t>
        </is>
      </c>
      <c r="F75" t="inlineStr">
        <is>
          <t>Q1</t>
        </is>
      </c>
      <c r="G75" t="n">
        <v>2025</v>
      </c>
      <c r="H75" t="n">
        <v>10</v>
      </c>
      <c r="I75" t="inlineStr">
        <is>
          <t>Saturday</t>
        </is>
      </c>
      <c r="J75" t="inlineStr">
        <is>
          <t>Yes</t>
        </is>
      </c>
      <c r="K75" t="inlineStr">
        <is>
          <t>No</t>
        </is>
      </c>
      <c r="L75" t="inlineStr">
        <is>
          <t>Spring</t>
        </is>
      </c>
    </row>
    <row r="76">
      <c r="A76" s="4" t="n">
        <v>20250316</v>
      </c>
      <c r="B76" s="5" t="n">
        <v>45732</v>
      </c>
      <c r="C76" t="n">
        <v>16</v>
      </c>
      <c r="D76" t="n">
        <v>3</v>
      </c>
      <c r="E76" t="inlineStr">
        <is>
          <t>March</t>
        </is>
      </c>
      <c r="F76" t="inlineStr">
        <is>
          <t>Q1</t>
        </is>
      </c>
      <c r="G76" t="n">
        <v>2025</v>
      </c>
      <c r="H76" t="n">
        <v>11</v>
      </c>
      <c r="I76" t="inlineStr">
        <is>
          <t>Sunday</t>
        </is>
      </c>
      <c r="J76" t="inlineStr">
        <is>
          <t>Yes</t>
        </is>
      </c>
      <c r="K76" t="inlineStr">
        <is>
          <t>No</t>
        </is>
      </c>
      <c r="L76" t="inlineStr">
        <is>
          <t>Spring</t>
        </is>
      </c>
    </row>
    <row r="77">
      <c r="A77" s="4" t="n">
        <v>20250317</v>
      </c>
      <c r="B77" s="5" t="n">
        <v>45733</v>
      </c>
      <c r="C77" t="n">
        <v>17</v>
      </c>
      <c r="D77" t="n">
        <v>3</v>
      </c>
      <c r="E77" t="inlineStr">
        <is>
          <t>March</t>
        </is>
      </c>
      <c r="F77" t="inlineStr">
        <is>
          <t>Q1</t>
        </is>
      </c>
      <c r="G77" t="n">
        <v>2025</v>
      </c>
      <c r="H77" t="n">
        <v>11</v>
      </c>
      <c r="I77" t="inlineStr">
        <is>
          <t>Monday</t>
        </is>
      </c>
      <c r="J77" t="inlineStr">
        <is>
          <t>No</t>
        </is>
      </c>
      <c r="K77" t="inlineStr">
        <is>
          <t>No</t>
        </is>
      </c>
      <c r="L77" t="inlineStr">
        <is>
          <t>Spring</t>
        </is>
      </c>
    </row>
    <row r="78">
      <c r="A78" s="4" t="n">
        <v>20250318</v>
      </c>
      <c r="B78" s="5" t="n">
        <v>45734</v>
      </c>
      <c r="C78" t="n">
        <v>18</v>
      </c>
      <c r="D78" t="n">
        <v>3</v>
      </c>
      <c r="E78" t="inlineStr">
        <is>
          <t>March</t>
        </is>
      </c>
      <c r="F78" t="inlineStr">
        <is>
          <t>Q1</t>
        </is>
      </c>
      <c r="G78" t="n">
        <v>2025</v>
      </c>
      <c r="H78" t="n">
        <v>11</v>
      </c>
      <c r="I78" t="inlineStr">
        <is>
          <t>Tuesday</t>
        </is>
      </c>
      <c r="J78" t="inlineStr">
        <is>
          <t>No</t>
        </is>
      </c>
      <c r="K78" t="inlineStr">
        <is>
          <t>No</t>
        </is>
      </c>
      <c r="L78" t="inlineStr">
        <is>
          <t>Spring</t>
        </is>
      </c>
    </row>
    <row r="79">
      <c r="A79" s="4" t="n">
        <v>20250319</v>
      </c>
      <c r="B79" s="5" t="n">
        <v>45735</v>
      </c>
      <c r="C79" t="n">
        <v>19</v>
      </c>
      <c r="D79" t="n">
        <v>3</v>
      </c>
      <c r="E79" t="inlineStr">
        <is>
          <t>March</t>
        </is>
      </c>
      <c r="F79" t="inlineStr">
        <is>
          <t>Q1</t>
        </is>
      </c>
      <c r="G79" t="n">
        <v>2025</v>
      </c>
      <c r="H79" t="n">
        <v>11</v>
      </c>
      <c r="I79" t="inlineStr">
        <is>
          <t>Wednesday</t>
        </is>
      </c>
      <c r="J79" t="inlineStr">
        <is>
          <t>No</t>
        </is>
      </c>
      <c r="K79" t="inlineStr">
        <is>
          <t>No</t>
        </is>
      </c>
      <c r="L79" t="inlineStr">
        <is>
          <t>Spring</t>
        </is>
      </c>
    </row>
    <row r="80">
      <c r="A80" s="4" t="n">
        <v>20250320</v>
      </c>
      <c r="B80" s="5" t="n">
        <v>45736</v>
      </c>
      <c r="C80" t="n">
        <v>20</v>
      </c>
      <c r="D80" t="n">
        <v>3</v>
      </c>
      <c r="E80" t="inlineStr">
        <is>
          <t>March</t>
        </is>
      </c>
      <c r="F80" t="inlineStr">
        <is>
          <t>Q1</t>
        </is>
      </c>
      <c r="G80" t="n">
        <v>2025</v>
      </c>
      <c r="H80" t="n">
        <v>11</v>
      </c>
      <c r="I80" t="inlineStr">
        <is>
          <t>Thursday</t>
        </is>
      </c>
      <c r="J80" t="inlineStr">
        <is>
          <t>No</t>
        </is>
      </c>
      <c r="K80" t="inlineStr">
        <is>
          <t>No</t>
        </is>
      </c>
      <c r="L80" t="inlineStr">
        <is>
          <t>Spring</t>
        </is>
      </c>
    </row>
    <row r="81">
      <c r="A81" s="4" t="n">
        <v>20250321</v>
      </c>
      <c r="B81" s="5" t="n">
        <v>45737</v>
      </c>
      <c r="C81" t="n">
        <v>21</v>
      </c>
      <c r="D81" t="n">
        <v>3</v>
      </c>
      <c r="E81" t="inlineStr">
        <is>
          <t>March</t>
        </is>
      </c>
      <c r="F81" t="inlineStr">
        <is>
          <t>Q1</t>
        </is>
      </c>
      <c r="G81" t="n">
        <v>2025</v>
      </c>
      <c r="H81" t="n">
        <v>11</v>
      </c>
      <c r="I81" t="inlineStr">
        <is>
          <t>Friday</t>
        </is>
      </c>
      <c r="J81" t="inlineStr">
        <is>
          <t>Yes</t>
        </is>
      </c>
      <c r="K81" t="inlineStr">
        <is>
          <t>No</t>
        </is>
      </c>
      <c r="L81" t="inlineStr">
        <is>
          <t>Spring</t>
        </is>
      </c>
    </row>
    <row r="82">
      <c r="A82" s="4" t="n">
        <v>20250322</v>
      </c>
      <c r="B82" s="5" t="n">
        <v>45738</v>
      </c>
      <c r="C82" t="n">
        <v>22</v>
      </c>
      <c r="D82" t="n">
        <v>3</v>
      </c>
      <c r="E82" t="inlineStr">
        <is>
          <t>March</t>
        </is>
      </c>
      <c r="F82" t="inlineStr">
        <is>
          <t>Q1</t>
        </is>
      </c>
      <c r="G82" t="n">
        <v>2025</v>
      </c>
      <c r="H82" t="n">
        <v>11</v>
      </c>
      <c r="I82" t="inlineStr">
        <is>
          <t>Saturday</t>
        </is>
      </c>
      <c r="J82" t="inlineStr">
        <is>
          <t>Yes</t>
        </is>
      </c>
      <c r="K82" t="inlineStr">
        <is>
          <t>No</t>
        </is>
      </c>
      <c r="L82" t="inlineStr">
        <is>
          <t>Spring</t>
        </is>
      </c>
    </row>
    <row r="83">
      <c r="A83" s="4" t="n">
        <v>20250323</v>
      </c>
      <c r="B83" s="5" t="n">
        <v>45739</v>
      </c>
      <c r="C83" t="n">
        <v>23</v>
      </c>
      <c r="D83" t="n">
        <v>3</v>
      </c>
      <c r="E83" t="inlineStr">
        <is>
          <t>March</t>
        </is>
      </c>
      <c r="F83" t="inlineStr">
        <is>
          <t>Q1</t>
        </is>
      </c>
      <c r="G83" t="n">
        <v>2025</v>
      </c>
      <c r="H83" t="n">
        <v>12</v>
      </c>
      <c r="I83" t="inlineStr">
        <is>
          <t>Sunday</t>
        </is>
      </c>
      <c r="J83" t="inlineStr">
        <is>
          <t>Yes</t>
        </is>
      </c>
      <c r="K83" t="inlineStr">
        <is>
          <t>No</t>
        </is>
      </c>
      <c r="L83" t="inlineStr">
        <is>
          <t>Spring</t>
        </is>
      </c>
    </row>
    <row r="84">
      <c r="A84" s="4" t="n">
        <v>20250324</v>
      </c>
      <c r="B84" s="5" t="n">
        <v>45740</v>
      </c>
      <c r="C84" t="n">
        <v>24</v>
      </c>
      <c r="D84" t="n">
        <v>3</v>
      </c>
      <c r="E84" t="inlineStr">
        <is>
          <t>March</t>
        </is>
      </c>
      <c r="F84" t="inlineStr">
        <is>
          <t>Q1</t>
        </is>
      </c>
      <c r="G84" t="n">
        <v>2025</v>
      </c>
      <c r="H84" t="n">
        <v>12</v>
      </c>
      <c r="I84" t="inlineStr">
        <is>
          <t>Monday</t>
        </is>
      </c>
      <c r="J84" t="inlineStr">
        <is>
          <t>No</t>
        </is>
      </c>
      <c r="K84" t="inlineStr">
        <is>
          <t>No</t>
        </is>
      </c>
      <c r="L84" t="inlineStr">
        <is>
          <t>Spring</t>
        </is>
      </c>
    </row>
    <row r="85">
      <c r="A85" s="4" t="n">
        <v>20250325</v>
      </c>
      <c r="B85" s="5" t="n">
        <v>45741</v>
      </c>
      <c r="C85" t="n">
        <v>25</v>
      </c>
      <c r="D85" t="n">
        <v>3</v>
      </c>
      <c r="E85" t="inlineStr">
        <is>
          <t>March</t>
        </is>
      </c>
      <c r="F85" t="inlineStr">
        <is>
          <t>Q1</t>
        </is>
      </c>
      <c r="G85" t="n">
        <v>2025</v>
      </c>
      <c r="H85" t="n">
        <v>12</v>
      </c>
      <c r="I85" t="inlineStr">
        <is>
          <t>Tuesday</t>
        </is>
      </c>
      <c r="J85" t="inlineStr">
        <is>
          <t>No</t>
        </is>
      </c>
      <c r="K85" t="inlineStr">
        <is>
          <t>No</t>
        </is>
      </c>
      <c r="L85" t="inlineStr">
        <is>
          <t>Spring</t>
        </is>
      </c>
    </row>
    <row r="86">
      <c r="A86" s="4" t="n">
        <v>20250326</v>
      </c>
      <c r="B86" s="5" t="n">
        <v>45742</v>
      </c>
      <c r="C86" t="n">
        <v>26</v>
      </c>
      <c r="D86" t="n">
        <v>3</v>
      </c>
      <c r="E86" t="inlineStr">
        <is>
          <t>March</t>
        </is>
      </c>
      <c r="F86" t="inlineStr">
        <is>
          <t>Q1</t>
        </is>
      </c>
      <c r="G86" t="n">
        <v>2025</v>
      </c>
      <c r="H86" t="n">
        <v>12</v>
      </c>
      <c r="I86" t="inlineStr">
        <is>
          <t>Wednesday</t>
        </is>
      </c>
      <c r="J86" t="inlineStr">
        <is>
          <t>No</t>
        </is>
      </c>
      <c r="K86" t="inlineStr">
        <is>
          <t>No</t>
        </is>
      </c>
      <c r="L86" t="inlineStr">
        <is>
          <t>Spring</t>
        </is>
      </c>
    </row>
    <row r="87">
      <c r="A87" s="4" t="n">
        <v>20250327</v>
      </c>
      <c r="B87" s="5" t="n">
        <v>45743</v>
      </c>
      <c r="C87" t="n">
        <v>27</v>
      </c>
      <c r="D87" t="n">
        <v>3</v>
      </c>
      <c r="E87" t="inlineStr">
        <is>
          <t>March</t>
        </is>
      </c>
      <c r="F87" t="inlineStr">
        <is>
          <t>Q1</t>
        </is>
      </c>
      <c r="G87" t="n">
        <v>2025</v>
      </c>
      <c r="H87" t="n">
        <v>12</v>
      </c>
      <c r="I87" t="inlineStr">
        <is>
          <t>Thursday</t>
        </is>
      </c>
      <c r="J87" t="inlineStr">
        <is>
          <t>No</t>
        </is>
      </c>
      <c r="K87" t="inlineStr">
        <is>
          <t>No</t>
        </is>
      </c>
      <c r="L87" t="inlineStr">
        <is>
          <t>Spring</t>
        </is>
      </c>
    </row>
    <row r="88">
      <c r="A88" s="4" t="n">
        <v>20250328</v>
      </c>
      <c r="B88" s="5" t="n">
        <v>45744</v>
      </c>
      <c r="C88" t="n">
        <v>28</v>
      </c>
      <c r="D88" t="n">
        <v>3</v>
      </c>
      <c r="E88" t="inlineStr">
        <is>
          <t>March</t>
        </is>
      </c>
      <c r="F88" t="inlineStr">
        <is>
          <t>Q1</t>
        </is>
      </c>
      <c r="G88" t="n">
        <v>2025</v>
      </c>
      <c r="H88" t="n">
        <v>12</v>
      </c>
      <c r="I88" t="inlineStr">
        <is>
          <t>Friday</t>
        </is>
      </c>
      <c r="J88" t="inlineStr">
        <is>
          <t>Yes</t>
        </is>
      </c>
      <c r="K88" t="inlineStr">
        <is>
          <t>No</t>
        </is>
      </c>
      <c r="L88" t="inlineStr">
        <is>
          <t>Spring</t>
        </is>
      </c>
    </row>
    <row r="89">
      <c r="A89" s="4" t="n">
        <v>20250329</v>
      </c>
      <c r="B89" s="5" t="n">
        <v>45745</v>
      </c>
      <c r="C89" t="n">
        <v>29</v>
      </c>
      <c r="D89" t="n">
        <v>3</v>
      </c>
      <c r="E89" t="inlineStr">
        <is>
          <t>March</t>
        </is>
      </c>
      <c r="F89" t="inlineStr">
        <is>
          <t>Q1</t>
        </is>
      </c>
      <c r="G89" t="n">
        <v>2025</v>
      </c>
      <c r="H89" t="n">
        <v>12</v>
      </c>
      <c r="I89" t="inlineStr">
        <is>
          <t>Saturday</t>
        </is>
      </c>
      <c r="J89" t="inlineStr">
        <is>
          <t>Yes</t>
        </is>
      </c>
      <c r="K89" t="inlineStr">
        <is>
          <t>No</t>
        </is>
      </c>
      <c r="L89" t="inlineStr">
        <is>
          <t>Spring</t>
        </is>
      </c>
    </row>
    <row r="90">
      <c r="A90" s="4" t="n">
        <v>20250330</v>
      </c>
      <c r="B90" s="5" t="n">
        <v>45746</v>
      </c>
      <c r="C90" t="n">
        <v>30</v>
      </c>
      <c r="D90" t="n">
        <v>3</v>
      </c>
      <c r="E90" t="inlineStr">
        <is>
          <t>March</t>
        </is>
      </c>
      <c r="F90" t="inlineStr">
        <is>
          <t>Q1</t>
        </is>
      </c>
      <c r="G90" t="n">
        <v>2025</v>
      </c>
      <c r="H90" t="n">
        <v>13</v>
      </c>
      <c r="I90" t="inlineStr">
        <is>
          <t>Sunday</t>
        </is>
      </c>
      <c r="J90" t="inlineStr">
        <is>
          <t>Yes</t>
        </is>
      </c>
      <c r="K90" t="inlineStr">
        <is>
          <t>No</t>
        </is>
      </c>
      <c r="L90" t="inlineStr">
        <is>
          <t>Spring</t>
        </is>
      </c>
    </row>
    <row r="91">
      <c r="A91" s="4" t="n">
        <v>20250331</v>
      </c>
      <c r="B91" s="5" t="n">
        <v>45747</v>
      </c>
      <c r="C91" t="n">
        <v>31</v>
      </c>
      <c r="D91" t="n">
        <v>3</v>
      </c>
      <c r="E91" t="inlineStr">
        <is>
          <t>March</t>
        </is>
      </c>
      <c r="F91" t="inlineStr">
        <is>
          <t>Q1</t>
        </is>
      </c>
      <c r="G91" t="n">
        <v>2025</v>
      </c>
      <c r="H91" t="n">
        <v>13</v>
      </c>
      <c r="I91" t="inlineStr">
        <is>
          <t>Monday</t>
        </is>
      </c>
      <c r="J91" t="inlineStr">
        <is>
          <t>No</t>
        </is>
      </c>
      <c r="K91" t="inlineStr">
        <is>
          <t>No</t>
        </is>
      </c>
      <c r="L91" t="inlineStr">
        <is>
          <t>Spring</t>
        </is>
      </c>
    </row>
    <row r="92">
      <c r="A92" s="4" t="n">
        <v>20250401</v>
      </c>
      <c r="B92" s="5" t="n">
        <v>45748</v>
      </c>
      <c r="C92" t="n">
        <v>1</v>
      </c>
      <c r="D92" t="n">
        <v>4</v>
      </c>
      <c r="E92" t="inlineStr">
        <is>
          <t>April</t>
        </is>
      </c>
      <c r="F92" t="inlineStr">
        <is>
          <t>Q2</t>
        </is>
      </c>
      <c r="G92" t="n">
        <v>2025</v>
      </c>
      <c r="H92" t="n">
        <v>13</v>
      </c>
      <c r="I92" t="inlineStr">
        <is>
          <t>Tuesday</t>
        </is>
      </c>
      <c r="J92" t="inlineStr">
        <is>
          <t>No</t>
        </is>
      </c>
      <c r="K92" t="inlineStr">
        <is>
          <t>No</t>
        </is>
      </c>
      <c r="L92" t="inlineStr">
        <is>
          <t>Spring</t>
        </is>
      </c>
    </row>
    <row r="93">
      <c r="A93" s="4" t="n">
        <v>20250402</v>
      </c>
      <c r="B93" s="5" t="n">
        <v>45749</v>
      </c>
      <c r="C93" t="n">
        <v>2</v>
      </c>
      <c r="D93" t="n">
        <v>4</v>
      </c>
      <c r="E93" t="inlineStr">
        <is>
          <t>April</t>
        </is>
      </c>
      <c r="F93" t="inlineStr">
        <is>
          <t>Q2</t>
        </is>
      </c>
      <c r="G93" t="n">
        <v>2025</v>
      </c>
      <c r="H93" t="n">
        <v>13</v>
      </c>
      <c r="I93" t="inlineStr">
        <is>
          <t>Wednesday</t>
        </is>
      </c>
      <c r="J93" t="inlineStr">
        <is>
          <t>No</t>
        </is>
      </c>
      <c r="K93" t="inlineStr">
        <is>
          <t>No</t>
        </is>
      </c>
      <c r="L93" t="inlineStr">
        <is>
          <t>Spring</t>
        </is>
      </c>
    </row>
    <row r="94">
      <c r="A94" s="4" t="n">
        <v>20250403</v>
      </c>
      <c r="B94" s="5" t="n">
        <v>45750</v>
      </c>
      <c r="C94" t="n">
        <v>3</v>
      </c>
      <c r="D94" t="n">
        <v>4</v>
      </c>
      <c r="E94" t="inlineStr">
        <is>
          <t>April</t>
        </is>
      </c>
      <c r="F94" t="inlineStr">
        <is>
          <t>Q2</t>
        </is>
      </c>
      <c r="G94" t="n">
        <v>2025</v>
      </c>
      <c r="H94" t="n">
        <v>13</v>
      </c>
      <c r="I94" t="inlineStr">
        <is>
          <t>Thursday</t>
        </is>
      </c>
      <c r="J94" t="inlineStr">
        <is>
          <t>No</t>
        </is>
      </c>
      <c r="K94" t="inlineStr">
        <is>
          <t>No</t>
        </is>
      </c>
      <c r="L94" t="inlineStr">
        <is>
          <t>Spring</t>
        </is>
      </c>
    </row>
    <row r="95">
      <c r="A95" s="4" t="n">
        <v>20250404</v>
      </c>
      <c r="B95" s="5" t="n">
        <v>45751</v>
      </c>
      <c r="C95" t="n">
        <v>4</v>
      </c>
      <c r="D95" t="n">
        <v>4</v>
      </c>
      <c r="E95" t="inlineStr">
        <is>
          <t>April</t>
        </is>
      </c>
      <c r="F95" t="inlineStr">
        <is>
          <t>Q2</t>
        </is>
      </c>
      <c r="G95" t="n">
        <v>2025</v>
      </c>
      <c r="H95" t="n">
        <v>13</v>
      </c>
      <c r="I95" t="inlineStr">
        <is>
          <t>Friday</t>
        </is>
      </c>
      <c r="J95" t="inlineStr">
        <is>
          <t>Yes</t>
        </is>
      </c>
      <c r="K95" t="inlineStr">
        <is>
          <t>No</t>
        </is>
      </c>
      <c r="L95" t="inlineStr">
        <is>
          <t>Spring</t>
        </is>
      </c>
    </row>
    <row r="96">
      <c r="A96" s="4" t="n">
        <v>20250405</v>
      </c>
      <c r="B96" s="5" t="n">
        <v>45752</v>
      </c>
      <c r="C96" t="n">
        <v>5</v>
      </c>
      <c r="D96" t="n">
        <v>4</v>
      </c>
      <c r="E96" t="inlineStr">
        <is>
          <t>April</t>
        </is>
      </c>
      <c r="F96" t="inlineStr">
        <is>
          <t>Q2</t>
        </is>
      </c>
      <c r="G96" t="n">
        <v>2025</v>
      </c>
      <c r="H96" t="n">
        <v>13</v>
      </c>
      <c r="I96" t="inlineStr">
        <is>
          <t>Saturday</t>
        </is>
      </c>
      <c r="J96" t="inlineStr">
        <is>
          <t>Yes</t>
        </is>
      </c>
      <c r="K96" t="inlineStr">
        <is>
          <t>No</t>
        </is>
      </c>
      <c r="L96" t="inlineStr">
        <is>
          <t>Spring</t>
        </is>
      </c>
    </row>
    <row r="97">
      <c r="A97" s="4" t="n">
        <v>20250406</v>
      </c>
      <c r="B97" s="5" t="n">
        <v>45753</v>
      </c>
      <c r="C97" t="n">
        <v>6</v>
      </c>
      <c r="D97" t="n">
        <v>4</v>
      </c>
      <c r="E97" t="inlineStr">
        <is>
          <t>April</t>
        </is>
      </c>
      <c r="F97" t="inlineStr">
        <is>
          <t>Q2</t>
        </is>
      </c>
      <c r="G97" t="n">
        <v>2025</v>
      </c>
      <c r="H97" t="n">
        <v>14</v>
      </c>
      <c r="I97" t="inlineStr">
        <is>
          <t>Sunday</t>
        </is>
      </c>
      <c r="J97" t="inlineStr">
        <is>
          <t>Yes</t>
        </is>
      </c>
      <c r="K97" t="inlineStr">
        <is>
          <t>No</t>
        </is>
      </c>
      <c r="L97" t="inlineStr">
        <is>
          <t>Spring</t>
        </is>
      </c>
    </row>
    <row r="98">
      <c r="A98" s="4" t="n">
        <v>20250407</v>
      </c>
      <c r="B98" s="5" t="n">
        <v>45754</v>
      </c>
      <c r="C98" t="n">
        <v>7</v>
      </c>
      <c r="D98" t="n">
        <v>4</v>
      </c>
      <c r="E98" t="inlineStr">
        <is>
          <t>April</t>
        </is>
      </c>
      <c r="F98" t="inlineStr">
        <is>
          <t>Q2</t>
        </is>
      </c>
      <c r="G98" t="n">
        <v>2025</v>
      </c>
      <c r="H98" t="n">
        <v>14</v>
      </c>
      <c r="I98" t="inlineStr">
        <is>
          <t>Monday</t>
        </is>
      </c>
      <c r="J98" t="inlineStr">
        <is>
          <t>No</t>
        </is>
      </c>
      <c r="K98" t="inlineStr">
        <is>
          <t>No</t>
        </is>
      </c>
      <c r="L98" t="inlineStr">
        <is>
          <t>Spring</t>
        </is>
      </c>
    </row>
    <row r="99">
      <c r="A99" s="4" t="n">
        <v>20250408</v>
      </c>
      <c r="B99" s="5" t="n">
        <v>45755</v>
      </c>
      <c r="C99" t="n">
        <v>8</v>
      </c>
      <c r="D99" t="n">
        <v>4</v>
      </c>
      <c r="E99" t="inlineStr">
        <is>
          <t>April</t>
        </is>
      </c>
      <c r="F99" t="inlineStr">
        <is>
          <t>Q2</t>
        </is>
      </c>
      <c r="G99" t="n">
        <v>2025</v>
      </c>
      <c r="H99" t="n">
        <v>14</v>
      </c>
      <c r="I99" t="inlineStr">
        <is>
          <t>Tuesday</t>
        </is>
      </c>
      <c r="J99" t="inlineStr">
        <is>
          <t>No</t>
        </is>
      </c>
      <c r="K99" t="inlineStr">
        <is>
          <t>No</t>
        </is>
      </c>
      <c r="L99" t="inlineStr">
        <is>
          <t>Spring</t>
        </is>
      </c>
    </row>
    <row r="100">
      <c r="A100" s="4" t="n">
        <v>20250409</v>
      </c>
      <c r="B100" s="5" t="n">
        <v>45756</v>
      </c>
      <c r="C100" t="n">
        <v>9</v>
      </c>
      <c r="D100" t="n">
        <v>4</v>
      </c>
      <c r="E100" t="inlineStr">
        <is>
          <t>April</t>
        </is>
      </c>
      <c r="F100" t="inlineStr">
        <is>
          <t>Q2</t>
        </is>
      </c>
      <c r="G100" t="n">
        <v>2025</v>
      </c>
      <c r="H100" t="n">
        <v>14</v>
      </c>
      <c r="I100" t="inlineStr">
        <is>
          <t>Wednesday</t>
        </is>
      </c>
      <c r="J100" t="inlineStr">
        <is>
          <t>No</t>
        </is>
      </c>
      <c r="K100" t="inlineStr">
        <is>
          <t>No</t>
        </is>
      </c>
      <c r="L100" t="inlineStr">
        <is>
          <t>Spring</t>
        </is>
      </c>
    </row>
    <row r="101">
      <c r="A101" s="4" t="n">
        <v>20250410</v>
      </c>
      <c r="B101" s="5" t="n">
        <v>45757</v>
      </c>
      <c r="C101" t="n">
        <v>10</v>
      </c>
      <c r="D101" t="n">
        <v>4</v>
      </c>
      <c r="E101" t="inlineStr">
        <is>
          <t>April</t>
        </is>
      </c>
      <c r="F101" t="inlineStr">
        <is>
          <t>Q2</t>
        </is>
      </c>
      <c r="G101" t="n">
        <v>2025</v>
      </c>
      <c r="H101" t="n">
        <v>14</v>
      </c>
      <c r="I101" t="inlineStr">
        <is>
          <t>Thursday</t>
        </is>
      </c>
      <c r="J101" t="inlineStr">
        <is>
          <t>No</t>
        </is>
      </c>
      <c r="K101" t="inlineStr">
        <is>
          <t>No</t>
        </is>
      </c>
      <c r="L101" t="inlineStr">
        <is>
          <t>Spring</t>
        </is>
      </c>
    </row>
    <row r="102">
      <c r="A102" s="4" t="n">
        <v>20250411</v>
      </c>
      <c r="B102" s="5" t="n">
        <v>45758</v>
      </c>
      <c r="C102" t="n">
        <v>11</v>
      </c>
      <c r="D102" t="n">
        <v>4</v>
      </c>
      <c r="E102" t="inlineStr">
        <is>
          <t>April</t>
        </is>
      </c>
      <c r="F102" t="inlineStr">
        <is>
          <t>Q2</t>
        </is>
      </c>
      <c r="G102" t="n">
        <v>2025</v>
      </c>
      <c r="H102" t="n">
        <v>14</v>
      </c>
      <c r="I102" t="inlineStr">
        <is>
          <t>Friday</t>
        </is>
      </c>
      <c r="J102" t="inlineStr">
        <is>
          <t>Yes</t>
        </is>
      </c>
      <c r="K102" t="inlineStr">
        <is>
          <t>No</t>
        </is>
      </c>
      <c r="L102" t="inlineStr">
        <is>
          <t>Spring</t>
        </is>
      </c>
    </row>
    <row r="103">
      <c r="A103" s="4" t="n">
        <v>20250412</v>
      </c>
      <c r="B103" s="5" t="n">
        <v>45759</v>
      </c>
      <c r="C103" t="n">
        <v>12</v>
      </c>
      <c r="D103" t="n">
        <v>4</v>
      </c>
      <c r="E103" t="inlineStr">
        <is>
          <t>April</t>
        </is>
      </c>
      <c r="F103" t="inlineStr">
        <is>
          <t>Q2</t>
        </is>
      </c>
      <c r="G103" t="n">
        <v>2025</v>
      </c>
      <c r="H103" t="n">
        <v>14</v>
      </c>
      <c r="I103" t="inlineStr">
        <is>
          <t>Saturday</t>
        </is>
      </c>
      <c r="J103" t="inlineStr">
        <is>
          <t>Yes</t>
        </is>
      </c>
      <c r="K103" t="inlineStr">
        <is>
          <t>No</t>
        </is>
      </c>
      <c r="L103" t="inlineStr">
        <is>
          <t>Spring</t>
        </is>
      </c>
    </row>
    <row r="104">
      <c r="A104" s="4" t="n">
        <v>20250413</v>
      </c>
      <c r="B104" s="5" t="n">
        <v>45760</v>
      </c>
      <c r="C104" t="n">
        <v>13</v>
      </c>
      <c r="D104" t="n">
        <v>4</v>
      </c>
      <c r="E104" t="inlineStr">
        <is>
          <t>April</t>
        </is>
      </c>
      <c r="F104" t="inlineStr">
        <is>
          <t>Q2</t>
        </is>
      </c>
      <c r="G104" t="n">
        <v>2025</v>
      </c>
      <c r="H104" t="n">
        <v>15</v>
      </c>
      <c r="I104" t="inlineStr">
        <is>
          <t>Sunday</t>
        </is>
      </c>
      <c r="J104" t="inlineStr">
        <is>
          <t>Yes</t>
        </is>
      </c>
      <c r="K104" t="inlineStr">
        <is>
          <t>No</t>
        </is>
      </c>
      <c r="L104" t="inlineStr">
        <is>
          <t>Spring</t>
        </is>
      </c>
    </row>
    <row r="105">
      <c r="A105" s="4" t="n">
        <v>20250414</v>
      </c>
      <c r="B105" s="5" t="n">
        <v>45761</v>
      </c>
      <c r="C105" t="n">
        <v>14</v>
      </c>
      <c r="D105" t="n">
        <v>4</v>
      </c>
      <c r="E105" t="inlineStr">
        <is>
          <t>April</t>
        </is>
      </c>
      <c r="F105" t="inlineStr">
        <is>
          <t>Q2</t>
        </is>
      </c>
      <c r="G105" t="n">
        <v>2025</v>
      </c>
      <c r="H105" t="n">
        <v>15</v>
      </c>
      <c r="I105" t="inlineStr">
        <is>
          <t>Monday</t>
        </is>
      </c>
      <c r="J105" t="inlineStr">
        <is>
          <t>No</t>
        </is>
      </c>
      <c r="K105" t="inlineStr">
        <is>
          <t>No</t>
        </is>
      </c>
      <c r="L105" t="inlineStr">
        <is>
          <t>Spring</t>
        </is>
      </c>
    </row>
    <row r="106">
      <c r="A106" s="4" t="n">
        <v>20250415</v>
      </c>
      <c r="B106" s="5" t="n">
        <v>45762</v>
      </c>
      <c r="C106" t="n">
        <v>15</v>
      </c>
      <c r="D106" t="n">
        <v>4</v>
      </c>
      <c r="E106" t="inlineStr">
        <is>
          <t>April</t>
        </is>
      </c>
      <c r="F106" t="inlineStr">
        <is>
          <t>Q2</t>
        </is>
      </c>
      <c r="G106" t="n">
        <v>2025</v>
      </c>
      <c r="H106" t="n">
        <v>15</v>
      </c>
      <c r="I106" t="inlineStr">
        <is>
          <t>Tuesday</t>
        </is>
      </c>
      <c r="J106" t="inlineStr">
        <is>
          <t>No</t>
        </is>
      </c>
      <c r="K106" t="inlineStr">
        <is>
          <t>No</t>
        </is>
      </c>
      <c r="L106" t="inlineStr">
        <is>
          <t>Spring</t>
        </is>
      </c>
    </row>
    <row r="107">
      <c r="A107" s="4" t="n">
        <v>20250416</v>
      </c>
      <c r="B107" s="5" t="n">
        <v>45763</v>
      </c>
      <c r="C107" t="n">
        <v>16</v>
      </c>
      <c r="D107" t="n">
        <v>4</v>
      </c>
      <c r="E107" t="inlineStr">
        <is>
          <t>April</t>
        </is>
      </c>
      <c r="F107" t="inlineStr">
        <is>
          <t>Q2</t>
        </is>
      </c>
      <c r="G107" t="n">
        <v>2025</v>
      </c>
      <c r="H107" t="n">
        <v>15</v>
      </c>
      <c r="I107" t="inlineStr">
        <is>
          <t>Wednesday</t>
        </is>
      </c>
      <c r="J107" t="inlineStr">
        <is>
          <t>No</t>
        </is>
      </c>
      <c r="K107" t="inlineStr">
        <is>
          <t>No</t>
        </is>
      </c>
      <c r="L107" t="inlineStr">
        <is>
          <t>Spring</t>
        </is>
      </c>
    </row>
    <row r="108">
      <c r="A108" s="4" t="n">
        <v>20250417</v>
      </c>
      <c r="B108" s="5" t="n">
        <v>45764</v>
      </c>
      <c r="C108" t="n">
        <v>17</v>
      </c>
      <c r="D108" t="n">
        <v>4</v>
      </c>
      <c r="E108" t="inlineStr">
        <is>
          <t>April</t>
        </is>
      </c>
      <c r="F108" t="inlineStr">
        <is>
          <t>Q2</t>
        </is>
      </c>
      <c r="G108" t="n">
        <v>2025</v>
      </c>
      <c r="H108" t="n">
        <v>15</v>
      </c>
      <c r="I108" t="inlineStr">
        <is>
          <t>Thursday</t>
        </is>
      </c>
      <c r="J108" t="inlineStr">
        <is>
          <t>No</t>
        </is>
      </c>
      <c r="K108" t="inlineStr">
        <is>
          <t>No</t>
        </is>
      </c>
      <c r="L108" t="inlineStr">
        <is>
          <t>Spring</t>
        </is>
      </c>
    </row>
    <row r="109">
      <c r="A109" s="4" t="n">
        <v>20250418</v>
      </c>
      <c r="B109" s="5" t="n">
        <v>45765</v>
      </c>
      <c r="C109" t="n">
        <v>18</v>
      </c>
      <c r="D109" t="n">
        <v>4</v>
      </c>
      <c r="E109" t="inlineStr">
        <is>
          <t>April</t>
        </is>
      </c>
      <c r="F109" t="inlineStr">
        <is>
          <t>Q2</t>
        </is>
      </c>
      <c r="G109" t="n">
        <v>2025</v>
      </c>
      <c r="H109" t="n">
        <v>15</v>
      </c>
      <c r="I109" t="inlineStr">
        <is>
          <t>Friday</t>
        </is>
      </c>
      <c r="J109" t="inlineStr">
        <is>
          <t>Yes</t>
        </is>
      </c>
      <c r="K109" t="inlineStr">
        <is>
          <t>No</t>
        </is>
      </c>
      <c r="L109" t="inlineStr">
        <is>
          <t>Spring</t>
        </is>
      </c>
    </row>
    <row r="110">
      <c r="A110" s="4" t="n">
        <v>20250419</v>
      </c>
      <c r="B110" s="5" t="n">
        <v>45766</v>
      </c>
      <c r="C110" t="n">
        <v>19</v>
      </c>
      <c r="D110" t="n">
        <v>4</v>
      </c>
      <c r="E110" t="inlineStr">
        <is>
          <t>April</t>
        </is>
      </c>
      <c r="F110" t="inlineStr">
        <is>
          <t>Q2</t>
        </is>
      </c>
      <c r="G110" t="n">
        <v>2025</v>
      </c>
      <c r="H110" t="n">
        <v>15</v>
      </c>
      <c r="I110" t="inlineStr">
        <is>
          <t>Saturday</t>
        </is>
      </c>
      <c r="J110" t="inlineStr">
        <is>
          <t>Yes</t>
        </is>
      </c>
      <c r="K110" t="inlineStr">
        <is>
          <t>No</t>
        </is>
      </c>
      <c r="L110" t="inlineStr">
        <is>
          <t>Spring</t>
        </is>
      </c>
    </row>
    <row r="111">
      <c r="A111" s="4" t="n">
        <v>20250420</v>
      </c>
      <c r="B111" s="5" t="n">
        <v>45767</v>
      </c>
      <c r="C111" t="n">
        <v>20</v>
      </c>
      <c r="D111" t="n">
        <v>4</v>
      </c>
      <c r="E111" t="inlineStr">
        <is>
          <t>April</t>
        </is>
      </c>
      <c r="F111" t="inlineStr">
        <is>
          <t>Q2</t>
        </is>
      </c>
      <c r="G111" t="n">
        <v>2025</v>
      </c>
      <c r="H111" t="n">
        <v>16</v>
      </c>
      <c r="I111" t="inlineStr">
        <is>
          <t>Sunday</t>
        </is>
      </c>
      <c r="J111" t="inlineStr">
        <is>
          <t>Yes</t>
        </is>
      </c>
      <c r="K111" t="inlineStr">
        <is>
          <t>No</t>
        </is>
      </c>
      <c r="L111" t="inlineStr">
        <is>
          <t>Spring</t>
        </is>
      </c>
    </row>
    <row r="112">
      <c r="A112" s="4" t="n">
        <v>20250421</v>
      </c>
      <c r="B112" s="5" t="n">
        <v>45768</v>
      </c>
      <c r="C112" t="n">
        <v>21</v>
      </c>
      <c r="D112" t="n">
        <v>4</v>
      </c>
      <c r="E112" t="inlineStr">
        <is>
          <t>April</t>
        </is>
      </c>
      <c r="F112" t="inlineStr">
        <is>
          <t>Q2</t>
        </is>
      </c>
      <c r="G112" t="n">
        <v>2025</v>
      </c>
      <c r="H112" t="n">
        <v>16</v>
      </c>
      <c r="I112" t="inlineStr">
        <is>
          <t>Monday</t>
        </is>
      </c>
      <c r="J112" t="inlineStr">
        <is>
          <t>No</t>
        </is>
      </c>
      <c r="K112" t="inlineStr">
        <is>
          <t>No</t>
        </is>
      </c>
      <c r="L112" t="inlineStr">
        <is>
          <t>Spring</t>
        </is>
      </c>
    </row>
    <row r="113">
      <c r="A113" s="4" t="n">
        <v>20250422</v>
      </c>
      <c r="B113" s="5" t="n">
        <v>45769</v>
      </c>
      <c r="C113" t="n">
        <v>22</v>
      </c>
      <c r="D113" t="n">
        <v>4</v>
      </c>
      <c r="E113" t="inlineStr">
        <is>
          <t>April</t>
        </is>
      </c>
      <c r="F113" t="inlineStr">
        <is>
          <t>Q2</t>
        </is>
      </c>
      <c r="G113" t="n">
        <v>2025</v>
      </c>
      <c r="H113" t="n">
        <v>16</v>
      </c>
      <c r="I113" t="inlineStr">
        <is>
          <t>Tuesday</t>
        </is>
      </c>
      <c r="J113" t="inlineStr">
        <is>
          <t>No</t>
        </is>
      </c>
      <c r="K113" t="inlineStr">
        <is>
          <t>No</t>
        </is>
      </c>
      <c r="L113" t="inlineStr">
        <is>
          <t>Spring</t>
        </is>
      </c>
    </row>
    <row r="114">
      <c r="A114" s="4" t="n">
        <v>20250423</v>
      </c>
      <c r="B114" s="5" t="n">
        <v>45770</v>
      </c>
      <c r="C114" t="n">
        <v>23</v>
      </c>
      <c r="D114" t="n">
        <v>4</v>
      </c>
      <c r="E114" t="inlineStr">
        <is>
          <t>April</t>
        </is>
      </c>
      <c r="F114" t="inlineStr">
        <is>
          <t>Q2</t>
        </is>
      </c>
      <c r="G114" t="n">
        <v>2025</v>
      </c>
      <c r="H114" t="n">
        <v>16</v>
      </c>
      <c r="I114" t="inlineStr">
        <is>
          <t>Wednesday</t>
        </is>
      </c>
      <c r="J114" t="inlineStr">
        <is>
          <t>No</t>
        </is>
      </c>
      <c r="K114" t="inlineStr">
        <is>
          <t>No</t>
        </is>
      </c>
      <c r="L114" t="inlineStr">
        <is>
          <t>Spring</t>
        </is>
      </c>
    </row>
    <row r="115">
      <c r="A115" s="4" t="n">
        <v>20250424</v>
      </c>
      <c r="B115" s="5" t="n">
        <v>45771</v>
      </c>
      <c r="C115" t="n">
        <v>24</v>
      </c>
      <c r="D115" t="n">
        <v>4</v>
      </c>
      <c r="E115" t="inlineStr">
        <is>
          <t>April</t>
        </is>
      </c>
      <c r="F115" t="inlineStr">
        <is>
          <t>Q2</t>
        </is>
      </c>
      <c r="G115" t="n">
        <v>2025</v>
      </c>
      <c r="H115" t="n">
        <v>16</v>
      </c>
      <c r="I115" t="inlineStr">
        <is>
          <t>Thursday</t>
        </is>
      </c>
      <c r="J115" t="inlineStr">
        <is>
          <t>No</t>
        </is>
      </c>
      <c r="K115" t="inlineStr">
        <is>
          <t>No</t>
        </is>
      </c>
      <c r="L115" t="inlineStr">
        <is>
          <t>Spring</t>
        </is>
      </c>
    </row>
    <row r="116">
      <c r="A116" s="4" t="n">
        <v>20250425</v>
      </c>
      <c r="B116" s="5" t="n">
        <v>45772</v>
      </c>
      <c r="C116" t="n">
        <v>25</v>
      </c>
      <c r="D116" t="n">
        <v>4</v>
      </c>
      <c r="E116" t="inlineStr">
        <is>
          <t>April</t>
        </is>
      </c>
      <c r="F116" t="inlineStr">
        <is>
          <t>Q2</t>
        </is>
      </c>
      <c r="G116" t="n">
        <v>2025</v>
      </c>
      <c r="H116" t="n">
        <v>16</v>
      </c>
      <c r="I116" t="inlineStr">
        <is>
          <t>Friday</t>
        </is>
      </c>
      <c r="J116" t="inlineStr">
        <is>
          <t>Yes</t>
        </is>
      </c>
      <c r="K116" t="inlineStr">
        <is>
          <t>No</t>
        </is>
      </c>
      <c r="L116" t="inlineStr">
        <is>
          <t>Spring</t>
        </is>
      </c>
    </row>
    <row r="117">
      <c r="A117" s="4" t="n">
        <v>20250426</v>
      </c>
      <c r="B117" s="5" t="n">
        <v>45773</v>
      </c>
      <c r="C117" t="n">
        <v>26</v>
      </c>
      <c r="D117" t="n">
        <v>4</v>
      </c>
      <c r="E117" t="inlineStr">
        <is>
          <t>April</t>
        </is>
      </c>
      <c r="F117" t="inlineStr">
        <is>
          <t>Q2</t>
        </is>
      </c>
      <c r="G117" t="n">
        <v>2025</v>
      </c>
      <c r="H117" t="n">
        <v>16</v>
      </c>
      <c r="I117" t="inlineStr">
        <is>
          <t>Saturday</t>
        </is>
      </c>
      <c r="J117" t="inlineStr">
        <is>
          <t>Yes</t>
        </is>
      </c>
      <c r="K117" t="inlineStr">
        <is>
          <t>No</t>
        </is>
      </c>
      <c r="L117" t="inlineStr">
        <is>
          <t>Spring</t>
        </is>
      </c>
    </row>
    <row r="118">
      <c r="A118" s="4" t="n">
        <v>20250427</v>
      </c>
      <c r="B118" s="5" t="n">
        <v>45774</v>
      </c>
      <c r="C118" t="n">
        <v>27</v>
      </c>
      <c r="D118" t="n">
        <v>4</v>
      </c>
      <c r="E118" t="inlineStr">
        <is>
          <t>April</t>
        </is>
      </c>
      <c r="F118" t="inlineStr">
        <is>
          <t>Q2</t>
        </is>
      </c>
      <c r="G118" t="n">
        <v>2025</v>
      </c>
      <c r="H118" t="n">
        <v>17</v>
      </c>
      <c r="I118" t="inlineStr">
        <is>
          <t>Sunday</t>
        </is>
      </c>
      <c r="J118" t="inlineStr">
        <is>
          <t>Yes</t>
        </is>
      </c>
      <c r="K118" t="inlineStr">
        <is>
          <t>No</t>
        </is>
      </c>
      <c r="L118" t="inlineStr">
        <is>
          <t>Spring</t>
        </is>
      </c>
    </row>
    <row r="119">
      <c r="A119" s="4" t="n">
        <v>20250428</v>
      </c>
      <c r="B119" s="5" t="n">
        <v>45775</v>
      </c>
      <c r="C119" t="n">
        <v>28</v>
      </c>
      <c r="D119" t="n">
        <v>4</v>
      </c>
      <c r="E119" t="inlineStr">
        <is>
          <t>April</t>
        </is>
      </c>
      <c r="F119" t="inlineStr">
        <is>
          <t>Q2</t>
        </is>
      </c>
      <c r="G119" t="n">
        <v>2025</v>
      </c>
      <c r="H119" t="n">
        <v>17</v>
      </c>
      <c r="I119" t="inlineStr">
        <is>
          <t>Monday</t>
        </is>
      </c>
      <c r="J119" t="inlineStr">
        <is>
          <t>No</t>
        </is>
      </c>
      <c r="K119" t="inlineStr">
        <is>
          <t>No</t>
        </is>
      </c>
      <c r="L119" t="inlineStr">
        <is>
          <t>Spring</t>
        </is>
      </c>
    </row>
    <row r="120">
      <c r="A120" s="4" t="n">
        <v>20250429</v>
      </c>
      <c r="B120" s="5" t="n">
        <v>45776</v>
      </c>
      <c r="C120" t="n">
        <v>29</v>
      </c>
      <c r="D120" t="n">
        <v>4</v>
      </c>
      <c r="E120" t="inlineStr">
        <is>
          <t>April</t>
        </is>
      </c>
      <c r="F120" t="inlineStr">
        <is>
          <t>Q2</t>
        </is>
      </c>
      <c r="G120" t="n">
        <v>2025</v>
      </c>
      <c r="H120" t="n">
        <v>17</v>
      </c>
      <c r="I120" t="inlineStr">
        <is>
          <t>Tuesday</t>
        </is>
      </c>
      <c r="J120" t="inlineStr">
        <is>
          <t>No</t>
        </is>
      </c>
      <c r="K120" t="inlineStr">
        <is>
          <t>No</t>
        </is>
      </c>
      <c r="L120" t="inlineStr">
        <is>
          <t>Spring</t>
        </is>
      </c>
    </row>
    <row r="121">
      <c r="A121" s="4" t="n">
        <v>20250430</v>
      </c>
      <c r="B121" s="5" t="n">
        <v>45777</v>
      </c>
      <c r="C121" t="n">
        <v>30</v>
      </c>
      <c r="D121" t="n">
        <v>4</v>
      </c>
      <c r="E121" t="inlineStr">
        <is>
          <t>April</t>
        </is>
      </c>
      <c r="F121" t="inlineStr">
        <is>
          <t>Q2</t>
        </is>
      </c>
      <c r="G121" t="n">
        <v>2025</v>
      </c>
      <c r="H121" t="n">
        <v>17</v>
      </c>
      <c r="I121" t="inlineStr">
        <is>
          <t>Wednesday</t>
        </is>
      </c>
      <c r="J121" t="inlineStr">
        <is>
          <t>No</t>
        </is>
      </c>
      <c r="K121" t="inlineStr">
        <is>
          <t>No</t>
        </is>
      </c>
      <c r="L121" t="inlineStr">
        <is>
          <t>Spring</t>
        </is>
      </c>
    </row>
    <row r="122">
      <c r="A122" s="4" t="n">
        <v>20250501</v>
      </c>
      <c r="B122" s="5" t="n">
        <v>45778</v>
      </c>
      <c r="C122" t="n">
        <v>1</v>
      </c>
      <c r="D122" t="n">
        <v>5</v>
      </c>
      <c r="E122" t="inlineStr">
        <is>
          <t>May</t>
        </is>
      </c>
      <c r="F122" t="inlineStr">
        <is>
          <t>Q2</t>
        </is>
      </c>
      <c r="G122" t="n">
        <v>2025</v>
      </c>
      <c r="H122" t="n">
        <v>17</v>
      </c>
      <c r="I122" t="inlineStr">
        <is>
          <t>Thursday</t>
        </is>
      </c>
      <c r="J122" t="inlineStr">
        <is>
          <t>No</t>
        </is>
      </c>
      <c r="K122" t="inlineStr">
        <is>
          <t>No</t>
        </is>
      </c>
      <c r="L122" t="inlineStr">
        <is>
          <t>Spring</t>
        </is>
      </c>
    </row>
    <row r="123">
      <c r="A123" s="4" t="n">
        <v>20250502</v>
      </c>
      <c r="B123" s="5" t="n">
        <v>45779</v>
      </c>
      <c r="C123" t="n">
        <v>2</v>
      </c>
      <c r="D123" t="n">
        <v>5</v>
      </c>
      <c r="E123" t="inlineStr">
        <is>
          <t>May</t>
        </is>
      </c>
      <c r="F123" t="inlineStr">
        <is>
          <t>Q2</t>
        </is>
      </c>
      <c r="G123" t="n">
        <v>2025</v>
      </c>
      <c r="H123" t="n">
        <v>17</v>
      </c>
      <c r="I123" t="inlineStr">
        <is>
          <t>Friday</t>
        </is>
      </c>
      <c r="J123" t="inlineStr">
        <is>
          <t>Yes</t>
        </is>
      </c>
      <c r="K123" t="inlineStr">
        <is>
          <t>No</t>
        </is>
      </c>
      <c r="L123" t="inlineStr">
        <is>
          <t>Spring</t>
        </is>
      </c>
    </row>
    <row r="124">
      <c r="A124" s="4" t="n">
        <v>20250503</v>
      </c>
      <c r="B124" s="5" t="n">
        <v>45780</v>
      </c>
      <c r="C124" t="n">
        <v>3</v>
      </c>
      <c r="D124" t="n">
        <v>5</v>
      </c>
      <c r="E124" t="inlineStr">
        <is>
          <t>May</t>
        </is>
      </c>
      <c r="F124" t="inlineStr">
        <is>
          <t>Q2</t>
        </is>
      </c>
      <c r="G124" t="n">
        <v>2025</v>
      </c>
      <c r="H124" t="n">
        <v>17</v>
      </c>
      <c r="I124" t="inlineStr">
        <is>
          <t>Saturday</t>
        </is>
      </c>
      <c r="J124" t="inlineStr">
        <is>
          <t>Yes</t>
        </is>
      </c>
      <c r="K124" t="inlineStr">
        <is>
          <t>No</t>
        </is>
      </c>
      <c r="L124" t="inlineStr">
        <is>
          <t>Spring</t>
        </is>
      </c>
    </row>
    <row r="125">
      <c r="A125" s="4" t="n">
        <v>20250504</v>
      </c>
      <c r="B125" s="5" t="n">
        <v>45781</v>
      </c>
      <c r="C125" t="n">
        <v>4</v>
      </c>
      <c r="D125" t="n">
        <v>5</v>
      </c>
      <c r="E125" t="inlineStr">
        <is>
          <t>May</t>
        </is>
      </c>
      <c r="F125" t="inlineStr">
        <is>
          <t>Q2</t>
        </is>
      </c>
      <c r="G125" t="n">
        <v>2025</v>
      </c>
      <c r="H125" t="n">
        <v>18</v>
      </c>
      <c r="I125" t="inlineStr">
        <is>
          <t>Sunday</t>
        </is>
      </c>
      <c r="J125" t="inlineStr">
        <is>
          <t>Yes</t>
        </is>
      </c>
      <c r="K125" t="inlineStr">
        <is>
          <t>No</t>
        </is>
      </c>
      <c r="L125" t="inlineStr">
        <is>
          <t>Spring</t>
        </is>
      </c>
    </row>
    <row r="126">
      <c r="A126" s="4" t="n">
        <v>20250505</v>
      </c>
      <c r="B126" s="5" t="n">
        <v>45782</v>
      </c>
      <c r="C126" t="n">
        <v>5</v>
      </c>
      <c r="D126" t="n">
        <v>5</v>
      </c>
      <c r="E126" t="inlineStr">
        <is>
          <t>May</t>
        </is>
      </c>
      <c r="F126" t="inlineStr">
        <is>
          <t>Q2</t>
        </is>
      </c>
      <c r="G126" t="n">
        <v>2025</v>
      </c>
      <c r="H126" t="n">
        <v>18</v>
      </c>
      <c r="I126" t="inlineStr">
        <is>
          <t>Monday</t>
        </is>
      </c>
      <c r="J126" t="inlineStr">
        <is>
          <t>No</t>
        </is>
      </c>
      <c r="K126" t="inlineStr">
        <is>
          <t>No</t>
        </is>
      </c>
      <c r="L126" t="inlineStr">
        <is>
          <t>Spring</t>
        </is>
      </c>
    </row>
    <row r="127">
      <c r="A127" s="4" t="n">
        <v>20250506</v>
      </c>
      <c r="B127" s="5" t="n">
        <v>45783</v>
      </c>
      <c r="C127" t="n">
        <v>6</v>
      </c>
      <c r="D127" t="n">
        <v>5</v>
      </c>
      <c r="E127" t="inlineStr">
        <is>
          <t>May</t>
        </is>
      </c>
      <c r="F127" t="inlineStr">
        <is>
          <t>Q2</t>
        </is>
      </c>
      <c r="G127" t="n">
        <v>2025</v>
      </c>
      <c r="H127" t="n">
        <v>18</v>
      </c>
      <c r="I127" t="inlineStr">
        <is>
          <t>Tuesday</t>
        </is>
      </c>
      <c r="J127" t="inlineStr">
        <is>
          <t>No</t>
        </is>
      </c>
      <c r="K127" t="inlineStr">
        <is>
          <t>No</t>
        </is>
      </c>
      <c r="L127" t="inlineStr">
        <is>
          <t>Spring</t>
        </is>
      </c>
    </row>
    <row r="128">
      <c r="A128" s="4" t="n">
        <v>20250507</v>
      </c>
      <c r="B128" s="5" t="n">
        <v>45784</v>
      </c>
      <c r="C128" t="n">
        <v>7</v>
      </c>
      <c r="D128" t="n">
        <v>5</v>
      </c>
      <c r="E128" t="inlineStr">
        <is>
          <t>May</t>
        </is>
      </c>
      <c r="F128" t="inlineStr">
        <is>
          <t>Q2</t>
        </is>
      </c>
      <c r="G128" t="n">
        <v>2025</v>
      </c>
      <c r="H128" t="n">
        <v>18</v>
      </c>
      <c r="I128" t="inlineStr">
        <is>
          <t>Wednesday</t>
        </is>
      </c>
      <c r="J128" t="inlineStr">
        <is>
          <t>No</t>
        </is>
      </c>
      <c r="K128" t="inlineStr">
        <is>
          <t>No</t>
        </is>
      </c>
      <c r="L128" t="inlineStr">
        <is>
          <t>Spring</t>
        </is>
      </c>
    </row>
    <row r="129">
      <c r="A129" s="4" t="n">
        <v>20250508</v>
      </c>
      <c r="B129" s="5" t="n">
        <v>45785</v>
      </c>
      <c r="C129" t="n">
        <v>8</v>
      </c>
      <c r="D129" t="n">
        <v>5</v>
      </c>
      <c r="E129" t="inlineStr">
        <is>
          <t>May</t>
        </is>
      </c>
      <c r="F129" t="inlineStr">
        <is>
          <t>Q2</t>
        </is>
      </c>
      <c r="G129" t="n">
        <v>2025</v>
      </c>
      <c r="H129" t="n">
        <v>18</v>
      </c>
      <c r="I129" t="inlineStr">
        <is>
          <t>Thursday</t>
        </is>
      </c>
      <c r="J129" t="inlineStr">
        <is>
          <t>No</t>
        </is>
      </c>
      <c r="K129" t="inlineStr">
        <is>
          <t>No</t>
        </is>
      </c>
      <c r="L129" t="inlineStr">
        <is>
          <t>Spring</t>
        </is>
      </c>
    </row>
    <row r="130">
      <c r="A130" s="4" t="n">
        <v>20250509</v>
      </c>
      <c r="B130" s="5" t="n">
        <v>45786</v>
      </c>
      <c r="C130" t="n">
        <v>9</v>
      </c>
      <c r="D130" t="n">
        <v>5</v>
      </c>
      <c r="E130" t="inlineStr">
        <is>
          <t>May</t>
        </is>
      </c>
      <c r="F130" t="inlineStr">
        <is>
          <t>Q2</t>
        </is>
      </c>
      <c r="G130" t="n">
        <v>2025</v>
      </c>
      <c r="H130" t="n">
        <v>18</v>
      </c>
      <c r="I130" t="inlineStr">
        <is>
          <t>Friday</t>
        </is>
      </c>
      <c r="J130" t="inlineStr">
        <is>
          <t>Yes</t>
        </is>
      </c>
      <c r="K130" t="inlineStr">
        <is>
          <t>No</t>
        </is>
      </c>
      <c r="L130" t="inlineStr">
        <is>
          <t>Spring</t>
        </is>
      </c>
    </row>
    <row r="131">
      <c r="A131" s="4" t="n">
        <v>20250510</v>
      </c>
      <c r="B131" s="5" t="n">
        <v>45787</v>
      </c>
      <c r="C131" t="n">
        <v>10</v>
      </c>
      <c r="D131" t="n">
        <v>5</v>
      </c>
      <c r="E131" t="inlineStr">
        <is>
          <t>May</t>
        </is>
      </c>
      <c r="F131" t="inlineStr">
        <is>
          <t>Q2</t>
        </is>
      </c>
      <c r="G131" t="n">
        <v>2025</v>
      </c>
      <c r="H131" t="n">
        <v>18</v>
      </c>
      <c r="I131" t="inlineStr">
        <is>
          <t>Saturday</t>
        </is>
      </c>
      <c r="J131" t="inlineStr">
        <is>
          <t>Yes</t>
        </is>
      </c>
      <c r="K131" t="inlineStr">
        <is>
          <t>No</t>
        </is>
      </c>
      <c r="L131" t="inlineStr">
        <is>
          <t>Spring</t>
        </is>
      </c>
    </row>
    <row r="132">
      <c r="A132" s="4" t="n">
        <v>20250511</v>
      </c>
      <c r="B132" s="5" t="n">
        <v>45788</v>
      </c>
      <c r="C132" t="n">
        <v>11</v>
      </c>
      <c r="D132" t="n">
        <v>5</v>
      </c>
      <c r="E132" t="inlineStr">
        <is>
          <t>May</t>
        </is>
      </c>
      <c r="F132" t="inlineStr">
        <is>
          <t>Q2</t>
        </is>
      </c>
      <c r="G132" t="n">
        <v>2025</v>
      </c>
      <c r="H132" t="n">
        <v>19</v>
      </c>
      <c r="I132" t="inlineStr">
        <is>
          <t>Sunday</t>
        </is>
      </c>
      <c r="J132" t="inlineStr">
        <is>
          <t>Yes</t>
        </is>
      </c>
      <c r="K132" t="inlineStr">
        <is>
          <t>No</t>
        </is>
      </c>
      <c r="L132" t="inlineStr">
        <is>
          <t>Spring</t>
        </is>
      </c>
    </row>
    <row r="133">
      <c r="A133" s="4" t="n">
        <v>20250512</v>
      </c>
      <c r="B133" s="5" t="n">
        <v>45789</v>
      </c>
      <c r="C133" t="n">
        <v>12</v>
      </c>
      <c r="D133" t="n">
        <v>5</v>
      </c>
      <c r="E133" t="inlineStr">
        <is>
          <t>May</t>
        </is>
      </c>
      <c r="F133" t="inlineStr">
        <is>
          <t>Q2</t>
        </is>
      </c>
      <c r="G133" t="n">
        <v>2025</v>
      </c>
      <c r="H133" t="n">
        <v>19</v>
      </c>
      <c r="I133" t="inlineStr">
        <is>
          <t>Monday</t>
        </is>
      </c>
      <c r="J133" t="inlineStr">
        <is>
          <t>No</t>
        </is>
      </c>
      <c r="K133" t="inlineStr">
        <is>
          <t>No</t>
        </is>
      </c>
      <c r="L133" t="inlineStr">
        <is>
          <t>Spring</t>
        </is>
      </c>
    </row>
    <row r="134">
      <c r="A134" s="4" t="n">
        <v>20250513</v>
      </c>
      <c r="B134" s="5" t="n">
        <v>45790</v>
      </c>
      <c r="C134" t="n">
        <v>13</v>
      </c>
      <c r="D134" t="n">
        <v>5</v>
      </c>
      <c r="E134" t="inlineStr">
        <is>
          <t>May</t>
        </is>
      </c>
      <c r="F134" t="inlineStr">
        <is>
          <t>Q2</t>
        </is>
      </c>
      <c r="G134" t="n">
        <v>2025</v>
      </c>
      <c r="H134" t="n">
        <v>19</v>
      </c>
      <c r="I134" t="inlineStr">
        <is>
          <t>Tuesday</t>
        </is>
      </c>
      <c r="J134" t="inlineStr">
        <is>
          <t>No</t>
        </is>
      </c>
      <c r="K134" t="inlineStr">
        <is>
          <t>No</t>
        </is>
      </c>
      <c r="L134" t="inlineStr">
        <is>
          <t>Spring</t>
        </is>
      </c>
    </row>
    <row r="135">
      <c r="A135" s="4" t="n">
        <v>20250514</v>
      </c>
      <c r="B135" s="5" t="n">
        <v>45791</v>
      </c>
      <c r="C135" t="n">
        <v>14</v>
      </c>
      <c r="D135" t="n">
        <v>5</v>
      </c>
      <c r="E135" t="inlineStr">
        <is>
          <t>May</t>
        </is>
      </c>
      <c r="F135" t="inlineStr">
        <is>
          <t>Q2</t>
        </is>
      </c>
      <c r="G135" t="n">
        <v>2025</v>
      </c>
      <c r="H135" t="n">
        <v>19</v>
      </c>
      <c r="I135" t="inlineStr">
        <is>
          <t>Wednesday</t>
        </is>
      </c>
      <c r="J135" t="inlineStr">
        <is>
          <t>No</t>
        </is>
      </c>
      <c r="K135" t="inlineStr">
        <is>
          <t>No</t>
        </is>
      </c>
      <c r="L135" t="inlineStr">
        <is>
          <t>Spring</t>
        </is>
      </c>
    </row>
    <row r="136">
      <c r="A136" s="4" t="n">
        <v>20250515</v>
      </c>
      <c r="B136" s="5" t="n">
        <v>45792</v>
      </c>
      <c r="C136" t="n">
        <v>15</v>
      </c>
      <c r="D136" t="n">
        <v>5</v>
      </c>
      <c r="E136" t="inlineStr">
        <is>
          <t>May</t>
        </is>
      </c>
      <c r="F136" t="inlineStr">
        <is>
          <t>Q2</t>
        </is>
      </c>
      <c r="G136" t="n">
        <v>2025</v>
      </c>
      <c r="H136" t="n">
        <v>19</v>
      </c>
      <c r="I136" t="inlineStr">
        <is>
          <t>Thursday</t>
        </is>
      </c>
      <c r="J136" t="inlineStr">
        <is>
          <t>No</t>
        </is>
      </c>
      <c r="K136" t="inlineStr">
        <is>
          <t>No</t>
        </is>
      </c>
      <c r="L136" t="inlineStr">
        <is>
          <t>Spring</t>
        </is>
      </c>
    </row>
    <row r="137">
      <c r="A137" s="4" t="n">
        <v>20250516</v>
      </c>
      <c r="B137" s="5" t="n">
        <v>45793</v>
      </c>
      <c r="C137" t="n">
        <v>16</v>
      </c>
      <c r="D137" t="n">
        <v>5</v>
      </c>
      <c r="E137" t="inlineStr">
        <is>
          <t>May</t>
        </is>
      </c>
      <c r="F137" t="inlineStr">
        <is>
          <t>Q2</t>
        </is>
      </c>
      <c r="G137" t="n">
        <v>2025</v>
      </c>
      <c r="H137" t="n">
        <v>19</v>
      </c>
      <c r="I137" t="inlineStr">
        <is>
          <t>Friday</t>
        </is>
      </c>
      <c r="J137" t="inlineStr">
        <is>
          <t>Yes</t>
        </is>
      </c>
      <c r="K137" t="inlineStr">
        <is>
          <t>No</t>
        </is>
      </c>
      <c r="L137" t="inlineStr">
        <is>
          <t>Spring</t>
        </is>
      </c>
    </row>
    <row r="138">
      <c r="A138" s="4" t="n">
        <v>20250517</v>
      </c>
      <c r="B138" s="5" t="n">
        <v>45794</v>
      </c>
      <c r="C138" t="n">
        <v>17</v>
      </c>
      <c r="D138" t="n">
        <v>5</v>
      </c>
      <c r="E138" t="inlineStr">
        <is>
          <t>May</t>
        </is>
      </c>
      <c r="F138" t="inlineStr">
        <is>
          <t>Q2</t>
        </is>
      </c>
      <c r="G138" t="n">
        <v>2025</v>
      </c>
      <c r="H138" t="n">
        <v>19</v>
      </c>
      <c r="I138" t="inlineStr">
        <is>
          <t>Saturday</t>
        </is>
      </c>
      <c r="J138" t="inlineStr">
        <is>
          <t>Yes</t>
        </is>
      </c>
      <c r="K138" t="inlineStr">
        <is>
          <t>No</t>
        </is>
      </c>
      <c r="L138" t="inlineStr">
        <is>
          <t>Spring</t>
        </is>
      </c>
    </row>
    <row r="139">
      <c r="A139" s="4" t="n">
        <v>20250518</v>
      </c>
      <c r="B139" s="5" t="n">
        <v>45795</v>
      </c>
      <c r="C139" t="n">
        <v>18</v>
      </c>
      <c r="D139" t="n">
        <v>5</v>
      </c>
      <c r="E139" t="inlineStr">
        <is>
          <t>May</t>
        </is>
      </c>
      <c r="F139" t="inlineStr">
        <is>
          <t>Q2</t>
        </is>
      </c>
      <c r="G139" t="n">
        <v>2025</v>
      </c>
      <c r="H139" t="n">
        <v>20</v>
      </c>
      <c r="I139" t="inlineStr">
        <is>
          <t>Sunday</t>
        </is>
      </c>
      <c r="J139" t="inlineStr">
        <is>
          <t>Yes</t>
        </is>
      </c>
      <c r="K139" t="inlineStr">
        <is>
          <t>No</t>
        </is>
      </c>
      <c r="L139" t="inlineStr">
        <is>
          <t>Spring</t>
        </is>
      </c>
    </row>
    <row r="140">
      <c r="A140" s="4" t="n">
        <v>20250519</v>
      </c>
      <c r="B140" s="5" t="n">
        <v>45796</v>
      </c>
      <c r="C140" t="n">
        <v>19</v>
      </c>
      <c r="D140" t="n">
        <v>5</v>
      </c>
      <c r="E140" t="inlineStr">
        <is>
          <t>May</t>
        </is>
      </c>
      <c r="F140" t="inlineStr">
        <is>
          <t>Q2</t>
        </is>
      </c>
      <c r="G140" t="n">
        <v>2025</v>
      </c>
      <c r="H140" t="n">
        <v>20</v>
      </c>
      <c r="I140" t="inlineStr">
        <is>
          <t>Monday</t>
        </is>
      </c>
      <c r="J140" t="inlineStr">
        <is>
          <t>No</t>
        </is>
      </c>
      <c r="K140" t="inlineStr">
        <is>
          <t>No</t>
        </is>
      </c>
      <c r="L140" t="inlineStr">
        <is>
          <t>Spring</t>
        </is>
      </c>
    </row>
    <row r="141">
      <c r="A141" s="4" t="n">
        <v>20250520</v>
      </c>
      <c r="B141" s="5" t="n">
        <v>45797</v>
      </c>
      <c r="C141" t="n">
        <v>20</v>
      </c>
      <c r="D141" t="n">
        <v>5</v>
      </c>
      <c r="E141" t="inlineStr">
        <is>
          <t>May</t>
        </is>
      </c>
      <c r="F141" t="inlineStr">
        <is>
          <t>Q2</t>
        </is>
      </c>
      <c r="G141" t="n">
        <v>2025</v>
      </c>
      <c r="H141" t="n">
        <v>20</v>
      </c>
      <c r="I141" t="inlineStr">
        <is>
          <t>Tuesday</t>
        </is>
      </c>
      <c r="J141" t="inlineStr">
        <is>
          <t>No</t>
        </is>
      </c>
      <c r="K141" t="inlineStr">
        <is>
          <t>No</t>
        </is>
      </c>
      <c r="L141" t="inlineStr">
        <is>
          <t>Spring</t>
        </is>
      </c>
    </row>
    <row r="142">
      <c r="A142" s="4" t="n">
        <v>20250521</v>
      </c>
      <c r="B142" s="5" t="n">
        <v>45798</v>
      </c>
      <c r="C142" t="n">
        <v>21</v>
      </c>
      <c r="D142" t="n">
        <v>5</v>
      </c>
      <c r="E142" t="inlineStr">
        <is>
          <t>May</t>
        </is>
      </c>
      <c r="F142" t="inlineStr">
        <is>
          <t>Q2</t>
        </is>
      </c>
      <c r="G142" t="n">
        <v>2025</v>
      </c>
      <c r="H142" t="n">
        <v>20</v>
      </c>
      <c r="I142" t="inlineStr">
        <is>
          <t>Wednesday</t>
        </is>
      </c>
      <c r="J142" t="inlineStr">
        <is>
          <t>No</t>
        </is>
      </c>
      <c r="K142" t="inlineStr">
        <is>
          <t>No</t>
        </is>
      </c>
      <c r="L142" t="inlineStr">
        <is>
          <t>Spring</t>
        </is>
      </c>
    </row>
    <row r="143">
      <c r="A143" s="4" t="n">
        <v>20250522</v>
      </c>
      <c r="B143" s="5" t="n">
        <v>45799</v>
      </c>
      <c r="C143" t="n">
        <v>22</v>
      </c>
      <c r="D143" t="n">
        <v>5</v>
      </c>
      <c r="E143" t="inlineStr">
        <is>
          <t>May</t>
        </is>
      </c>
      <c r="F143" t="inlineStr">
        <is>
          <t>Q2</t>
        </is>
      </c>
      <c r="G143" t="n">
        <v>2025</v>
      </c>
      <c r="H143" t="n">
        <v>20</v>
      </c>
      <c r="I143" t="inlineStr">
        <is>
          <t>Thursday</t>
        </is>
      </c>
      <c r="J143" t="inlineStr">
        <is>
          <t>No</t>
        </is>
      </c>
      <c r="K143" t="inlineStr">
        <is>
          <t>No</t>
        </is>
      </c>
      <c r="L143" t="inlineStr">
        <is>
          <t>Spring</t>
        </is>
      </c>
    </row>
    <row r="144">
      <c r="A144" s="4" t="n">
        <v>20250523</v>
      </c>
      <c r="B144" s="5" t="n">
        <v>45800</v>
      </c>
      <c r="C144" t="n">
        <v>23</v>
      </c>
      <c r="D144" t="n">
        <v>5</v>
      </c>
      <c r="E144" t="inlineStr">
        <is>
          <t>May</t>
        </is>
      </c>
      <c r="F144" t="inlineStr">
        <is>
          <t>Q2</t>
        </is>
      </c>
      <c r="G144" t="n">
        <v>2025</v>
      </c>
      <c r="H144" t="n">
        <v>20</v>
      </c>
      <c r="I144" t="inlineStr">
        <is>
          <t>Friday</t>
        </is>
      </c>
      <c r="J144" t="inlineStr">
        <is>
          <t>Yes</t>
        </is>
      </c>
      <c r="K144" t="inlineStr">
        <is>
          <t>No</t>
        </is>
      </c>
      <c r="L144" t="inlineStr">
        <is>
          <t>Spring</t>
        </is>
      </c>
    </row>
    <row r="145">
      <c r="A145" s="4" t="n">
        <v>20250524</v>
      </c>
      <c r="B145" s="5" t="n">
        <v>45801</v>
      </c>
      <c r="C145" t="n">
        <v>24</v>
      </c>
      <c r="D145" t="n">
        <v>5</v>
      </c>
      <c r="E145" t="inlineStr">
        <is>
          <t>May</t>
        </is>
      </c>
      <c r="F145" t="inlineStr">
        <is>
          <t>Q2</t>
        </is>
      </c>
      <c r="G145" t="n">
        <v>2025</v>
      </c>
      <c r="H145" t="n">
        <v>20</v>
      </c>
      <c r="I145" t="inlineStr">
        <is>
          <t>Saturday</t>
        </is>
      </c>
      <c r="J145" t="inlineStr">
        <is>
          <t>Yes</t>
        </is>
      </c>
      <c r="K145" t="inlineStr">
        <is>
          <t>No</t>
        </is>
      </c>
      <c r="L145" t="inlineStr">
        <is>
          <t>Spring</t>
        </is>
      </c>
    </row>
    <row r="146">
      <c r="A146" s="4" t="n">
        <v>20250525</v>
      </c>
      <c r="B146" s="5" t="n">
        <v>45802</v>
      </c>
      <c r="C146" t="n">
        <v>25</v>
      </c>
      <c r="D146" t="n">
        <v>5</v>
      </c>
      <c r="E146" t="inlineStr">
        <is>
          <t>May</t>
        </is>
      </c>
      <c r="F146" t="inlineStr">
        <is>
          <t>Q2</t>
        </is>
      </c>
      <c r="G146" t="n">
        <v>2025</v>
      </c>
      <c r="H146" t="n">
        <v>21</v>
      </c>
      <c r="I146" t="inlineStr">
        <is>
          <t>Sunday</t>
        </is>
      </c>
      <c r="J146" t="inlineStr">
        <is>
          <t>Yes</t>
        </is>
      </c>
      <c r="K146" t="inlineStr">
        <is>
          <t>No</t>
        </is>
      </c>
      <c r="L146" t="inlineStr">
        <is>
          <t>Spring</t>
        </is>
      </c>
    </row>
    <row r="147">
      <c r="A147" s="4" t="n">
        <v>20250526</v>
      </c>
      <c r="B147" s="5" t="n">
        <v>45803</v>
      </c>
      <c r="C147" t="n">
        <v>26</v>
      </c>
      <c r="D147" t="n">
        <v>5</v>
      </c>
      <c r="E147" t="inlineStr">
        <is>
          <t>May</t>
        </is>
      </c>
      <c r="F147" t="inlineStr">
        <is>
          <t>Q2</t>
        </is>
      </c>
      <c r="G147" t="n">
        <v>2025</v>
      </c>
      <c r="H147" t="n">
        <v>21</v>
      </c>
      <c r="I147" t="inlineStr">
        <is>
          <t>Monday</t>
        </is>
      </c>
      <c r="J147" t="inlineStr">
        <is>
          <t>No</t>
        </is>
      </c>
      <c r="K147" t="inlineStr">
        <is>
          <t>No</t>
        </is>
      </c>
      <c r="L147" t="inlineStr">
        <is>
          <t>Spring</t>
        </is>
      </c>
    </row>
    <row r="148">
      <c r="A148" s="4" t="n">
        <v>20250527</v>
      </c>
      <c r="B148" s="5" t="n">
        <v>45804</v>
      </c>
      <c r="C148" t="n">
        <v>27</v>
      </c>
      <c r="D148" t="n">
        <v>5</v>
      </c>
      <c r="E148" t="inlineStr">
        <is>
          <t>May</t>
        </is>
      </c>
      <c r="F148" t="inlineStr">
        <is>
          <t>Q2</t>
        </is>
      </c>
      <c r="G148" t="n">
        <v>2025</v>
      </c>
      <c r="H148" t="n">
        <v>21</v>
      </c>
      <c r="I148" t="inlineStr">
        <is>
          <t>Tuesday</t>
        </is>
      </c>
      <c r="J148" t="inlineStr">
        <is>
          <t>No</t>
        </is>
      </c>
      <c r="K148" t="inlineStr">
        <is>
          <t>No</t>
        </is>
      </c>
      <c r="L148" t="inlineStr">
        <is>
          <t>Spring</t>
        </is>
      </c>
    </row>
    <row r="149">
      <c r="A149" s="4" t="n">
        <v>20250528</v>
      </c>
      <c r="B149" s="5" t="n">
        <v>45805</v>
      </c>
      <c r="C149" t="n">
        <v>28</v>
      </c>
      <c r="D149" t="n">
        <v>5</v>
      </c>
      <c r="E149" t="inlineStr">
        <is>
          <t>May</t>
        </is>
      </c>
      <c r="F149" t="inlineStr">
        <is>
          <t>Q2</t>
        </is>
      </c>
      <c r="G149" t="n">
        <v>2025</v>
      </c>
      <c r="H149" t="n">
        <v>21</v>
      </c>
      <c r="I149" t="inlineStr">
        <is>
          <t>Wednesday</t>
        </is>
      </c>
      <c r="J149" t="inlineStr">
        <is>
          <t>No</t>
        </is>
      </c>
      <c r="K149" t="inlineStr">
        <is>
          <t>No</t>
        </is>
      </c>
      <c r="L149" t="inlineStr">
        <is>
          <t>Spring</t>
        </is>
      </c>
    </row>
    <row r="150">
      <c r="A150" s="4" t="n">
        <v>20250529</v>
      </c>
      <c r="B150" s="5" t="n">
        <v>45806</v>
      </c>
      <c r="C150" t="n">
        <v>29</v>
      </c>
      <c r="D150" t="n">
        <v>5</v>
      </c>
      <c r="E150" t="inlineStr">
        <is>
          <t>May</t>
        </is>
      </c>
      <c r="F150" t="inlineStr">
        <is>
          <t>Q2</t>
        </is>
      </c>
      <c r="G150" t="n">
        <v>2025</v>
      </c>
      <c r="H150" t="n">
        <v>21</v>
      </c>
      <c r="I150" t="inlineStr">
        <is>
          <t>Thursday</t>
        </is>
      </c>
      <c r="J150" t="inlineStr">
        <is>
          <t>No</t>
        </is>
      </c>
      <c r="K150" t="inlineStr">
        <is>
          <t>No</t>
        </is>
      </c>
      <c r="L150" t="inlineStr">
        <is>
          <t>Spring</t>
        </is>
      </c>
    </row>
    <row r="151">
      <c r="A151" s="4" t="n">
        <v>20250530</v>
      </c>
      <c r="B151" s="5" t="n">
        <v>45807</v>
      </c>
      <c r="C151" t="n">
        <v>30</v>
      </c>
      <c r="D151" t="n">
        <v>5</v>
      </c>
      <c r="E151" t="inlineStr">
        <is>
          <t>May</t>
        </is>
      </c>
      <c r="F151" t="inlineStr">
        <is>
          <t>Q2</t>
        </is>
      </c>
      <c r="G151" t="n">
        <v>2025</v>
      </c>
      <c r="H151" t="n">
        <v>21</v>
      </c>
      <c r="I151" t="inlineStr">
        <is>
          <t>Friday</t>
        </is>
      </c>
      <c r="J151" t="inlineStr">
        <is>
          <t>Yes</t>
        </is>
      </c>
      <c r="K151" t="inlineStr">
        <is>
          <t>No</t>
        </is>
      </c>
      <c r="L151" t="inlineStr">
        <is>
          <t>Spring</t>
        </is>
      </c>
    </row>
    <row r="152">
      <c r="A152" s="4" t="n">
        <v>20250531</v>
      </c>
      <c r="B152" s="5" t="n">
        <v>45808</v>
      </c>
      <c r="C152" t="n">
        <v>31</v>
      </c>
      <c r="D152" t="n">
        <v>5</v>
      </c>
      <c r="E152" t="inlineStr">
        <is>
          <t>May</t>
        </is>
      </c>
      <c r="F152" t="inlineStr">
        <is>
          <t>Q2</t>
        </is>
      </c>
      <c r="G152" t="n">
        <v>2025</v>
      </c>
      <c r="H152" t="n">
        <v>21</v>
      </c>
      <c r="I152" t="inlineStr">
        <is>
          <t>Saturday</t>
        </is>
      </c>
      <c r="J152" t="inlineStr">
        <is>
          <t>Yes</t>
        </is>
      </c>
      <c r="K152" t="inlineStr">
        <is>
          <t>No</t>
        </is>
      </c>
      <c r="L152" t="inlineStr">
        <is>
          <t>Spring</t>
        </is>
      </c>
    </row>
    <row r="153">
      <c r="A153" s="4" t="n">
        <v>20250601</v>
      </c>
      <c r="B153" s="5" t="n">
        <v>45809</v>
      </c>
      <c r="C153" t="n">
        <v>1</v>
      </c>
      <c r="D153" t="n">
        <v>6</v>
      </c>
      <c r="E153" t="inlineStr">
        <is>
          <t>June</t>
        </is>
      </c>
      <c r="F153" t="inlineStr">
        <is>
          <t>Q2</t>
        </is>
      </c>
      <c r="G153" t="n">
        <v>2025</v>
      </c>
      <c r="H153" t="n">
        <v>22</v>
      </c>
      <c r="I153" t="inlineStr">
        <is>
          <t>Sunday</t>
        </is>
      </c>
      <c r="J153" t="inlineStr">
        <is>
          <t>Yes</t>
        </is>
      </c>
      <c r="K153" t="inlineStr">
        <is>
          <t>No</t>
        </is>
      </c>
      <c r="L153" t="inlineStr">
        <is>
          <t>Summer</t>
        </is>
      </c>
    </row>
    <row r="154">
      <c r="A154" s="4" t="n">
        <v>20250602</v>
      </c>
      <c r="B154" s="5" t="n">
        <v>45810</v>
      </c>
      <c r="C154" t="n">
        <v>2</v>
      </c>
      <c r="D154" t="n">
        <v>6</v>
      </c>
      <c r="E154" t="inlineStr">
        <is>
          <t>June</t>
        </is>
      </c>
      <c r="F154" t="inlineStr">
        <is>
          <t>Q2</t>
        </is>
      </c>
      <c r="G154" t="n">
        <v>2025</v>
      </c>
      <c r="H154" t="n">
        <v>22</v>
      </c>
      <c r="I154" t="inlineStr">
        <is>
          <t>Monday</t>
        </is>
      </c>
      <c r="J154" t="inlineStr">
        <is>
          <t>No</t>
        </is>
      </c>
      <c r="K154" t="inlineStr">
        <is>
          <t>No</t>
        </is>
      </c>
      <c r="L154" t="inlineStr">
        <is>
          <t>Summer</t>
        </is>
      </c>
    </row>
    <row r="155">
      <c r="A155" s="4" t="n">
        <v>20250603</v>
      </c>
      <c r="B155" s="5" t="n">
        <v>45811</v>
      </c>
      <c r="C155" t="n">
        <v>3</v>
      </c>
      <c r="D155" t="n">
        <v>6</v>
      </c>
      <c r="E155" t="inlineStr">
        <is>
          <t>June</t>
        </is>
      </c>
      <c r="F155" t="inlineStr">
        <is>
          <t>Q2</t>
        </is>
      </c>
      <c r="G155" t="n">
        <v>2025</v>
      </c>
      <c r="H155" t="n">
        <v>22</v>
      </c>
      <c r="I155" t="inlineStr">
        <is>
          <t>Tuesday</t>
        </is>
      </c>
      <c r="J155" t="inlineStr">
        <is>
          <t>No</t>
        </is>
      </c>
      <c r="K155" t="inlineStr">
        <is>
          <t>No</t>
        </is>
      </c>
      <c r="L155" t="inlineStr">
        <is>
          <t>Summer</t>
        </is>
      </c>
    </row>
    <row r="156">
      <c r="A156" s="4" t="n">
        <v>20250604</v>
      </c>
      <c r="B156" s="5" t="n">
        <v>45812</v>
      </c>
      <c r="C156" t="n">
        <v>4</v>
      </c>
      <c r="D156" t="n">
        <v>6</v>
      </c>
      <c r="E156" t="inlineStr">
        <is>
          <t>June</t>
        </is>
      </c>
      <c r="F156" t="inlineStr">
        <is>
          <t>Q2</t>
        </is>
      </c>
      <c r="G156" t="n">
        <v>2025</v>
      </c>
      <c r="H156" t="n">
        <v>22</v>
      </c>
      <c r="I156" t="inlineStr">
        <is>
          <t>Wednesday</t>
        </is>
      </c>
      <c r="J156" t="inlineStr">
        <is>
          <t>No</t>
        </is>
      </c>
      <c r="K156" t="inlineStr">
        <is>
          <t>No</t>
        </is>
      </c>
      <c r="L156" t="inlineStr">
        <is>
          <t>Summer</t>
        </is>
      </c>
    </row>
    <row r="157">
      <c r="A157" s="4" t="n">
        <v>20250605</v>
      </c>
      <c r="B157" s="5" t="n">
        <v>45813</v>
      </c>
      <c r="C157" t="n">
        <v>5</v>
      </c>
      <c r="D157" t="n">
        <v>6</v>
      </c>
      <c r="E157" t="inlineStr">
        <is>
          <t>June</t>
        </is>
      </c>
      <c r="F157" t="inlineStr">
        <is>
          <t>Q2</t>
        </is>
      </c>
      <c r="G157" t="n">
        <v>2025</v>
      </c>
      <c r="H157" t="n">
        <v>22</v>
      </c>
      <c r="I157" t="inlineStr">
        <is>
          <t>Thursday</t>
        </is>
      </c>
      <c r="J157" t="inlineStr">
        <is>
          <t>No</t>
        </is>
      </c>
      <c r="K157" t="inlineStr">
        <is>
          <t>No</t>
        </is>
      </c>
      <c r="L157" t="inlineStr">
        <is>
          <t>Summer</t>
        </is>
      </c>
    </row>
    <row r="158">
      <c r="A158" s="4" t="n">
        <v>20250606</v>
      </c>
      <c r="B158" s="5" t="n">
        <v>45814</v>
      </c>
      <c r="C158" t="n">
        <v>6</v>
      </c>
      <c r="D158" t="n">
        <v>6</v>
      </c>
      <c r="E158" t="inlineStr">
        <is>
          <t>June</t>
        </is>
      </c>
      <c r="F158" t="inlineStr">
        <is>
          <t>Q2</t>
        </is>
      </c>
      <c r="G158" t="n">
        <v>2025</v>
      </c>
      <c r="H158" t="n">
        <v>22</v>
      </c>
      <c r="I158" t="inlineStr">
        <is>
          <t>Friday</t>
        </is>
      </c>
      <c r="J158" t="inlineStr">
        <is>
          <t>Yes</t>
        </is>
      </c>
      <c r="K158" t="inlineStr">
        <is>
          <t>No</t>
        </is>
      </c>
      <c r="L158" t="inlineStr">
        <is>
          <t>Summer</t>
        </is>
      </c>
    </row>
    <row r="159">
      <c r="A159" s="4" t="n">
        <v>20250607</v>
      </c>
      <c r="B159" s="5" t="n">
        <v>45815</v>
      </c>
      <c r="C159" t="n">
        <v>7</v>
      </c>
      <c r="D159" t="n">
        <v>6</v>
      </c>
      <c r="E159" t="inlineStr">
        <is>
          <t>June</t>
        </is>
      </c>
      <c r="F159" t="inlineStr">
        <is>
          <t>Q2</t>
        </is>
      </c>
      <c r="G159" t="n">
        <v>2025</v>
      </c>
      <c r="H159" t="n">
        <v>22</v>
      </c>
      <c r="I159" t="inlineStr">
        <is>
          <t>Saturday</t>
        </is>
      </c>
      <c r="J159" t="inlineStr">
        <is>
          <t>Yes</t>
        </is>
      </c>
      <c r="K159" t="inlineStr">
        <is>
          <t>No</t>
        </is>
      </c>
      <c r="L159" t="inlineStr">
        <is>
          <t>Summer</t>
        </is>
      </c>
    </row>
    <row r="160">
      <c r="A160" s="4" t="n">
        <v>20250608</v>
      </c>
      <c r="B160" s="5" t="n">
        <v>45816</v>
      </c>
      <c r="C160" t="n">
        <v>8</v>
      </c>
      <c r="D160" t="n">
        <v>6</v>
      </c>
      <c r="E160" t="inlineStr">
        <is>
          <t>June</t>
        </is>
      </c>
      <c r="F160" t="inlineStr">
        <is>
          <t>Q2</t>
        </is>
      </c>
      <c r="G160" t="n">
        <v>2025</v>
      </c>
      <c r="H160" t="n">
        <v>23</v>
      </c>
      <c r="I160" t="inlineStr">
        <is>
          <t>Sunday</t>
        </is>
      </c>
      <c r="J160" t="inlineStr">
        <is>
          <t>Yes</t>
        </is>
      </c>
      <c r="K160" t="inlineStr">
        <is>
          <t>No</t>
        </is>
      </c>
      <c r="L160" t="inlineStr">
        <is>
          <t>Summer</t>
        </is>
      </c>
    </row>
    <row r="161">
      <c r="A161" s="4" t="n">
        <v>20250609</v>
      </c>
      <c r="B161" s="5" t="n">
        <v>45817</v>
      </c>
      <c r="C161" t="n">
        <v>9</v>
      </c>
      <c r="D161" t="n">
        <v>6</v>
      </c>
      <c r="E161" t="inlineStr">
        <is>
          <t>June</t>
        </is>
      </c>
      <c r="F161" t="inlineStr">
        <is>
          <t>Q2</t>
        </is>
      </c>
      <c r="G161" t="n">
        <v>2025</v>
      </c>
      <c r="H161" t="n">
        <v>23</v>
      </c>
      <c r="I161" t="inlineStr">
        <is>
          <t>Monday</t>
        </is>
      </c>
      <c r="J161" t="inlineStr">
        <is>
          <t>No</t>
        </is>
      </c>
      <c r="K161" t="inlineStr">
        <is>
          <t>No</t>
        </is>
      </c>
      <c r="L161" t="inlineStr">
        <is>
          <t>Summer</t>
        </is>
      </c>
    </row>
    <row r="162">
      <c r="A162" s="4" t="n">
        <v>20250610</v>
      </c>
      <c r="B162" s="5" t="n">
        <v>45818</v>
      </c>
      <c r="C162" t="n">
        <v>10</v>
      </c>
      <c r="D162" t="n">
        <v>6</v>
      </c>
      <c r="E162" t="inlineStr">
        <is>
          <t>June</t>
        </is>
      </c>
      <c r="F162" t="inlineStr">
        <is>
          <t>Q2</t>
        </is>
      </c>
      <c r="G162" t="n">
        <v>2025</v>
      </c>
      <c r="H162" t="n">
        <v>23</v>
      </c>
      <c r="I162" t="inlineStr">
        <is>
          <t>Tuesday</t>
        </is>
      </c>
      <c r="J162" t="inlineStr">
        <is>
          <t>No</t>
        </is>
      </c>
      <c r="K162" t="inlineStr">
        <is>
          <t>No</t>
        </is>
      </c>
      <c r="L162" t="inlineStr">
        <is>
          <t>Summer</t>
        </is>
      </c>
    </row>
    <row r="163">
      <c r="A163" s="4" t="n">
        <v>20250611</v>
      </c>
      <c r="B163" s="5" t="n">
        <v>45819</v>
      </c>
      <c r="C163" t="n">
        <v>11</v>
      </c>
      <c r="D163" t="n">
        <v>6</v>
      </c>
      <c r="E163" t="inlineStr">
        <is>
          <t>June</t>
        </is>
      </c>
      <c r="F163" t="inlineStr">
        <is>
          <t>Q2</t>
        </is>
      </c>
      <c r="G163" t="n">
        <v>2025</v>
      </c>
      <c r="H163" t="n">
        <v>23</v>
      </c>
      <c r="I163" t="inlineStr">
        <is>
          <t>Wednesday</t>
        </is>
      </c>
      <c r="J163" t="inlineStr">
        <is>
          <t>No</t>
        </is>
      </c>
      <c r="K163" t="inlineStr">
        <is>
          <t>No</t>
        </is>
      </c>
      <c r="L163" t="inlineStr">
        <is>
          <t>Summer</t>
        </is>
      </c>
    </row>
    <row r="164">
      <c r="A164" s="4" t="n">
        <v>20250612</v>
      </c>
      <c r="B164" s="5" t="n">
        <v>45820</v>
      </c>
      <c r="C164" t="n">
        <v>12</v>
      </c>
      <c r="D164" t="n">
        <v>6</v>
      </c>
      <c r="E164" t="inlineStr">
        <is>
          <t>June</t>
        </is>
      </c>
      <c r="F164" t="inlineStr">
        <is>
          <t>Q2</t>
        </is>
      </c>
      <c r="G164" t="n">
        <v>2025</v>
      </c>
      <c r="H164" t="n">
        <v>23</v>
      </c>
      <c r="I164" t="inlineStr">
        <is>
          <t>Thursday</t>
        </is>
      </c>
      <c r="J164" t="inlineStr">
        <is>
          <t>No</t>
        </is>
      </c>
      <c r="K164" t="inlineStr">
        <is>
          <t>No</t>
        </is>
      </c>
      <c r="L164" t="inlineStr">
        <is>
          <t>Summer</t>
        </is>
      </c>
    </row>
    <row r="165">
      <c r="A165" s="4" t="n">
        <v>20250613</v>
      </c>
      <c r="B165" s="5" t="n">
        <v>45821</v>
      </c>
      <c r="C165" t="n">
        <v>13</v>
      </c>
      <c r="D165" t="n">
        <v>6</v>
      </c>
      <c r="E165" t="inlineStr">
        <is>
          <t>June</t>
        </is>
      </c>
      <c r="F165" t="inlineStr">
        <is>
          <t>Q2</t>
        </is>
      </c>
      <c r="G165" t="n">
        <v>2025</v>
      </c>
      <c r="H165" t="n">
        <v>23</v>
      </c>
      <c r="I165" t="inlineStr">
        <is>
          <t>Friday</t>
        </is>
      </c>
      <c r="J165" t="inlineStr">
        <is>
          <t>Yes</t>
        </is>
      </c>
      <c r="K165" t="inlineStr">
        <is>
          <t>No</t>
        </is>
      </c>
      <c r="L165" t="inlineStr">
        <is>
          <t>Summer</t>
        </is>
      </c>
    </row>
    <row r="166">
      <c r="A166" s="4" t="n">
        <v>20250614</v>
      </c>
      <c r="B166" s="5" t="n">
        <v>45822</v>
      </c>
      <c r="C166" t="n">
        <v>14</v>
      </c>
      <c r="D166" t="n">
        <v>6</v>
      </c>
      <c r="E166" t="inlineStr">
        <is>
          <t>June</t>
        </is>
      </c>
      <c r="F166" t="inlineStr">
        <is>
          <t>Q2</t>
        </is>
      </c>
      <c r="G166" t="n">
        <v>2025</v>
      </c>
      <c r="H166" t="n">
        <v>23</v>
      </c>
      <c r="I166" t="inlineStr">
        <is>
          <t>Saturday</t>
        </is>
      </c>
      <c r="J166" t="inlineStr">
        <is>
          <t>Yes</t>
        </is>
      </c>
      <c r="K166" t="inlineStr">
        <is>
          <t>No</t>
        </is>
      </c>
      <c r="L166" t="inlineStr">
        <is>
          <t>Summer</t>
        </is>
      </c>
    </row>
    <row r="167">
      <c r="A167" s="4" t="n">
        <v>20250615</v>
      </c>
      <c r="B167" s="5" t="n">
        <v>45823</v>
      </c>
      <c r="C167" t="n">
        <v>15</v>
      </c>
      <c r="D167" t="n">
        <v>6</v>
      </c>
      <c r="E167" t="inlineStr">
        <is>
          <t>June</t>
        </is>
      </c>
      <c r="F167" t="inlineStr">
        <is>
          <t>Q2</t>
        </is>
      </c>
      <c r="G167" t="n">
        <v>2025</v>
      </c>
      <c r="H167" t="n">
        <v>24</v>
      </c>
      <c r="I167" t="inlineStr">
        <is>
          <t>Sunday</t>
        </is>
      </c>
      <c r="J167" t="inlineStr">
        <is>
          <t>Yes</t>
        </is>
      </c>
      <c r="K167" t="inlineStr">
        <is>
          <t>No</t>
        </is>
      </c>
      <c r="L167" t="inlineStr">
        <is>
          <t>Summer</t>
        </is>
      </c>
    </row>
    <row r="168">
      <c r="A168" s="4" t="n">
        <v>20250616</v>
      </c>
      <c r="B168" s="5" t="n">
        <v>45824</v>
      </c>
      <c r="C168" t="n">
        <v>16</v>
      </c>
      <c r="D168" t="n">
        <v>6</v>
      </c>
      <c r="E168" t="inlineStr">
        <is>
          <t>June</t>
        </is>
      </c>
      <c r="F168" t="inlineStr">
        <is>
          <t>Q2</t>
        </is>
      </c>
      <c r="G168" t="n">
        <v>2025</v>
      </c>
      <c r="H168" t="n">
        <v>24</v>
      </c>
      <c r="I168" t="inlineStr">
        <is>
          <t>Monday</t>
        </is>
      </c>
      <c r="J168" t="inlineStr">
        <is>
          <t>No</t>
        </is>
      </c>
      <c r="K168" t="inlineStr">
        <is>
          <t>No</t>
        </is>
      </c>
      <c r="L168" t="inlineStr">
        <is>
          <t>Summer</t>
        </is>
      </c>
    </row>
    <row r="169">
      <c r="A169" s="4" t="n">
        <v>20250617</v>
      </c>
      <c r="B169" s="5" t="n">
        <v>45825</v>
      </c>
      <c r="C169" t="n">
        <v>17</v>
      </c>
      <c r="D169" t="n">
        <v>6</v>
      </c>
      <c r="E169" t="inlineStr">
        <is>
          <t>June</t>
        </is>
      </c>
      <c r="F169" t="inlineStr">
        <is>
          <t>Q2</t>
        </is>
      </c>
      <c r="G169" t="n">
        <v>2025</v>
      </c>
      <c r="H169" t="n">
        <v>24</v>
      </c>
      <c r="I169" t="inlineStr">
        <is>
          <t>Tuesday</t>
        </is>
      </c>
      <c r="J169" t="inlineStr">
        <is>
          <t>No</t>
        </is>
      </c>
      <c r="K169" t="inlineStr">
        <is>
          <t>No</t>
        </is>
      </c>
      <c r="L169" t="inlineStr">
        <is>
          <t>Summer</t>
        </is>
      </c>
    </row>
    <row r="170">
      <c r="A170" s="4" t="n">
        <v>20250618</v>
      </c>
      <c r="B170" s="5" t="n">
        <v>45826</v>
      </c>
      <c r="C170" t="n">
        <v>18</v>
      </c>
      <c r="D170" t="n">
        <v>6</v>
      </c>
      <c r="E170" t="inlineStr">
        <is>
          <t>June</t>
        </is>
      </c>
      <c r="F170" t="inlineStr">
        <is>
          <t>Q2</t>
        </is>
      </c>
      <c r="G170" t="n">
        <v>2025</v>
      </c>
      <c r="H170" t="n">
        <v>24</v>
      </c>
      <c r="I170" t="inlineStr">
        <is>
          <t>Wednesday</t>
        </is>
      </c>
      <c r="J170" t="inlineStr">
        <is>
          <t>No</t>
        </is>
      </c>
      <c r="K170" t="inlineStr">
        <is>
          <t>No</t>
        </is>
      </c>
      <c r="L170" t="inlineStr">
        <is>
          <t>Summer</t>
        </is>
      </c>
    </row>
    <row r="171">
      <c r="A171" s="4" t="n">
        <v>20250619</v>
      </c>
      <c r="B171" s="5" t="n">
        <v>45827</v>
      </c>
      <c r="C171" t="n">
        <v>19</v>
      </c>
      <c r="D171" t="n">
        <v>6</v>
      </c>
      <c r="E171" t="inlineStr">
        <is>
          <t>June</t>
        </is>
      </c>
      <c r="F171" t="inlineStr">
        <is>
          <t>Q2</t>
        </is>
      </c>
      <c r="G171" t="n">
        <v>2025</v>
      </c>
      <c r="H171" t="n">
        <v>24</v>
      </c>
      <c r="I171" t="inlineStr">
        <is>
          <t>Thursday</t>
        </is>
      </c>
      <c r="J171" t="inlineStr">
        <is>
          <t>No</t>
        </is>
      </c>
      <c r="K171" t="inlineStr">
        <is>
          <t>No</t>
        </is>
      </c>
      <c r="L171" t="inlineStr">
        <is>
          <t>Summer</t>
        </is>
      </c>
    </row>
    <row r="172">
      <c r="A172" s="4" t="n">
        <v>20250620</v>
      </c>
      <c r="B172" s="5" t="n">
        <v>45828</v>
      </c>
      <c r="C172" t="n">
        <v>20</v>
      </c>
      <c r="D172" t="n">
        <v>6</v>
      </c>
      <c r="E172" t="inlineStr">
        <is>
          <t>June</t>
        </is>
      </c>
      <c r="F172" t="inlineStr">
        <is>
          <t>Q2</t>
        </is>
      </c>
      <c r="G172" t="n">
        <v>2025</v>
      </c>
      <c r="H172" t="n">
        <v>24</v>
      </c>
      <c r="I172" t="inlineStr">
        <is>
          <t>Friday</t>
        </is>
      </c>
      <c r="J172" t="inlineStr">
        <is>
          <t>Yes</t>
        </is>
      </c>
      <c r="K172" t="inlineStr">
        <is>
          <t>No</t>
        </is>
      </c>
      <c r="L172" t="inlineStr">
        <is>
          <t>Summer</t>
        </is>
      </c>
    </row>
    <row r="173">
      <c r="A173" s="4" t="n">
        <v>20250621</v>
      </c>
      <c r="B173" s="5" t="n">
        <v>45829</v>
      </c>
      <c r="C173" t="n">
        <v>21</v>
      </c>
      <c r="D173" t="n">
        <v>6</v>
      </c>
      <c r="E173" t="inlineStr">
        <is>
          <t>June</t>
        </is>
      </c>
      <c r="F173" t="inlineStr">
        <is>
          <t>Q2</t>
        </is>
      </c>
      <c r="G173" t="n">
        <v>2025</v>
      </c>
      <c r="H173" t="n">
        <v>24</v>
      </c>
      <c r="I173" t="inlineStr">
        <is>
          <t>Saturday</t>
        </is>
      </c>
      <c r="J173" t="inlineStr">
        <is>
          <t>Yes</t>
        </is>
      </c>
      <c r="K173" t="inlineStr">
        <is>
          <t>No</t>
        </is>
      </c>
      <c r="L173" t="inlineStr">
        <is>
          <t>Summer</t>
        </is>
      </c>
    </row>
    <row r="174">
      <c r="A174" s="4" t="n">
        <v>20250622</v>
      </c>
      <c r="B174" s="5" t="n">
        <v>45830</v>
      </c>
      <c r="C174" t="n">
        <v>22</v>
      </c>
      <c r="D174" t="n">
        <v>6</v>
      </c>
      <c r="E174" t="inlineStr">
        <is>
          <t>June</t>
        </is>
      </c>
      <c r="F174" t="inlineStr">
        <is>
          <t>Q2</t>
        </is>
      </c>
      <c r="G174" t="n">
        <v>2025</v>
      </c>
      <c r="H174" t="n">
        <v>25</v>
      </c>
      <c r="I174" t="inlineStr">
        <is>
          <t>Sunday</t>
        </is>
      </c>
      <c r="J174" t="inlineStr">
        <is>
          <t>Yes</t>
        </is>
      </c>
      <c r="K174" t="inlineStr">
        <is>
          <t>No</t>
        </is>
      </c>
      <c r="L174" t="inlineStr">
        <is>
          <t>Summer</t>
        </is>
      </c>
    </row>
    <row r="175">
      <c r="A175" s="4" t="n">
        <v>20250623</v>
      </c>
      <c r="B175" s="5" t="n">
        <v>45831</v>
      </c>
      <c r="C175" t="n">
        <v>23</v>
      </c>
      <c r="D175" t="n">
        <v>6</v>
      </c>
      <c r="E175" t="inlineStr">
        <is>
          <t>June</t>
        </is>
      </c>
      <c r="F175" t="inlineStr">
        <is>
          <t>Q2</t>
        </is>
      </c>
      <c r="G175" t="n">
        <v>2025</v>
      </c>
      <c r="H175" t="n">
        <v>25</v>
      </c>
      <c r="I175" t="inlineStr">
        <is>
          <t>Monday</t>
        </is>
      </c>
      <c r="J175" t="inlineStr">
        <is>
          <t>No</t>
        </is>
      </c>
      <c r="K175" t="inlineStr">
        <is>
          <t>No</t>
        </is>
      </c>
      <c r="L175" t="inlineStr">
        <is>
          <t>Summer</t>
        </is>
      </c>
    </row>
    <row r="176">
      <c r="A176" s="4" t="n">
        <v>20250624</v>
      </c>
      <c r="B176" s="5" t="n">
        <v>45832</v>
      </c>
      <c r="C176" t="n">
        <v>24</v>
      </c>
      <c r="D176" t="n">
        <v>6</v>
      </c>
      <c r="E176" t="inlineStr">
        <is>
          <t>June</t>
        </is>
      </c>
      <c r="F176" t="inlineStr">
        <is>
          <t>Q2</t>
        </is>
      </c>
      <c r="G176" t="n">
        <v>2025</v>
      </c>
      <c r="H176" t="n">
        <v>25</v>
      </c>
      <c r="I176" t="inlineStr">
        <is>
          <t>Tuesday</t>
        </is>
      </c>
      <c r="J176" t="inlineStr">
        <is>
          <t>No</t>
        </is>
      </c>
      <c r="K176" t="inlineStr">
        <is>
          <t>No</t>
        </is>
      </c>
      <c r="L176" t="inlineStr">
        <is>
          <t>Summer</t>
        </is>
      </c>
    </row>
    <row r="177">
      <c r="A177" s="4" t="n">
        <v>20250625</v>
      </c>
      <c r="B177" s="5" t="n">
        <v>45833</v>
      </c>
      <c r="C177" t="n">
        <v>25</v>
      </c>
      <c r="D177" t="n">
        <v>6</v>
      </c>
      <c r="E177" t="inlineStr">
        <is>
          <t>June</t>
        </is>
      </c>
      <c r="F177" t="inlineStr">
        <is>
          <t>Q2</t>
        </is>
      </c>
      <c r="G177" t="n">
        <v>2025</v>
      </c>
      <c r="H177" t="n">
        <v>25</v>
      </c>
      <c r="I177" t="inlineStr">
        <is>
          <t>Wednesday</t>
        </is>
      </c>
      <c r="J177" t="inlineStr">
        <is>
          <t>No</t>
        </is>
      </c>
      <c r="K177" t="inlineStr">
        <is>
          <t>No</t>
        </is>
      </c>
      <c r="L177" t="inlineStr">
        <is>
          <t>Summer</t>
        </is>
      </c>
    </row>
    <row r="178">
      <c r="A178" s="4" t="n">
        <v>20250626</v>
      </c>
      <c r="B178" s="5" t="n">
        <v>45834</v>
      </c>
      <c r="C178" t="n">
        <v>26</v>
      </c>
      <c r="D178" t="n">
        <v>6</v>
      </c>
      <c r="E178" t="inlineStr">
        <is>
          <t>June</t>
        </is>
      </c>
      <c r="F178" t="inlineStr">
        <is>
          <t>Q2</t>
        </is>
      </c>
      <c r="G178" t="n">
        <v>2025</v>
      </c>
      <c r="H178" t="n">
        <v>25</v>
      </c>
      <c r="I178" t="inlineStr">
        <is>
          <t>Thursday</t>
        </is>
      </c>
      <c r="J178" t="inlineStr">
        <is>
          <t>No</t>
        </is>
      </c>
      <c r="K178" t="inlineStr">
        <is>
          <t>No</t>
        </is>
      </c>
      <c r="L178" t="inlineStr">
        <is>
          <t>Summer</t>
        </is>
      </c>
    </row>
    <row r="179">
      <c r="A179" s="4" t="n">
        <v>20250627</v>
      </c>
      <c r="B179" s="5" t="n">
        <v>45835</v>
      </c>
      <c r="C179" t="n">
        <v>27</v>
      </c>
      <c r="D179" t="n">
        <v>6</v>
      </c>
      <c r="E179" t="inlineStr">
        <is>
          <t>June</t>
        </is>
      </c>
      <c r="F179" t="inlineStr">
        <is>
          <t>Q2</t>
        </is>
      </c>
      <c r="G179" t="n">
        <v>2025</v>
      </c>
      <c r="H179" t="n">
        <v>25</v>
      </c>
      <c r="I179" t="inlineStr">
        <is>
          <t>Friday</t>
        </is>
      </c>
      <c r="J179" t="inlineStr">
        <is>
          <t>Yes</t>
        </is>
      </c>
      <c r="K179" t="inlineStr">
        <is>
          <t>No</t>
        </is>
      </c>
      <c r="L179" t="inlineStr">
        <is>
          <t>Summer</t>
        </is>
      </c>
    </row>
    <row r="180">
      <c r="A180" s="4" t="n">
        <v>20250628</v>
      </c>
      <c r="B180" s="5" t="n">
        <v>45836</v>
      </c>
      <c r="C180" t="n">
        <v>28</v>
      </c>
      <c r="D180" t="n">
        <v>6</v>
      </c>
      <c r="E180" t="inlineStr">
        <is>
          <t>June</t>
        </is>
      </c>
      <c r="F180" t="inlineStr">
        <is>
          <t>Q2</t>
        </is>
      </c>
      <c r="G180" t="n">
        <v>2025</v>
      </c>
      <c r="H180" t="n">
        <v>25</v>
      </c>
      <c r="I180" t="inlineStr">
        <is>
          <t>Saturday</t>
        </is>
      </c>
      <c r="J180" t="inlineStr">
        <is>
          <t>Yes</t>
        </is>
      </c>
      <c r="K180" t="inlineStr">
        <is>
          <t>No</t>
        </is>
      </c>
      <c r="L180" t="inlineStr">
        <is>
          <t>Summer</t>
        </is>
      </c>
    </row>
    <row r="181">
      <c r="A181" s="4" t="n">
        <v>20250629</v>
      </c>
      <c r="B181" s="5" t="n">
        <v>45837</v>
      </c>
      <c r="C181" t="n">
        <v>29</v>
      </c>
      <c r="D181" t="n">
        <v>6</v>
      </c>
      <c r="E181" t="inlineStr">
        <is>
          <t>June</t>
        </is>
      </c>
      <c r="F181" t="inlineStr">
        <is>
          <t>Q2</t>
        </is>
      </c>
      <c r="G181" t="n">
        <v>2025</v>
      </c>
      <c r="H181" t="n">
        <v>26</v>
      </c>
      <c r="I181" t="inlineStr">
        <is>
          <t>Sunday</t>
        </is>
      </c>
      <c r="J181" t="inlineStr">
        <is>
          <t>Yes</t>
        </is>
      </c>
      <c r="K181" t="inlineStr">
        <is>
          <t>No</t>
        </is>
      </c>
      <c r="L181" t="inlineStr">
        <is>
          <t>Summer</t>
        </is>
      </c>
    </row>
    <row r="182">
      <c r="A182" s="4" t="n">
        <v>20250630</v>
      </c>
      <c r="B182" s="5" t="n">
        <v>45838</v>
      </c>
      <c r="C182" t="n">
        <v>30</v>
      </c>
      <c r="D182" t="n">
        <v>6</v>
      </c>
      <c r="E182" t="inlineStr">
        <is>
          <t>June</t>
        </is>
      </c>
      <c r="F182" t="inlineStr">
        <is>
          <t>Q2</t>
        </is>
      </c>
      <c r="G182" t="n">
        <v>2025</v>
      </c>
      <c r="H182" t="n">
        <v>26</v>
      </c>
      <c r="I182" t="inlineStr">
        <is>
          <t>Monday</t>
        </is>
      </c>
      <c r="J182" t="inlineStr">
        <is>
          <t>No</t>
        </is>
      </c>
      <c r="K182" t="inlineStr">
        <is>
          <t>No</t>
        </is>
      </c>
      <c r="L182" t="inlineStr">
        <is>
          <t>Summer</t>
        </is>
      </c>
    </row>
    <row r="183">
      <c r="A183" s="4" t="n">
        <v>20250701</v>
      </c>
      <c r="B183" s="5" t="n">
        <v>45839</v>
      </c>
      <c r="C183" t="n">
        <v>1</v>
      </c>
      <c r="D183" t="n">
        <v>7</v>
      </c>
      <c r="E183" t="inlineStr">
        <is>
          <t>July</t>
        </is>
      </c>
      <c r="F183" t="inlineStr">
        <is>
          <t>Q3</t>
        </is>
      </c>
      <c r="G183" t="n">
        <v>2025</v>
      </c>
      <c r="H183" t="n">
        <v>26</v>
      </c>
      <c r="I183" t="inlineStr">
        <is>
          <t>Tuesday</t>
        </is>
      </c>
      <c r="J183" t="inlineStr">
        <is>
          <t>No</t>
        </is>
      </c>
      <c r="K183" t="inlineStr">
        <is>
          <t>No</t>
        </is>
      </c>
      <c r="L183" t="inlineStr">
        <is>
          <t>Summer</t>
        </is>
      </c>
    </row>
    <row r="184">
      <c r="A184" s="4" t="n">
        <v>20250702</v>
      </c>
      <c r="B184" s="5" t="n">
        <v>45840</v>
      </c>
      <c r="C184" t="n">
        <v>2</v>
      </c>
      <c r="D184" t="n">
        <v>7</v>
      </c>
      <c r="E184" t="inlineStr">
        <is>
          <t>July</t>
        </is>
      </c>
      <c r="F184" t="inlineStr">
        <is>
          <t>Q3</t>
        </is>
      </c>
      <c r="G184" t="n">
        <v>2025</v>
      </c>
      <c r="H184" t="n">
        <v>26</v>
      </c>
      <c r="I184" t="inlineStr">
        <is>
          <t>Wednesday</t>
        </is>
      </c>
      <c r="J184" t="inlineStr">
        <is>
          <t>No</t>
        </is>
      </c>
      <c r="K184" t="inlineStr">
        <is>
          <t>No</t>
        </is>
      </c>
      <c r="L184" t="inlineStr">
        <is>
          <t>Summer</t>
        </is>
      </c>
    </row>
    <row r="185">
      <c r="A185" s="4" t="n">
        <v>20250703</v>
      </c>
      <c r="B185" s="5" t="n">
        <v>45841</v>
      </c>
      <c r="C185" t="n">
        <v>3</v>
      </c>
      <c r="D185" t="n">
        <v>7</v>
      </c>
      <c r="E185" t="inlineStr">
        <is>
          <t>July</t>
        </is>
      </c>
      <c r="F185" t="inlineStr">
        <is>
          <t>Q3</t>
        </is>
      </c>
      <c r="G185" t="n">
        <v>2025</v>
      </c>
      <c r="H185" t="n">
        <v>26</v>
      </c>
      <c r="I185" t="inlineStr">
        <is>
          <t>Thursday</t>
        </is>
      </c>
      <c r="J185" t="inlineStr">
        <is>
          <t>No</t>
        </is>
      </c>
      <c r="K185" t="inlineStr">
        <is>
          <t>No</t>
        </is>
      </c>
      <c r="L185" t="inlineStr">
        <is>
          <t>Summer</t>
        </is>
      </c>
    </row>
    <row r="186">
      <c r="A186" s="4" t="n">
        <v>20250704</v>
      </c>
      <c r="B186" s="5" t="n">
        <v>45842</v>
      </c>
      <c r="C186" t="n">
        <v>4</v>
      </c>
      <c r="D186" t="n">
        <v>7</v>
      </c>
      <c r="E186" t="inlineStr">
        <is>
          <t>July</t>
        </is>
      </c>
      <c r="F186" t="inlineStr">
        <is>
          <t>Q3</t>
        </is>
      </c>
      <c r="G186" t="n">
        <v>2025</v>
      </c>
      <c r="H186" t="n">
        <v>26</v>
      </c>
      <c r="I186" t="inlineStr">
        <is>
          <t>Friday</t>
        </is>
      </c>
      <c r="J186" t="inlineStr">
        <is>
          <t>Yes</t>
        </is>
      </c>
      <c r="K186" t="inlineStr">
        <is>
          <t>No</t>
        </is>
      </c>
      <c r="L186" t="inlineStr">
        <is>
          <t>Summer</t>
        </is>
      </c>
    </row>
    <row r="187">
      <c r="A187" s="4" t="n">
        <v>20250705</v>
      </c>
      <c r="B187" s="5" t="n">
        <v>45843</v>
      </c>
      <c r="C187" t="n">
        <v>5</v>
      </c>
      <c r="D187" t="n">
        <v>7</v>
      </c>
      <c r="E187" t="inlineStr">
        <is>
          <t>July</t>
        </is>
      </c>
      <c r="F187" t="inlineStr">
        <is>
          <t>Q3</t>
        </is>
      </c>
      <c r="G187" t="n">
        <v>2025</v>
      </c>
      <c r="H187" t="n">
        <v>26</v>
      </c>
      <c r="I187" t="inlineStr">
        <is>
          <t>Saturday</t>
        </is>
      </c>
      <c r="J187" t="inlineStr">
        <is>
          <t>Yes</t>
        </is>
      </c>
      <c r="K187" t="inlineStr">
        <is>
          <t>No</t>
        </is>
      </c>
      <c r="L187" t="inlineStr">
        <is>
          <t>Summer</t>
        </is>
      </c>
    </row>
    <row r="188">
      <c r="A188" s="4" t="n">
        <v>20250706</v>
      </c>
      <c r="B188" s="5" t="n">
        <v>45844</v>
      </c>
      <c r="C188" t="n">
        <v>6</v>
      </c>
      <c r="D188" t="n">
        <v>7</v>
      </c>
      <c r="E188" t="inlineStr">
        <is>
          <t>July</t>
        </is>
      </c>
      <c r="F188" t="inlineStr">
        <is>
          <t>Q3</t>
        </is>
      </c>
      <c r="G188" t="n">
        <v>2025</v>
      </c>
      <c r="H188" t="n">
        <v>27</v>
      </c>
      <c r="I188" t="inlineStr">
        <is>
          <t>Sunday</t>
        </is>
      </c>
      <c r="J188" t="inlineStr">
        <is>
          <t>Yes</t>
        </is>
      </c>
      <c r="K188" t="inlineStr">
        <is>
          <t>No</t>
        </is>
      </c>
      <c r="L188" t="inlineStr">
        <is>
          <t>Summer</t>
        </is>
      </c>
    </row>
    <row r="189">
      <c r="A189" s="4" t="n">
        <v>20250707</v>
      </c>
      <c r="B189" s="5" t="n">
        <v>45845</v>
      </c>
      <c r="C189" t="n">
        <v>7</v>
      </c>
      <c r="D189" t="n">
        <v>7</v>
      </c>
      <c r="E189" t="inlineStr">
        <is>
          <t>July</t>
        </is>
      </c>
      <c r="F189" t="inlineStr">
        <is>
          <t>Q3</t>
        </is>
      </c>
      <c r="G189" t="n">
        <v>2025</v>
      </c>
      <c r="H189" t="n">
        <v>27</v>
      </c>
      <c r="I189" t="inlineStr">
        <is>
          <t>Monday</t>
        </is>
      </c>
      <c r="J189" t="inlineStr">
        <is>
          <t>No</t>
        </is>
      </c>
      <c r="K189" t="inlineStr">
        <is>
          <t>No</t>
        </is>
      </c>
      <c r="L189" t="inlineStr">
        <is>
          <t>Summer</t>
        </is>
      </c>
    </row>
    <row r="190">
      <c r="A190" s="4" t="n">
        <v>20250708</v>
      </c>
      <c r="B190" s="5" t="n">
        <v>45846</v>
      </c>
      <c r="C190" t="n">
        <v>8</v>
      </c>
      <c r="D190" t="n">
        <v>7</v>
      </c>
      <c r="E190" t="inlineStr">
        <is>
          <t>July</t>
        </is>
      </c>
      <c r="F190" t="inlineStr">
        <is>
          <t>Q3</t>
        </is>
      </c>
      <c r="G190" t="n">
        <v>2025</v>
      </c>
      <c r="H190" t="n">
        <v>27</v>
      </c>
      <c r="I190" t="inlineStr">
        <is>
          <t>Tuesday</t>
        </is>
      </c>
      <c r="J190" t="inlineStr">
        <is>
          <t>No</t>
        </is>
      </c>
      <c r="K190" t="inlineStr">
        <is>
          <t>No</t>
        </is>
      </c>
      <c r="L190" t="inlineStr">
        <is>
          <t>Summer</t>
        </is>
      </c>
    </row>
    <row r="191">
      <c r="A191" s="4" t="n">
        <v>20250709</v>
      </c>
      <c r="B191" s="5" t="n">
        <v>45847</v>
      </c>
      <c r="C191" t="n">
        <v>9</v>
      </c>
      <c r="D191" t="n">
        <v>7</v>
      </c>
      <c r="E191" t="inlineStr">
        <is>
          <t>July</t>
        </is>
      </c>
      <c r="F191" t="inlineStr">
        <is>
          <t>Q3</t>
        </is>
      </c>
      <c r="G191" t="n">
        <v>2025</v>
      </c>
      <c r="H191" t="n">
        <v>27</v>
      </c>
      <c r="I191" t="inlineStr">
        <is>
          <t>Wednesday</t>
        </is>
      </c>
      <c r="J191" t="inlineStr">
        <is>
          <t>No</t>
        </is>
      </c>
      <c r="K191" t="inlineStr">
        <is>
          <t>No</t>
        </is>
      </c>
      <c r="L191" t="inlineStr">
        <is>
          <t>Summer</t>
        </is>
      </c>
    </row>
    <row r="192">
      <c r="A192" s="4" t="n">
        <v>20250710</v>
      </c>
      <c r="B192" s="5" t="n">
        <v>45848</v>
      </c>
      <c r="C192" t="n">
        <v>10</v>
      </c>
      <c r="D192" t="n">
        <v>7</v>
      </c>
      <c r="E192" t="inlineStr">
        <is>
          <t>July</t>
        </is>
      </c>
      <c r="F192" t="inlineStr">
        <is>
          <t>Q3</t>
        </is>
      </c>
      <c r="G192" t="n">
        <v>2025</v>
      </c>
      <c r="H192" t="n">
        <v>27</v>
      </c>
      <c r="I192" t="inlineStr">
        <is>
          <t>Thursday</t>
        </is>
      </c>
      <c r="J192" t="inlineStr">
        <is>
          <t>No</t>
        </is>
      </c>
      <c r="K192" t="inlineStr">
        <is>
          <t>No</t>
        </is>
      </c>
      <c r="L192" t="inlineStr">
        <is>
          <t>Summer</t>
        </is>
      </c>
    </row>
    <row r="193">
      <c r="A193" s="4" t="n">
        <v>20250711</v>
      </c>
      <c r="B193" s="5" t="n">
        <v>45849</v>
      </c>
      <c r="C193" t="n">
        <v>11</v>
      </c>
      <c r="D193" t="n">
        <v>7</v>
      </c>
      <c r="E193" t="inlineStr">
        <is>
          <t>July</t>
        </is>
      </c>
      <c r="F193" t="inlineStr">
        <is>
          <t>Q3</t>
        </is>
      </c>
      <c r="G193" t="n">
        <v>2025</v>
      </c>
      <c r="H193" t="n">
        <v>27</v>
      </c>
      <c r="I193" t="inlineStr">
        <is>
          <t>Friday</t>
        </is>
      </c>
      <c r="J193" t="inlineStr">
        <is>
          <t>Yes</t>
        </is>
      </c>
      <c r="K193" t="inlineStr">
        <is>
          <t>No</t>
        </is>
      </c>
      <c r="L193" t="inlineStr">
        <is>
          <t>Summer</t>
        </is>
      </c>
    </row>
    <row r="194">
      <c r="A194" s="4" t="n">
        <v>20250712</v>
      </c>
      <c r="B194" s="5" t="n">
        <v>45850</v>
      </c>
      <c r="C194" t="n">
        <v>12</v>
      </c>
      <c r="D194" t="n">
        <v>7</v>
      </c>
      <c r="E194" t="inlineStr">
        <is>
          <t>July</t>
        </is>
      </c>
      <c r="F194" t="inlineStr">
        <is>
          <t>Q3</t>
        </is>
      </c>
      <c r="G194" t="n">
        <v>2025</v>
      </c>
      <c r="H194" t="n">
        <v>27</v>
      </c>
      <c r="I194" t="inlineStr">
        <is>
          <t>Saturday</t>
        </is>
      </c>
      <c r="J194" t="inlineStr">
        <is>
          <t>Yes</t>
        </is>
      </c>
      <c r="K194" t="inlineStr">
        <is>
          <t>No</t>
        </is>
      </c>
      <c r="L194" t="inlineStr">
        <is>
          <t>Summer</t>
        </is>
      </c>
    </row>
    <row r="195">
      <c r="A195" s="4" t="n">
        <v>20250713</v>
      </c>
      <c r="B195" s="5" t="n">
        <v>45851</v>
      </c>
      <c r="C195" t="n">
        <v>13</v>
      </c>
      <c r="D195" t="n">
        <v>7</v>
      </c>
      <c r="E195" t="inlineStr">
        <is>
          <t>July</t>
        </is>
      </c>
      <c r="F195" t="inlineStr">
        <is>
          <t>Q3</t>
        </is>
      </c>
      <c r="G195" t="n">
        <v>2025</v>
      </c>
      <c r="H195" t="n">
        <v>28</v>
      </c>
      <c r="I195" t="inlineStr">
        <is>
          <t>Sunday</t>
        </is>
      </c>
      <c r="J195" t="inlineStr">
        <is>
          <t>Yes</t>
        </is>
      </c>
      <c r="K195" t="inlineStr">
        <is>
          <t>No</t>
        </is>
      </c>
      <c r="L195" t="inlineStr">
        <is>
          <t>Summer</t>
        </is>
      </c>
    </row>
    <row r="196">
      <c r="A196" s="4" t="n">
        <v>20250714</v>
      </c>
      <c r="B196" s="5" t="n">
        <v>45852</v>
      </c>
      <c r="C196" t="n">
        <v>14</v>
      </c>
      <c r="D196" t="n">
        <v>7</v>
      </c>
      <c r="E196" t="inlineStr">
        <is>
          <t>July</t>
        </is>
      </c>
      <c r="F196" t="inlineStr">
        <is>
          <t>Q3</t>
        </is>
      </c>
      <c r="G196" t="n">
        <v>2025</v>
      </c>
      <c r="H196" t="n">
        <v>28</v>
      </c>
      <c r="I196" t="inlineStr">
        <is>
          <t>Monday</t>
        </is>
      </c>
      <c r="J196" t="inlineStr">
        <is>
          <t>No</t>
        </is>
      </c>
      <c r="K196" t="inlineStr">
        <is>
          <t>No</t>
        </is>
      </c>
      <c r="L196" t="inlineStr">
        <is>
          <t>Summer</t>
        </is>
      </c>
    </row>
    <row r="197">
      <c r="A197" s="4" t="n">
        <v>20250715</v>
      </c>
      <c r="B197" s="5" t="n">
        <v>45853</v>
      </c>
      <c r="C197" t="n">
        <v>15</v>
      </c>
      <c r="D197" t="n">
        <v>7</v>
      </c>
      <c r="E197" t="inlineStr">
        <is>
          <t>July</t>
        </is>
      </c>
      <c r="F197" t="inlineStr">
        <is>
          <t>Q3</t>
        </is>
      </c>
      <c r="G197" t="n">
        <v>2025</v>
      </c>
      <c r="H197" t="n">
        <v>28</v>
      </c>
      <c r="I197" t="inlineStr">
        <is>
          <t>Tuesday</t>
        </is>
      </c>
      <c r="J197" t="inlineStr">
        <is>
          <t>No</t>
        </is>
      </c>
      <c r="K197" t="inlineStr">
        <is>
          <t>No</t>
        </is>
      </c>
      <c r="L197" t="inlineStr">
        <is>
          <t>Summer</t>
        </is>
      </c>
    </row>
    <row r="198">
      <c r="A198" s="4" t="n">
        <v>20250716</v>
      </c>
      <c r="B198" s="5" t="n">
        <v>45854</v>
      </c>
      <c r="C198" t="n">
        <v>16</v>
      </c>
      <c r="D198" t="n">
        <v>7</v>
      </c>
      <c r="E198" t="inlineStr">
        <is>
          <t>July</t>
        </is>
      </c>
      <c r="F198" t="inlineStr">
        <is>
          <t>Q3</t>
        </is>
      </c>
      <c r="G198" t="n">
        <v>2025</v>
      </c>
      <c r="H198" t="n">
        <v>28</v>
      </c>
      <c r="I198" t="inlineStr">
        <is>
          <t>Wednesday</t>
        </is>
      </c>
      <c r="J198" t="inlineStr">
        <is>
          <t>No</t>
        </is>
      </c>
      <c r="K198" t="inlineStr">
        <is>
          <t>No</t>
        </is>
      </c>
      <c r="L198" t="inlineStr">
        <is>
          <t>Summer</t>
        </is>
      </c>
    </row>
    <row r="199">
      <c r="A199" s="4" t="n">
        <v>20250717</v>
      </c>
      <c r="B199" s="5" t="n">
        <v>45855</v>
      </c>
      <c r="C199" t="n">
        <v>17</v>
      </c>
      <c r="D199" t="n">
        <v>7</v>
      </c>
      <c r="E199" t="inlineStr">
        <is>
          <t>July</t>
        </is>
      </c>
      <c r="F199" t="inlineStr">
        <is>
          <t>Q3</t>
        </is>
      </c>
      <c r="G199" t="n">
        <v>2025</v>
      </c>
      <c r="H199" t="n">
        <v>28</v>
      </c>
      <c r="I199" t="inlineStr">
        <is>
          <t>Thursday</t>
        </is>
      </c>
      <c r="J199" t="inlineStr">
        <is>
          <t>No</t>
        </is>
      </c>
      <c r="K199" t="inlineStr">
        <is>
          <t>No</t>
        </is>
      </c>
      <c r="L199" t="inlineStr">
        <is>
          <t>Summer</t>
        </is>
      </c>
    </row>
    <row r="200">
      <c r="A200" s="4" t="n">
        <v>20250718</v>
      </c>
      <c r="B200" s="5" t="n">
        <v>45856</v>
      </c>
      <c r="C200" t="n">
        <v>18</v>
      </c>
      <c r="D200" t="n">
        <v>7</v>
      </c>
      <c r="E200" t="inlineStr">
        <is>
          <t>July</t>
        </is>
      </c>
      <c r="F200" t="inlineStr">
        <is>
          <t>Q3</t>
        </is>
      </c>
      <c r="G200" t="n">
        <v>2025</v>
      </c>
      <c r="H200" t="n">
        <v>28</v>
      </c>
      <c r="I200" t="inlineStr">
        <is>
          <t>Friday</t>
        </is>
      </c>
      <c r="J200" t="inlineStr">
        <is>
          <t>Yes</t>
        </is>
      </c>
      <c r="K200" t="inlineStr">
        <is>
          <t>No</t>
        </is>
      </c>
      <c r="L200" t="inlineStr">
        <is>
          <t>Summer</t>
        </is>
      </c>
    </row>
    <row r="201">
      <c r="A201" s="4" t="n">
        <v>20250719</v>
      </c>
      <c r="B201" s="5" t="n">
        <v>45857</v>
      </c>
      <c r="C201" t="n">
        <v>19</v>
      </c>
      <c r="D201" t="n">
        <v>7</v>
      </c>
      <c r="E201" t="inlineStr">
        <is>
          <t>July</t>
        </is>
      </c>
      <c r="F201" t="inlineStr">
        <is>
          <t>Q3</t>
        </is>
      </c>
      <c r="G201" t="n">
        <v>2025</v>
      </c>
      <c r="H201" t="n">
        <v>28</v>
      </c>
      <c r="I201" t="inlineStr">
        <is>
          <t>Saturday</t>
        </is>
      </c>
      <c r="J201" t="inlineStr">
        <is>
          <t>Yes</t>
        </is>
      </c>
      <c r="K201" t="inlineStr">
        <is>
          <t>No</t>
        </is>
      </c>
      <c r="L201" t="inlineStr">
        <is>
          <t>Summer</t>
        </is>
      </c>
    </row>
    <row r="202">
      <c r="A202" s="4" t="n">
        <v>20250720</v>
      </c>
      <c r="B202" s="5" t="n">
        <v>45858</v>
      </c>
      <c r="C202" t="n">
        <v>20</v>
      </c>
      <c r="D202" t="n">
        <v>7</v>
      </c>
      <c r="E202" t="inlineStr">
        <is>
          <t>July</t>
        </is>
      </c>
      <c r="F202" t="inlineStr">
        <is>
          <t>Q3</t>
        </is>
      </c>
      <c r="G202" t="n">
        <v>2025</v>
      </c>
      <c r="H202" t="n">
        <v>29</v>
      </c>
      <c r="I202" t="inlineStr">
        <is>
          <t>Sunday</t>
        </is>
      </c>
      <c r="J202" t="inlineStr">
        <is>
          <t>Yes</t>
        </is>
      </c>
      <c r="K202" t="inlineStr">
        <is>
          <t>No</t>
        </is>
      </c>
      <c r="L202" t="inlineStr">
        <is>
          <t>Summer</t>
        </is>
      </c>
    </row>
    <row r="203">
      <c r="A203" s="4" t="n">
        <v>20250721</v>
      </c>
      <c r="B203" s="5" t="n">
        <v>45859</v>
      </c>
      <c r="C203" t="n">
        <v>21</v>
      </c>
      <c r="D203" t="n">
        <v>7</v>
      </c>
      <c r="E203" t="inlineStr">
        <is>
          <t>July</t>
        </is>
      </c>
      <c r="F203" t="inlineStr">
        <is>
          <t>Q3</t>
        </is>
      </c>
      <c r="G203" t="n">
        <v>2025</v>
      </c>
      <c r="H203" t="n">
        <v>29</v>
      </c>
      <c r="I203" t="inlineStr">
        <is>
          <t>Monday</t>
        </is>
      </c>
      <c r="J203" t="inlineStr">
        <is>
          <t>No</t>
        </is>
      </c>
      <c r="K203" t="inlineStr">
        <is>
          <t>No</t>
        </is>
      </c>
      <c r="L203" t="inlineStr">
        <is>
          <t>Summer</t>
        </is>
      </c>
    </row>
    <row r="204">
      <c r="A204" s="4" t="n">
        <v>20250722</v>
      </c>
      <c r="B204" s="5" t="n">
        <v>45860</v>
      </c>
      <c r="C204" t="n">
        <v>22</v>
      </c>
      <c r="D204" t="n">
        <v>7</v>
      </c>
      <c r="E204" t="inlineStr">
        <is>
          <t>July</t>
        </is>
      </c>
      <c r="F204" t="inlineStr">
        <is>
          <t>Q3</t>
        </is>
      </c>
      <c r="G204" t="n">
        <v>2025</v>
      </c>
      <c r="H204" t="n">
        <v>29</v>
      </c>
      <c r="I204" t="inlineStr">
        <is>
          <t>Tuesday</t>
        </is>
      </c>
      <c r="J204" t="inlineStr">
        <is>
          <t>No</t>
        </is>
      </c>
      <c r="K204" t="inlineStr">
        <is>
          <t>No</t>
        </is>
      </c>
      <c r="L204" t="inlineStr">
        <is>
          <t>Summer</t>
        </is>
      </c>
    </row>
    <row r="205">
      <c r="A205" s="4" t="n">
        <v>20250723</v>
      </c>
      <c r="B205" s="5" t="n">
        <v>45861</v>
      </c>
      <c r="C205" t="n">
        <v>23</v>
      </c>
      <c r="D205" t="n">
        <v>7</v>
      </c>
      <c r="E205" t="inlineStr">
        <is>
          <t>July</t>
        </is>
      </c>
      <c r="F205" t="inlineStr">
        <is>
          <t>Q3</t>
        </is>
      </c>
      <c r="G205" t="n">
        <v>2025</v>
      </c>
      <c r="H205" t="n">
        <v>29</v>
      </c>
      <c r="I205" t="inlineStr">
        <is>
          <t>Wednesday</t>
        </is>
      </c>
      <c r="J205" t="inlineStr">
        <is>
          <t>No</t>
        </is>
      </c>
      <c r="K205" t="inlineStr">
        <is>
          <t>No</t>
        </is>
      </c>
      <c r="L205" t="inlineStr">
        <is>
          <t>Summer</t>
        </is>
      </c>
    </row>
    <row r="206">
      <c r="A206" s="4" t="n">
        <v>20250724</v>
      </c>
      <c r="B206" s="5" t="n">
        <v>45862</v>
      </c>
      <c r="C206" t="n">
        <v>24</v>
      </c>
      <c r="D206" t="n">
        <v>7</v>
      </c>
      <c r="E206" t="inlineStr">
        <is>
          <t>July</t>
        </is>
      </c>
      <c r="F206" t="inlineStr">
        <is>
          <t>Q3</t>
        </is>
      </c>
      <c r="G206" t="n">
        <v>2025</v>
      </c>
      <c r="H206" t="n">
        <v>29</v>
      </c>
      <c r="I206" t="inlineStr">
        <is>
          <t>Thursday</t>
        </is>
      </c>
      <c r="J206" t="inlineStr">
        <is>
          <t>No</t>
        </is>
      </c>
      <c r="K206" t="inlineStr">
        <is>
          <t>No</t>
        </is>
      </c>
      <c r="L206" t="inlineStr">
        <is>
          <t>Summer</t>
        </is>
      </c>
    </row>
    <row r="207">
      <c r="A207" s="4" t="n">
        <v>20250725</v>
      </c>
      <c r="B207" s="5" t="n">
        <v>45863</v>
      </c>
      <c r="C207" t="n">
        <v>25</v>
      </c>
      <c r="D207" t="n">
        <v>7</v>
      </c>
      <c r="E207" t="inlineStr">
        <is>
          <t>July</t>
        </is>
      </c>
      <c r="F207" t="inlineStr">
        <is>
          <t>Q3</t>
        </is>
      </c>
      <c r="G207" t="n">
        <v>2025</v>
      </c>
      <c r="H207" t="n">
        <v>29</v>
      </c>
      <c r="I207" t="inlineStr">
        <is>
          <t>Friday</t>
        </is>
      </c>
      <c r="J207" t="inlineStr">
        <is>
          <t>Yes</t>
        </is>
      </c>
      <c r="K207" t="inlineStr">
        <is>
          <t>No</t>
        </is>
      </c>
      <c r="L207" t="inlineStr">
        <is>
          <t>Summer</t>
        </is>
      </c>
    </row>
    <row r="208">
      <c r="A208" s="4" t="n">
        <v>20250726</v>
      </c>
      <c r="B208" s="5" t="n">
        <v>45864</v>
      </c>
      <c r="C208" t="n">
        <v>26</v>
      </c>
      <c r="D208" t="n">
        <v>7</v>
      </c>
      <c r="E208" t="inlineStr">
        <is>
          <t>July</t>
        </is>
      </c>
      <c r="F208" t="inlineStr">
        <is>
          <t>Q3</t>
        </is>
      </c>
      <c r="G208" t="n">
        <v>2025</v>
      </c>
      <c r="H208" t="n">
        <v>29</v>
      </c>
      <c r="I208" t="inlineStr">
        <is>
          <t>Saturday</t>
        </is>
      </c>
      <c r="J208" t="inlineStr">
        <is>
          <t>Yes</t>
        </is>
      </c>
      <c r="K208" t="inlineStr">
        <is>
          <t>No</t>
        </is>
      </c>
      <c r="L208" t="inlineStr">
        <is>
          <t>Summer</t>
        </is>
      </c>
    </row>
    <row r="209">
      <c r="A209" s="4" t="n">
        <v>20250727</v>
      </c>
      <c r="B209" s="5" t="n">
        <v>45865</v>
      </c>
      <c r="C209" t="n">
        <v>27</v>
      </c>
      <c r="D209" t="n">
        <v>7</v>
      </c>
      <c r="E209" t="inlineStr">
        <is>
          <t>July</t>
        </is>
      </c>
      <c r="F209" t="inlineStr">
        <is>
          <t>Q3</t>
        </is>
      </c>
      <c r="G209" t="n">
        <v>2025</v>
      </c>
      <c r="H209" t="n">
        <v>30</v>
      </c>
      <c r="I209" t="inlineStr">
        <is>
          <t>Sunday</t>
        </is>
      </c>
      <c r="J209" t="inlineStr">
        <is>
          <t>Yes</t>
        </is>
      </c>
      <c r="K209" t="inlineStr">
        <is>
          <t>No</t>
        </is>
      </c>
      <c r="L209" t="inlineStr">
        <is>
          <t>Summer</t>
        </is>
      </c>
    </row>
    <row r="210">
      <c r="A210" s="4" t="n">
        <v>20250728</v>
      </c>
      <c r="B210" s="5" t="n">
        <v>45866</v>
      </c>
      <c r="C210" t="n">
        <v>28</v>
      </c>
      <c r="D210" t="n">
        <v>7</v>
      </c>
      <c r="E210" t="inlineStr">
        <is>
          <t>July</t>
        </is>
      </c>
      <c r="F210" t="inlineStr">
        <is>
          <t>Q3</t>
        </is>
      </c>
      <c r="G210" t="n">
        <v>2025</v>
      </c>
      <c r="H210" t="n">
        <v>30</v>
      </c>
      <c r="I210" t="inlineStr">
        <is>
          <t>Monday</t>
        </is>
      </c>
      <c r="J210" t="inlineStr">
        <is>
          <t>No</t>
        </is>
      </c>
      <c r="K210" t="inlineStr">
        <is>
          <t>No</t>
        </is>
      </c>
      <c r="L210" t="inlineStr">
        <is>
          <t>Summer</t>
        </is>
      </c>
    </row>
    <row r="211">
      <c r="A211" s="4" t="n">
        <v>20250729</v>
      </c>
      <c r="B211" s="5" t="n">
        <v>45867</v>
      </c>
      <c r="C211" t="n">
        <v>29</v>
      </c>
      <c r="D211" t="n">
        <v>7</v>
      </c>
      <c r="E211" t="inlineStr">
        <is>
          <t>July</t>
        </is>
      </c>
      <c r="F211" t="inlineStr">
        <is>
          <t>Q3</t>
        </is>
      </c>
      <c r="G211" t="n">
        <v>2025</v>
      </c>
      <c r="H211" t="n">
        <v>30</v>
      </c>
      <c r="I211" t="inlineStr">
        <is>
          <t>Tuesday</t>
        </is>
      </c>
      <c r="J211" t="inlineStr">
        <is>
          <t>No</t>
        </is>
      </c>
      <c r="K211" t="inlineStr">
        <is>
          <t>No</t>
        </is>
      </c>
      <c r="L211" t="inlineStr">
        <is>
          <t>Summer</t>
        </is>
      </c>
    </row>
    <row r="212">
      <c r="A212" s="4" t="n">
        <v>20250730</v>
      </c>
      <c r="B212" s="5" t="n">
        <v>45868</v>
      </c>
      <c r="C212" t="n">
        <v>30</v>
      </c>
      <c r="D212" t="n">
        <v>7</v>
      </c>
      <c r="E212" t="inlineStr">
        <is>
          <t>July</t>
        </is>
      </c>
      <c r="F212" t="inlineStr">
        <is>
          <t>Q3</t>
        </is>
      </c>
      <c r="G212" t="n">
        <v>2025</v>
      </c>
      <c r="H212" t="n">
        <v>30</v>
      </c>
      <c r="I212" t="inlineStr">
        <is>
          <t>Wednesday</t>
        </is>
      </c>
      <c r="J212" t="inlineStr">
        <is>
          <t>No</t>
        </is>
      </c>
      <c r="K212" t="inlineStr">
        <is>
          <t>No</t>
        </is>
      </c>
      <c r="L212" t="inlineStr">
        <is>
          <t>Summer</t>
        </is>
      </c>
    </row>
    <row r="213">
      <c r="A213" s="4" t="n">
        <v>20250731</v>
      </c>
      <c r="B213" s="5" t="n">
        <v>45869</v>
      </c>
      <c r="C213" t="n">
        <v>31</v>
      </c>
      <c r="D213" t="n">
        <v>7</v>
      </c>
      <c r="E213" t="inlineStr">
        <is>
          <t>July</t>
        </is>
      </c>
      <c r="F213" t="inlineStr">
        <is>
          <t>Q3</t>
        </is>
      </c>
      <c r="G213" t="n">
        <v>2025</v>
      </c>
      <c r="H213" t="n">
        <v>30</v>
      </c>
      <c r="I213" t="inlineStr">
        <is>
          <t>Thursday</t>
        </is>
      </c>
      <c r="J213" t="inlineStr">
        <is>
          <t>No</t>
        </is>
      </c>
      <c r="K213" t="inlineStr">
        <is>
          <t>No</t>
        </is>
      </c>
      <c r="L213" t="inlineStr">
        <is>
          <t>Summer</t>
        </is>
      </c>
    </row>
    <row r="214">
      <c r="A214" s="4" t="n">
        <v>20250801</v>
      </c>
      <c r="B214" s="5" t="n">
        <v>45870</v>
      </c>
      <c r="C214" t="n">
        <v>1</v>
      </c>
      <c r="D214" t="n">
        <v>8</v>
      </c>
      <c r="E214" t="inlineStr">
        <is>
          <t>August</t>
        </is>
      </c>
      <c r="F214" t="inlineStr">
        <is>
          <t>Q3</t>
        </is>
      </c>
      <c r="G214" t="n">
        <v>2025</v>
      </c>
      <c r="H214" t="n">
        <v>30</v>
      </c>
      <c r="I214" t="inlineStr">
        <is>
          <t>Friday</t>
        </is>
      </c>
      <c r="J214" t="inlineStr">
        <is>
          <t>Yes</t>
        </is>
      </c>
      <c r="K214" t="inlineStr">
        <is>
          <t>No</t>
        </is>
      </c>
      <c r="L214" t="inlineStr">
        <is>
          <t>Summer</t>
        </is>
      </c>
    </row>
    <row r="215">
      <c r="A215" s="4" t="n">
        <v>20250802</v>
      </c>
      <c r="B215" s="5" t="n">
        <v>45871</v>
      </c>
      <c r="C215" t="n">
        <v>2</v>
      </c>
      <c r="D215" t="n">
        <v>8</v>
      </c>
      <c r="E215" t="inlineStr">
        <is>
          <t>August</t>
        </is>
      </c>
      <c r="F215" t="inlineStr">
        <is>
          <t>Q3</t>
        </is>
      </c>
      <c r="G215" t="n">
        <v>2025</v>
      </c>
      <c r="H215" t="n">
        <v>30</v>
      </c>
      <c r="I215" t="inlineStr">
        <is>
          <t>Saturday</t>
        </is>
      </c>
      <c r="J215" t="inlineStr">
        <is>
          <t>Yes</t>
        </is>
      </c>
      <c r="K215" t="inlineStr">
        <is>
          <t>No</t>
        </is>
      </c>
      <c r="L215" t="inlineStr">
        <is>
          <t>Summer</t>
        </is>
      </c>
    </row>
    <row r="216">
      <c r="A216" s="4" t="n">
        <v>20250803</v>
      </c>
      <c r="B216" s="5" t="n">
        <v>45872</v>
      </c>
      <c r="C216" t="n">
        <v>3</v>
      </c>
      <c r="D216" t="n">
        <v>8</v>
      </c>
      <c r="E216" t="inlineStr">
        <is>
          <t>August</t>
        </is>
      </c>
      <c r="F216" t="inlineStr">
        <is>
          <t>Q3</t>
        </is>
      </c>
      <c r="G216" t="n">
        <v>2025</v>
      </c>
      <c r="H216" t="n">
        <v>31</v>
      </c>
      <c r="I216" t="inlineStr">
        <is>
          <t>Sunday</t>
        </is>
      </c>
      <c r="J216" t="inlineStr">
        <is>
          <t>Yes</t>
        </is>
      </c>
      <c r="K216" t="inlineStr">
        <is>
          <t>No</t>
        </is>
      </c>
      <c r="L216" t="inlineStr">
        <is>
          <t>Summer</t>
        </is>
      </c>
    </row>
    <row r="217">
      <c r="A217" s="4" t="n">
        <v>20250804</v>
      </c>
      <c r="B217" s="5" t="n">
        <v>45873</v>
      </c>
      <c r="C217" t="n">
        <v>4</v>
      </c>
      <c r="D217" t="n">
        <v>8</v>
      </c>
      <c r="E217" t="inlineStr">
        <is>
          <t>August</t>
        </is>
      </c>
      <c r="F217" t="inlineStr">
        <is>
          <t>Q3</t>
        </is>
      </c>
      <c r="G217" t="n">
        <v>2025</v>
      </c>
      <c r="H217" t="n">
        <v>31</v>
      </c>
      <c r="I217" t="inlineStr">
        <is>
          <t>Monday</t>
        </is>
      </c>
      <c r="J217" t="inlineStr">
        <is>
          <t>No</t>
        </is>
      </c>
      <c r="K217" t="inlineStr">
        <is>
          <t>No</t>
        </is>
      </c>
      <c r="L217" t="inlineStr">
        <is>
          <t>Summer</t>
        </is>
      </c>
    </row>
    <row r="218">
      <c r="A218" s="4" t="n">
        <v>20250805</v>
      </c>
      <c r="B218" s="5" t="n">
        <v>45874</v>
      </c>
      <c r="C218" t="n">
        <v>5</v>
      </c>
      <c r="D218" t="n">
        <v>8</v>
      </c>
      <c r="E218" t="inlineStr">
        <is>
          <t>August</t>
        </is>
      </c>
      <c r="F218" t="inlineStr">
        <is>
          <t>Q3</t>
        </is>
      </c>
      <c r="G218" t="n">
        <v>2025</v>
      </c>
      <c r="H218" t="n">
        <v>31</v>
      </c>
      <c r="I218" t="inlineStr">
        <is>
          <t>Tuesday</t>
        </is>
      </c>
      <c r="J218" t="inlineStr">
        <is>
          <t>No</t>
        </is>
      </c>
      <c r="K218" t="inlineStr">
        <is>
          <t>No</t>
        </is>
      </c>
      <c r="L218" t="inlineStr">
        <is>
          <t>Summer</t>
        </is>
      </c>
    </row>
    <row r="219">
      <c r="A219" s="4" t="n">
        <v>20250806</v>
      </c>
      <c r="B219" s="5" t="n">
        <v>45875</v>
      </c>
      <c r="C219" t="n">
        <v>6</v>
      </c>
      <c r="D219" t="n">
        <v>8</v>
      </c>
      <c r="E219" t="inlineStr">
        <is>
          <t>August</t>
        </is>
      </c>
      <c r="F219" t="inlineStr">
        <is>
          <t>Q3</t>
        </is>
      </c>
      <c r="G219" t="n">
        <v>2025</v>
      </c>
      <c r="H219" t="n">
        <v>31</v>
      </c>
      <c r="I219" t="inlineStr">
        <is>
          <t>Wednesday</t>
        </is>
      </c>
      <c r="J219" t="inlineStr">
        <is>
          <t>No</t>
        </is>
      </c>
      <c r="K219" t="inlineStr">
        <is>
          <t>No</t>
        </is>
      </c>
      <c r="L219" t="inlineStr">
        <is>
          <t>Summer</t>
        </is>
      </c>
    </row>
    <row r="220">
      <c r="A220" s="4" t="n">
        <v>20250807</v>
      </c>
      <c r="B220" s="5" t="n">
        <v>45876</v>
      </c>
      <c r="C220" t="n">
        <v>7</v>
      </c>
      <c r="D220" t="n">
        <v>8</v>
      </c>
      <c r="E220" t="inlineStr">
        <is>
          <t>August</t>
        </is>
      </c>
      <c r="F220" t="inlineStr">
        <is>
          <t>Q3</t>
        </is>
      </c>
      <c r="G220" t="n">
        <v>2025</v>
      </c>
      <c r="H220" t="n">
        <v>31</v>
      </c>
      <c r="I220" t="inlineStr">
        <is>
          <t>Thursday</t>
        </is>
      </c>
      <c r="J220" t="inlineStr">
        <is>
          <t>No</t>
        </is>
      </c>
      <c r="K220" t="inlineStr">
        <is>
          <t>No</t>
        </is>
      </c>
      <c r="L220" t="inlineStr">
        <is>
          <t>Summer</t>
        </is>
      </c>
    </row>
    <row r="221">
      <c r="A221" s="4" t="n">
        <v>20250808</v>
      </c>
      <c r="B221" s="5" t="n">
        <v>45877</v>
      </c>
      <c r="C221" t="n">
        <v>8</v>
      </c>
      <c r="D221" t="n">
        <v>8</v>
      </c>
      <c r="E221" t="inlineStr">
        <is>
          <t>August</t>
        </is>
      </c>
      <c r="F221" t="inlineStr">
        <is>
          <t>Q3</t>
        </is>
      </c>
      <c r="G221" t="n">
        <v>2025</v>
      </c>
      <c r="H221" t="n">
        <v>31</v>
      </c>
      <c r="I221" t="inlineStr">
        <is>
          <t>Friday</t>
        </is>
      </c>
      <c r="J221" t="inlineStr">
        <is>
          <t>Yes</t>
        </is>
      </c>
      <c r="K221" t="inlineStr">
        <is>
          <t>No</t>
        </is>
      </c>
      <c r="L221" t="inlineStr">
        <is>
          <t>Summer</t>
        </is>
      </c>
    </row>
    <row r="222">
      <c r="A222" s="4" t="n">
        <v>20250809</v>
      </c>
      <c r="B222" s="5" t="n">
        <v>45878</v>
      </c>
      <c r="C222" t="n">
        <v>9</v>
      </c>
      <c r="D222" t="n">
        <v>8</v>
      </c>
      <c r="E222" t="inlineStr">
        <is>
          <t>August</t>
        </is>
      </c>
      <c r="F222" t="inlineStr">
        <is>
          <t>Q3</t>
        </is>
      </c>
      <c r="G222" t="n">
        <v>2025</v>
      </c>
      <c r="H222" t="n">
        <v>31</v>
      </c>
      <c r="I222" t="inlineStr">
        <is>
          <t>Saturday</t>
        </is>
      </c>
      <c r="J222" t="inlineStr">
        <is>
          <t>Yes</t>
        </is>
      </c>
      <c r="K222" t="inlineStr">
        <is>
          <t>No</t>
        </is>
      </c>
      <c r="L222" t="inlineStr">
        <is>
          <t>Summer</t>
        </is>
      </c>
    </row>
    <row r="223">
      <c r="A223" s="4" t="n">
        <v>20250810</v>
      </c>
      <c r="B223" s="5" t="n">
        <v>45879</v>
      </c>
      <c r="C223" t="n">
        <v>10</v>
      </c>
      <c r="D223" t="n">
        <v>8</v>
      </c>
      <c r="E223" t="inlineStr">
        <is>
          <t>August</t>
        </is>
      </c>
      <c r="F223" t="inlineStr">
        <is>
          <t>Q3</t>
        </is>
      </c>
      <c r="G223" t="n">
        <v>2025</v>
      </c>
      <c r="H223" t="n">
        <v>32</v>
      </c>
      <c r="I223" t="inlineStr">
        <is>
          <t>Sunday</t>
        </is>
      </c>
      <c r="J223" t="inlineStr">
        <is>
          <t>Yes</t>
        </is>
      </c>
      <c r="K223" t="inlineStr">
        <is>
          <t>No</t>
        </is>
      </c>
      <c r="L223" t="inlineStr">
        <is>
          <t>Summer</t>
        </is>
      </c>
    </row>
    <row r="224">
      <c r="A224" s="4" t="n">
        <v>20250811</v>
      </c>
      <c r="B224" s="5" t="n">
        <v>45880</v>
      </c>
      <c r="C224" t="n">
        <v>11</v>
      </c>
      <c r="D224" t="n">
        <v>8</v>
      </c>
      <c r="E224" t="inlineStr">
        <is>
          <t>August</t>
        </is>
      </c>
      <c r="F224" t="inlineStr">
        <is>
          <t>Q3</t>
        </is>
      </c>
      <c r="G224" t="n">
        <v>2025</v>
      </c>
      <c r="H224" t="n">
        <v>32</v>
      </c>
      <c r="I224" t="inlineStr">
        <is>
          <t>Monday</t>
        </is>
      </c>
      <c r="J224" t="inlineStr">
        <is>
          <t>No</t>
        </is>
      </c>
      <c r="K224" t="inlineStr">
        <is>
          <t>No</t>
        </is>
      </c>
      <c r="L224" t="inlineStr">
        <is>
          <t>Summer</t>
        </is>
      </c>
    </row>
    <row r="225">
      <c r="A225" s="4" t="n">
        <v>20250812</v>
      </c>
      <c r="B225" s="5" t="n">
        <v>45881</v>
      </c>
      <c r="C225" t="n">
        <v>12</v>
      </c>
      <c r="D225" t="n">
        <v>8</v>
      </c>
      <c r="E225" t="inlineStr">
        <is>
          <t>August</t>
        </is>
      </c>
      <c r="F225" t="inlineStr">
        <is>
          <t>Q3</t>
        </is>
      </c>
      <c r="G225" t="n">
        <v>2025</v>
      </c>
      <c r="H225" t="n">
        <v>32</v>
      </c>
      <c r="I225" t="inlineStr">
        <is>
          <t>Tuesday</t>
        </is>
      </c>
      <c r="J225" t="inlineStr">
        <is>
          <t>No</t>
        </is>
      </c>
      <c r="K225" t="inlineStr">
        <is>
          <t>No</t>
        </is>
      </c>
      <c r="L225" t="inlineStr">
        <is>
          <t>Summer</t>
        </is>
      </c>
    </row>
    <row r="226">
      <c r="A226" s="4" t="n">
        <v>20250813</v>
      </c>
      <c r="B226" s="5" t="n">
        <v>45882</v>
      </c>
      <c r="C226" t="n">
        <v>13</v>
      </c>
      <c r="D226" t="n">
        <v>8</v>
      </c>
      <c r="E226" t="inlineStr">
        <is>
          <t>August</t>
        </is>
      </c>
      <c r="F226" t="inlineStr">
        <is>
          <t>Q3</t>
        </is>
      </c>
      <c r="G226" t="n">
        <v>2025</v>
      </c>
      <c r="H226" t="n">
        <v>32</v>
      </c>
      <c r="I226" t="inlineStr">
        <is>
          <t>Wednesday</t>
        </is>
      </c>
      <c r="J226" t="inlineStr">
        <is>
          <t>No</t>
        </is>
      </c>
      <c r="K226" t="inlineStr">
        <is>
          <t>No</t>
        </is>
      </c>
      <c r="L226" t="inlineStr">
        <is>
          <t>Summer</t>
        </is>
      </c>
    </row>
    <row r="227">
      <c r="A227" s="4" t="n">
        <v>20250814</v>
      </c>
      <c r="B227" s="5" t="n">
        <v>45883</v>
      </c>
      <c r="C227" t="n">
        <v>14</v>
      </c>
      <c r="D227" t="n">
        <v>8</v>
      </c>
      <c r="E227" t="inlineStr">
        <is>
          <t>August</t>
        </is>
      </c>
      <c r="F227" t="inlineStr">
        <is>
          <t>Q3</t>
        </is>
      </c>
      <c r="G227" t="n">
        <v>2025</v>
      </c>
      <c r="H227" t="n">
        <v>32</v>
      </c>
      <c r="I227" t="inlineStr">
        <is>
          <t>Thursday</t>
        </is>
      </c>
      <c r="J227" t="inlineStr">
        <is>
          <t>No</t>
        </is>
      </c>
      <c r="K227" t="inlineStr">
        <is>
          <t>No</t>
        </is>
      </c>
      <c r="L227" t="inlineStr">
        <is>
          <t>Summer</t>
        </is>
      </c>
    </row>
    <row r="228">
      <c r="A228" s="4" t="n">
        <v>20250815</v>
      </c>
      <c r="B228" s="5" t="n">
        <v>45884</v>
      </c>
      <c r="C228" t="n">
        <v>15</v>
      </c>
      <c r="D228" t="n">
        <v>8</v>
      </c>
      <c r="E228" t="inlineStr">
        <is>
          <t>August</t>
        </is>
      </c>
      <c r="F228" t="inlineStr">
        <is>
          <t>Q3</t>
        </is>
      </c>
      <c r="G228" t="n">
        <v>2025</v>
      </c>
      <c r="H228" t="n">
        <v>32</v>
      </c>
      <c r="I228" t="inlineStr">
        <is>
          <t>Friday</t>
        </is>
      </c>
      <c r="J228" t="inlineStr">
        <is>
          <t>Yes</t>
        </is>
      </c>
      <c r="K228" t="inlineStr">
        <is>
          <t>No</t>
        </is>
      </c>
      <c r="L228" t="inlineStr">
        <is>
          <t>Summer</t>
        </is>
      </c>
    </row>
    <row r="229">
      <c r="A229" s="4" t="n">
        <v>20250816</v>
      </c>
      <c r="B229" s="5" t="n">
        <v>45885</v>
      </c>
      <c r="C229" t="n">
        <v>16</v>
      </c>
      <c r="D229" t="n">
        <v>8</v>
      </c>
      <c r="E229" t="inlineStr">
        <is>
          <t>August</t>
        </is>
      </c>
      <c r="F229" t="inlineStr">
        <is>
          <t>Q3</t>
        </is>
      </c>
      <c r="G229" t="n">
        <v>2025</v>
      </c>
      <c r="H229" t="n">
        <v>32</v>
      </c>
      <c r="I229" t="inlineStr">
        <is>
          <t>Saturday</t>
        </is>
      </c>
      <c r="J229" t="inlineStr">
        <is>
          <t>Yes</t>
        </is>
      </c>
      <c r="K229" t="inlineStr">
        <is>
          <t>No</t>
        </is>
      </c>
      <c r="L229" t="inlineStr">
        <is>
          <t>Summer</t>
        </is>
      </c>
    </row>
    <row r="230">
      <c r="A230" s="4" t="n">
        <v>20250817</v>
      </c>
      <c r="B230" s="5" t="n">
        <v>45886</v>
      </c>
      <c r="C230" t="n">
        <v>17</v>
      </c>
      <c r="D230" t="n">
        <v>8</v>
      </c>
      <c r="E230" t="inlineStr">
        <is>
          <t>August</t>
        </is>
      </c>
      <c r="F230" t="inlineStr">
        <is>
          <t>Q3</t>
        </is>
      </c>
      <c r="G230" t="n">
        <v>2025</v>
      </c>
      <c r="H230" t="n">
        <v>33</v>
      </c>
      <c r="I230" t="inlineStr">
        <is>
          <t>Sunday</t>
        </is>
      </c>
      <c r="J230" t="inlineStr">
        <is>
          <t>Yes</t>
        </is>
      </c>
      <c r="K230" t="inlineStr">
        <is>
          <t>No</t>
        </is>
      </c>
      <c r="L230" t="inlineStr">
        <is>
          <t>Summer</t>
        </is>
      </c>
    </row>
    <row r="231">
      <c r="A231" s="4" t="n">
        <v>20250818</v>
      </c>
      <c r="B231" s="5" t="n">
        <v>45887</v>
      </c>
      <c r="C231" t="n">
        <v>18</v>
      </c>
      <c r="D231" t="n">
        <v>8</v>
      </c>
      <c r="E231" t="inlineStr">
        <is>
          <t>August</t>
        </is>
      </c>
      <c r="F231" t="inlineStr">
        <is>
          <t>Q3</t>
        </is>
      </c>
      <c r="G231" t="n">
        <v>2025</v>
      </c>
      <c r="H231" t="n">
        <v>33</v>
      </c>
      <c r="I231" t="inlineStr">
        <is>
          <t>Monday</t>
        </is>
      </c>
      <c r="J231" t="inlineStr">
        <is>
          <t>No</t>
        </is>
      </c>
      <c r="K231" t="inlineStr">
        <is>
          <t>No</t>
        </is>
      </c>
      <c r="L231" t="inlineStr">
        <is>
          <t>Summer</t>
        </is>
      </c>
    </row>
    <row r="232">
      <c r="A232" s="4" t="n">
        <v>20250819</v>
      </c>
      <c r="B232" s="5" t="n">
        <v>45888</v>
      </c>
      <c r="C232" t="n">
        <v>19</v>
      </c>
      <c r="D232" t="n">
        <v>8</v>
      </c>
      <c r="E232" t="inlineStr">
        <is>
          <t>August</t>
        </is>
      </c>
      <c r="F232" t="inlineStr">
        <is>
          <t>Q3</t>
        </is>
      </c>
      <c r="G232" t="n">
        <v>2025</v>
      </c>
      <c r="H232" t="n">
        <v>33</v>
      </c>
      <c r="I232" t="inlineStr">
        <is>
          <t>Tuesday</t>
        </is>
      </c>
      <c r="J232" t="inlineStr">
        <is>
          <t>No</t>
        </is>
      </c>
      <c r="K232" t="inlineStr">
        <is>
          <t>No</t>
        </is>
      </c>
      <c r="L232" t="inlineStr">
        <is>
          <t>Summer</t>
        </is>
      </c>
    </row>
    <row r="233">
      <c r="A233" s="4" t="n">
        <v>20250820</v>
      </c>
      <c r="B233" s="5" t="n">
        <v>45889</v>
      </c>
      <c r="C233" t="n">
        <v>20</v>
      </c>
      <c r="D233" t="n">
        <v>8</v>
      </c>
      <c r="E233" t="inlineStr">
        <is>
          <t>August</t>
        </is>
      </c>
      <c r="F233" t="inlineStr">
        <is>
          <t>Q3</t>
        </is>
      </c>
      <c r="G233" t="n">
        <v>2025</v>
      </c>
      <c r="H233" t="n">
        <v>33</v>
      </c>
      <c r="I233" t="inlineStr">
        <is>
          <t>Wednesday</t>
        </is>
      </c>
      <c r="J233" t="inlineStr">
        <is>
          <t>No</t>
        </is>
      </c>
      <c r="K233" t="inlineStr">
        <is>
          <t>No</t>
        </is>
      </c>
      <c r="L233" t="inlineStr">
        <is>
          <t>Summer</t>
        </is>
      </c>
    </row>
    <row r="234">
      <c r="A234" s="4" t="n">
        <v>20250821</v>
      </c>
      <c r="B234" s="5" t="n">
        <v>45890</v>
      </c>
      <c r="C234" t="n">
        <v>21</v>
      </c>
      <c r="D234" t="n">
        <v>8</v>
      </c>
      <c r="E234" t="inlineStr">
        <is>
          <t>August</t>
        </is>
      </c>
      <c r="F234" t="inlineStr">
        <is>
          <t>Q3</t>
        </is>
      </c>
      <c r="G234" t="n">
        <v>2025</v>
      </c>
      <c r="H234" t="n">
        <v>33</v>
      </c>
      <c r="I234" t="inlineStr">
        <is>
          <t>Thursday</t>
        </is>
      </c>
      <c r="J234" t="inlineStr">
        <is>
          <t>No</t>
        </is>
      </c>
      <c r="K234" t="inlineStr">
        <is>
          <t>No</t>
        </is>
      </c>
      <c r="L234" t="inlineStr">
        <is>
          <t>Summer</t>
        </is>
      </c>
    </row>
    <row r="235">
      <c r="A235" s="4" t="n">
        <v>20250822</v>
      </c>
      <c r="B235" s="5" t="n">
        <v>45891</v>
      </c>
      <c r="C235" t="n">
        <v>22</v>
      </c>
      <c r="D235" t="n">
        <v>8</v>
      </c>
      <c r="E235" t="inlineStr">
        <is>
          <t>August</t>
        </is>
      </c>
      <c r="F235" t="inlineStr">
        <is>
          <t>Q3</t>
        </is>
      </c>
      <c r="G235" t="n">
        <v>2025</v>
      </c>
      <c r="H235" t="n">
        <v>33</v>
      </c>
      <c r="I235" t="inlineStr">
        <is>
          <t>Friday</t>
        </is>
      </c>
      <c r="J235" t="inlineStr">
        <is>
          <t>Yes</t>
        </is>
      </c>
      <c r="K235" t="inlineStr">
        <is>
          <t>No</t>
        </is>
      </c>
      <c r="L235" t="inlineStr">
        <is>
          <t>Summer</t>
        </is>
      </c>
    </row>
    <row r="236">
      <c r="A236" s="4" t="n">
        <v>20250823</v>
      </c>
      <c r="B236" s="5" t="n">
        <v>45892</v>
      </c>
      <c r="C236" t="n">
        <v>23</v>
      </c>
      <c r="D236" t="n">
        <v>8</v>
      </c>
      <c r="E236" t="inlineStr">
        <is>
          <t>August</t>
        </is>
      </c>
      <c r="F236" t="inlineStr">
        <is>
          <t>Q3</t>
        </is>
      </c>
      <c r="G236" t="n">
        <v>2025</v>
      </c>
      <c r="H236" t="n">
        <v>33</v>
      </c>
      <c r="I236" t="inlineStr">
        <is>
          <t>Saturday</t>
        </is>
      </c>
      <c r="J236" t="inlineStr">
        <is>
          <t>Yes</t>
        </is>
      </c>
      <c r="K236" t="inlineStr">
        <is>
          <t>No</t>
        </is>
      </c>
      <c r="L236" t="inlineStr">
        <is>
          <t>Summer</t>
        </is>
      </c>
    </row>
    <row r="237">
      <c r="A237" s="4" t="n">
        <v>20250824</v>
      </c>
      <c r="B237" s="5" t="n">
        <v>45893</v>
      </c>
      <c r="C237" t="n">
        <v>24</v>
      </c>
      <c r="D237" t="n">
        <v>8</v>
      </c>
      <c r="E237" t="inlineStr">
        <is>
          <t>August</t>
        </is>
      </c>
      <c r="F237" t="inlineStr">
        <is>
          <t>Q3</t>
        </is>
      </c>
      <c r="G237" t="n">
        <v>2025</v>
      </c>
      <c r="H237" t="n">
        <v>34</v>
      </c>
      <c r="I237" t="inlineStr">
        <is>
          <t>Sunday</t>
        </is>
      </c>
      <c r="J237" t="inlineStr">
        <is>
          <t>Yes</t>
        </is>
      </c>
      <c r="K237" t="inlineStr">
        <is>
          <t>No</t>
        </is>
      </c>
      <c r="L237" t="inlineStr">
        <is>
          <t>Summer</t>
        </is>
      </c>
    </row>
    <row r="238">
      <c r="A238" s="4" t="n">
        <v>20250825</v>
      </c>
      <c r="B238" s="5" t="n">
        <v>45894</v>
      </c>
      <c r="C238" t="n">
        <v>25</v>
      </c>
      <c r="D238" t="n">
        <v>8</v>
      </c>
      <c r="E238" t="inlineStr">
        <is>
          <t>August</t>
        </is>
      </c>
      <c r="F238" t="inlineStr">
        <is>
          <t>Q3</t>
        </is>
      </c>
      <c r="G238" t="n">
        <v>2025</v>
      </c>
      <c r="H238" t="n">
        <v>34</v>
      </c>
      <c r="I238" t="inlineStr">
        <is>
          <t>Monday</t>
        </is>
      </c>
      <c r="J238" t="inlineStr">
        <is>
          <t>No</t>
        </is>
      </c>
      <c r="K238" t="inlineStr">
        <is>
          <t>No</t>
        </is>
      </c>
      <c r="L238" t="inlineStr">
        <is>
          <t>Summer</t>
        </is>
      </c>
    </row>
    <row r="239">
      <c r="A239" s="4" t="n">
        <v>20250826</v>
      </c>
      <c r="B239" s="5" t="n">
        <v>45895</v>
      </c>
      <c r="C239" t="n">
        <v>26</v>
      </c>
      <c r="D239" t="n">
        <v>8</v>
      </c>
      <c r="E239" t="inlineStr">
        <is>
          <t>August</t>
        </is>
      </c>
      <c r="F239" t="inlineStr">
        <is>
          <t>Q3</t>
        </is>
      </c>
      <c r="G239" t="n">
        <v>2025</v>
      </c>
      <c r="H239" t="n">
        <v>34</v>
      </c>
      <c r="I239" t="inlineStr">
        <is>
          <t>Tuesday</t>
        </is>
      </c>
      <c r="J239" t="inlineStr">
        <is>
          <t>No</t>
        </is>
      </c>
      <c r="K239" t="inlineStr">
        <is>
          <t>No</t>
        </is>
      </c>
      <c r="L239" t="inlineStr">
        <is>
          <t>Summer</t>
        </is>
      </c>
    </row>
    <row r="240">
      <c r="A240" s="4" t="n">
        <v>20250827</v>
      </c>
      <c r="B240" s="5" t="n">
        <v>45896</v>
      </c>
      <c r="C240" t="n">
        <v>27</v>
      </c>
      <c r="D240" t="n">
        <v>8</v>
      </c>
      <c r="E240" t="inlineStr">
        <is>
          <t>August</t>
        </is>
      </c>
      <c r="F240" t="inlineStr">
        <is>
          <t>Q3</t>
        </is>
      </c>
      <c r="G240" t="n">
        <v>2025</v>
      </c>
      <c r="H240" t="n">
        <v>34</v>
      </c>
      <c r="I240" t="inlineStr">
        <is>
          <t>Wednesday</t>
        </is>
      </c>
      <c r="J240" t="inlineStr">
        <is>
          <t>No</t>
        </is>
      </c>
      <c r="K240" t="inlineStr">
        <is>
          <t>No</t>
        </is>
      </c>
      <c r="L240" t="inlineStr">
        <is>
          <t>Summer</t>
        </is>
      </c>
    </row>
    <row r="241">
      <c r="A241" s="4" t="n">
        <v>20250828</v>
      </c>
      <c r="B241" s="5" t="n">
        <v>45897</v>
      </c>
      <c r="C241" t="n">
        <v>28</v>
      </c>
      <c r="D241" t="n">
        <v>8</v>
      </c>
      <c r="E241" t="inlineStr">
        <is>
          <t>August</t>
        </is>
      </c>
      <c r="F241" t="inlineStr">
        <is>
          <t>Q3</t>
        </is>
      </c>
      <c r="G241" t="n">
        <v>2025</v>
      </c>
      <c r="H241" t="n">
        <v>34</v>
      </c>
      <c r="I241" t="inlineStr">
        <is>
          <t>Thursday</t>
        </is>
      </c>
      <c r="J241" t="inlineStr">
        <is>
          <t>No</t>
        </is>
      </c>
      <c r="K241" t="inlineStr">
        <is>
          <t>No</t>
        </is>
      </c>
      <c r="L241" t="inlineStr">
        <is>
          <t>Summer</t>
        </is>
      </c>
    </row>
    <row r="242">
      <c r="A242" s="4" t="n">
        <v>20250829</v>
      </c>
      <c r="B242" s="5" t="n">
        <v>45898</v>
      </c>
      <c r="C242" t="n">
        <v>29</v>
      </c>
      <c r="D242" t="n">
        <v>8</v>
      </c>
      <c r="E242" t="inlineStr">
        <is>
          <t>August</t>
        </is>
      </c>
      <c r="F242" t="inlineStr">
        <is>
          <t>Q3</t>
        </is>
      </c>
      <c r="G242" t="n">
        <v>2025</v>
      </c>
      <c r="H242" t="n">
        <v>34</v>
      </c>
      <c r="I242" t="inlineStr">
        <is>
          <t>Friday</t>
        </is>
      </c>
      <c r="J242" t="inlineStr">
        <is>
          <t>Yes</t>
        </is>
      </c>
      <c r="K242" t="inlineStr">
        <is>
          <t>No</t>
        </is>
      </c>
      <c r="L242" t="inlineStr">
        <is>
          <t>Summer</t>
        </is>
      </c>
    </row>
    <row r="243">
      <c r="A243" s="4" t="n">
        <v>20250830</v>
      </c>
      <c r="B243" s="5" t="n">
        <v>45899</v>
      </c>
      <c r="C243" t="n">
        <v>30</v>
      </c>
      <c r="D243" t="n">
        <v>8</v>
      </c>
      <c r="E243" t="inlineStr">
        <is>
          <t>August</t>
        </is>
      </c>
      <c r="F243" t="inlineStr">
        <is>
          <t>Q3</t>
        </is>
      </c>
      <c r="G243" t="n">
        <v>2025</v>
      </c>
      <c r="H243" t="n">
        <v>34</v>
      </c>
      <c r="I243" t="inlineStr">
        <is>
          <t>Saturday</t>
        </is>
      </c>
      <c r="J243" t="inlineStr">
        <is>
          <t>Yes</t>
        </is>
      </c>
      <c r="K243" t="inlineStr">
        <is>
          <t>No</t>
        </is>
      </c>
      <c r="L243" t="inlineStr">
        <is>
          <t>Summer</t>
        </is>
      </c>
    </row>
    <row r="244">
      <c r="A244" s="4" t="n">
        <v>20250831</v>
      </c>
      <c r="B244" s="5" t="n">
        <v>45900</v>
      </c>
      <c r="C244" t="n">
        <v>31</v>
      </c>
      <c r="D244" t="n">
        <v>8</v>
      </c>
      <c r="E244" t="inlineStr">
        <is>
          <t>August</t>
        </is>
      </c>
      <c r="F244" t="inlineStr">
        <is>
          <t>Q3</t>
        </is>
      </c>
      <c r="G244" t="n">
        <v>2025</v>
      </c>
      <c r="H244" t="n">
        <v>35</v>
      </c>
      <c r="I244" t="inlineStr">
        <is>
          <t>Sunday</t>
        </is>
      </c>
      <c r="J244" t="inlineStr">
        <is>
          <t>Yes</t>
        </is>
      </c>
      <c r="K244" t="inlineStr">
        <is>
          <t>No</t>
        </is>
      </c>
      <c r="L244" t="inlineStr">
        <is>
          <t>Summer</t>
        </is>
      </c>
    </row>
    <row r="245">
      <c r="A245" s="4" t="n">
        <v>20250901</v>
      </c>
      <c r="B245" s="5" t="n">
        <v>45901</v>
      </c>
      <c r="C245" t="n">
        <v>1</v>
      </c>
      <c r="D245" t="n">
        <v>9</v>
      </c>
      <c r="E245" t="inlineStr">
        <is>
          <t>September</t>
        </is>
      </c>
      <c r="F245" t="inlineStr">
        <is>
          <t>Q3</t>
        </is>
      </c>
      <c r="G245" t="n">
        <v>2025</v>
      </c>
      <c r="H245" t="n">
        <v>35</v>
      </c>
      <c r="I245" t="inlineStr">
        <is>
          <t>Monday</t>
        </is>
      </c>
      <c r="J245" t="inlineStr">
        <is>
          <t>No</t>
        </is>
      </c>
      <c r="K245" t="inlineStr">
        <is>
          <t>No</t>
        </is>
      </c>
      <c r="L245" t="inlineStr">
        <is>
          <t>Fall</t>
        </is>
      </c>
    </row>
    <row r="246">
      <c r="A246" s="4" t="n">
        <v>20250902</v>
      </c>
      <c r="B246" s="5" t="n">
        <v>45902</v>
      </c>
      <c r="C246" t="n">
        <v>2</v>
      </c>
      <c r="D246" t="n">
        <v>9</v>
      </c>
      <c r="E246" t="inlineStr">
        <is>
          <t>September</t>
        </is>
      </c>
      <c r="F246" t="inlineStr">
        <is>
          <t>Q3</t>
        </is>
      </c>
      <c r="G246" t="n">
        <v>2025</v>
      </c>
      <c r="H246" t="n">
        <v>35</v>
      </c>
      <c r="I246" t="inlineStr">
        <is>
          <t>Tuesday</t>
        </is>
      </c>
      <c r="J246" t="inlineStr">
        <is>
          <t>No</t>
        </is>
      </c>
      <c r="K246" t="inlineStr">
        <is>
          <t>No</t>
        </is>
      </c>
      <c r="L246" t="inlineStr">
        <is>
          <t>Fall</t>
        </is>
      </c>
    </row>
    <row r="247">
      <c r="A247" s="4" t="n">
        <v>20250903</v>
      </c>
      <c r="B247" s="5" t="n">
        <v>45903</v>
      </c>
      <c r="C247" t="n">
        <v>3</v>
      </c>
      <c r="D247" t="n">
        <v>9</v>
      </c>
      <c r="E247" t="inlineStr">
        <is>
          <t>September</t>
        </is>
      </c>
      <c r="F247" t="inlineStr">
        <is>
          <t>Q3</t>
        </is>
      </c>
      <c r="G247" t="n">
        <v>2025</v>
      </c>
      <c r="H247" t="n">
        <v>35</v>
      </c>
      <c r="I247" t="inlineStr">
        <is>
          <t>Wednesday</t>
        </is>
      </c>
      <c r="J247" t="inlineStr">
        <is>
          <t>No</t>
        </is>
      </c>
      <c r="K247" t="inlineStr">
        <is>
          <t>No</t>
        </is>
      </c>
      <c r="L247" t="inlineStr">
        <is>
          <t>Fall</t>
        </is>
      </c>
    </row>
    <row r="248">
      <c r="A248" s="4" t="n">
        <v>20250904</v>
      </c>
      <c r="B248" s="5" t="n">
        <v>45904</v>
      </c>
      <c r="C248" t="n">
        <v>4</v>
      </c>
      <c r="D248" t="n">
        <v>9</v>
      </c>
      <c r="E248" t="inlineStr">
        <is>
          <t>September</t>
        </is>
      </c>
      <c r="F248" t="inlineStr">
        <is>
          <t>Q3</t>
        </is>
      </c>
      <c r="G248" t="n">
        <v>2025</v>
      </c>
      <c r="H248" t="n">
        <v>35</v>
      </c>
      <c r="I248" t="inlineStr">
        <is>
          <t>Thursday</t>
        </is>
      </c>
      <c r="J248" t="inlineStr">
        <is>
          <t>No</t>
        </is>
      </c>
      <c r="K248" t="inlineStr">
        <is>
          <t>No</t>
        </is>
      </c>
      <c r="L248" t="inlineStr">
        <is>
          <t>Fall</t>
        </is>
      </c>
    </row>
    <row r="249">
      <c r="A249" s="4" t="n">
        <v>20250905</v>
      </c>
      <c r="B249" s="5" t="n">
        <v>45905</v>
      </c>
      <c r="C249" t="n">
        <v>5</v>
      </c>
      <c r="D249" t="n">
        <v>9</v>
      </c>
      <c r="E249" t="inlineStr">
        <is>
          <t>September</t>
        </is>
      </c>
      <c r="F249" t="inlineStr">
        <is>
          <t>Q3</t>
        </is>
      </c>
      <c r="G249" t="n">
        <v>2025</v>
      </c>
      <c r="H249" t="n">
        <v>35</v>
      </c>
      <c r="I249" t="inlineStr">
        <is>
          <t>Friday</t>
        </is>
      </c>
      <c r="J249" t="inlineStr">
        <is>
          <t>Yes</t>
        </is>
      </c>
      <c r="K249" t="inlineStr">
        <is>
          <t>No</t>
        </is>
      </c>
      <c r="L249" t="inlineStr">
        <is>
          <t>Fall</t>
        </is>
      </c>
    </row>
    <row r="250">
      <c r="A250" s="4" t="n">
        <v>20250906</v>
      </c>
      <c r="B250" s="5" t="n">
        <v>45906</v>
      </c>
      <c r="C250" t="n">
        <v>6</v>
      </c>
      <c r="D250" t="n">
        <v>9</v>
      </c>
      <c r="E250" t="inlineStr">
        <is>
          <t>September</t>
        </is>
      </c>
      <c r="F250" t="inlineStr">
        <is>
          <t>Q3</t>
        </is>
      </c>
      <c r="G250" t="n">
        <v>2025</v>
      </c>
      <c r="H250" t="n">
        <v>35</v>
      </c>
      <c r="I250" t="inlineStr">
        <is>
          <t>Saturday</t>
        </is>
      </c>
      <c r="J250" t="inlineStr">
        <is>
          <t>Yes</t>
        </is>
      </c>
      <c r="K250" t="inlineStr">
        <is>
          <t>No</t>
        </is>
      </c>
      <c r="L250" t="inlineStr">
        <is>
          <t>Fall</t>
        </is>
      </c>
    </row>
    <row r="251">
      <c r="A251" s="4" t="n">
        <v>20250907</v>
      </c>
      <c r="B251" s="5" t="n">
        <v>45907</v>
      </c>
      <c r="C251" t="n">
        <v>7</v>
      </c>
      <c r="D251" t="n">
        <v>9</v>
      </c>
      <c r="E251" t="inlineStr">
        <is>
          <t>September</t>
        </is>
      </c>
      <c r="F251" t="inlineStr">
        <is>
          <t>Q3</t>
        </is>
      </c>
      <c r="G251" t="n">
        <v>2025</v>
      </c>
      <c r="H251" t="n">
        <v>36</v>
      </c>
      <c r="I251" t="inlineStr">
        <is>
          <t>Sunday</t>
        </is>
      </c>
      <c r="J251" t="inlineStr">
        <is>
          <t>Yes</t>
        </is>
      </c>
      <c r="K251" t="inlineStr">
        <is>
          <t>No</t>
        </is>
      </c>
      <c r="L251" t="inlineStr">
        <is>
          <t>Fall</t>
        </is>
      </c>
    </row>
    <row r="252">
      <c r="A252" s="4" t="n">
        <v>20250908</v>
      </c>
      <c r="B252" s="5" t="n">
        <v>45908</v>
      </c>
      <c r="C252" t="n">
        <v>8</v>
      </c>
      <c r="D252" t="n">
        <v>9</v>
      </c>
      <c r="E252" t="inlineStr">
        <is>
          <t>September</t>
        </is>
      </c>
      <c r="F252" t="inlineStr">
        <is>
          <t>Q3</t>
        </is>
      </c>
      <c r="G252" t="n">
        <v>2025</v>
      </c>
      <c r="H252" t="n">
        <v>36</v>
      </c>
      <c r="I252" t="inlineStr">
        <is>
          <t>Monday</t>
        </is>
      </c>
      <c r="J252" t="inlineStr">
        <is>
          <t>No</t>
        </is>
      </c>
      <c r="K252" t="inlineStr">
        <is>
          <t>No</t>
        </is>
      </c>
      <c r="L252" t="inlineStr">
        <is>
          <t>Fall</t>
        </is>
      </c>
    </row>
    <row r="253">
      <c r="A253" s="4" t="n">
        <v>20250909</v>
      </c>
      <c r="B253" s="5" t="n">
        <v>45909</v>
      </c>
      <c r="C253" t="n">
        <v>9</v>
      </c>
      <c r="D253" t="n">
        <v>9</v>
      </c>
      <c r="E253" t="inlineStr">
        <is>
          <t>September</t>
        </is>
      </c>
      <c r="F253" t="inlineStr">
        <is>
          <t>Q3</t>
        </is>
      </c>
      <c r="G253" t="n">
        <v>2025</v>
      </c>
      <c r="H253" t="n">
        <v>36</v>
      </c>
      <c r="I253" t="inlineStr">
        <is>
          <t>Tuesday</t>
        </is>
      </c>
      <c r="J253" t="inlineStr">
        <is>
          <t>No</t>
        </is>
      </c>
      <c r="K253" t="inlineStr">
        <is>
          <t>No</t>
        </is>
      </c>
      <c r="L253" t="inlineStr">
        <is>
          <t>Fall</t>
        </is>
      </c>
    </row>
    <row r="254">
      <c r="A254" s="4" t="n">
        <v>20250910</v>
      </c>
      <c r="B254" s="5" t="n">
        <v>45910</v>
      </c>
      <c r="C254" t="n">
        <v>10</v>
      </c>
      <c r="D254" t="n">
        <v>9</v>
      </c>
      <c r="E254" t="inlineStr">
        <is>
          <t>September</t>
        </is>
      </c>
      <c r="F254" t="inlineStr">
        <is>
          <t>Q3</t>
        </is>
      </c>
      <c r="G254" t="n">
        <v>2025</v>
      </c>
      <c r="H254" t="n">
        <v>36</v>
      </c>
      <c r="I254" t="inlineStr">
        <is>
          <t>Wednesday</t>
        </is>
      </c>
      <c r="J254" t="inlineStr">
        <is>
          <t>No</t>
        </is>
      </c>
      <c r="K254" t="inlineStr">
        <is>
          <t>No</t>
        </is>
      </c>
      <c r="L254" t="inlineStr">
        <is>
          <t>Fall</t>
        </is>
      </c>
    </row>
    <row r="255">
      <c r="A255" s="4" t="n">
        <v>20250911</v>
      </c>
      <c r="B255" s="5" t="n">
        <v>45911</v>
      </c>
      <c r="C255" t="n">
        <v>11</v>
      </c>
      <c r="D255" t="n">
        <v>9</v>
      </c>
      <c r="E255" t="inlineStr">
        <is>
          <t>September</t>
        </is>
      </c>
      <c r="F255" t="inlineStr">
        <is>
          <t>Q3</t>
        </is>
      </c>
      <c r="G255" t="n">
        <v>2025</v>
      </c>
      <c r="H255" t="n">
        <v>36</v>
      </c>
      <c r="I255" t="inlineStr">
        <is>
          <t>Thursday</t>
        </is>
      </c>
      <c r="J255" t="inlineStr">
        <is>
          <t>No</t>
        </is>
      </c>
      <c r="K255" t="inlineStr">
        <is>
          <t>No</t>
        </is>
      </c>
      <c r="L255" t="inlineStr">
        <is>
          <t>Fall</t>
        </is>
      </c>
    </row>
    <row r="256">
      <c r="A256" s="4" t="n">
        <v>20250912</v>
      </c>
      <c r="B256" s="5" t="n">
        <v>45912</v>
      </c>
      <c r="C256" t="n">
        <v>12</v>
      </c>
      <c r="D256" t="n">
        <v>9</v>
      </c>
      <c r="E256" t="inlineStr">
        <is>
          <t>September</t>
        </is>
      </c>
      <c r="F256" t="inlineStr">
        <is>
          <t>Q3</t>
        </is>
      </c>
      <c r="G256" t="n">
        <v>2025</v>
      </c>
      <c r="H256" t="n">
        <v>36</v>
      </c>
      <c r="I256" t="inlineStr">
        <is>
          <t>Friday</t>
        </is>
      </c>
      <c r="J256" t="inlineStr">
        <is>
          <t>Yes</t>
        </is>
      </c>
      <c r="K256" t="inlineStr">
        <is>
          <t>No</t>
        </is>
      </c>
      <c r="L256" t="inlineStr">
        <is>
          <t>Fall</t>
        </is>
      </c>
    </row>
    <row r="257">
      <c r="A257" s="4" t="n">
        <v>20250913</v>
      </c>
      <c r="B257" s="5" t="n">
        <v>45913</v>
      </c>
      <c r="C257" t="n">
        <v>13</v>
      </c>
      <c r="D257" t="n">
        <v>9</v>
      </c>
      <c r="E257" t="inlineStr">
        <is>
          <t>September</t>
        </is>
      </c>
      <c r="F257" t="inlineStr">
        <is>
          <t>Q3</t>
        </is>
      </c>
      <c r="G257" t="n">
        <v>2025</v>
      </c>
      <c r="H257" t="n">
        <v>36</v>
      </c>
      <c r="I257" t="inlineStr">
        <is>
          <t>Saturday</t>
        </is>
      </c>
      <c r="J257" t="inlineStr">
        <is>
          <t>Yes</t>
        </is>
      </c>
      <c r="K257" t="inlineStr">
        <is>
          <t>No</t>
        </is>
      </c>
      <c r="L257" t="inlineStr">
        <is>
          <t>Fall</t>
        </is>
      </c>
    </row>
    <row r="258">
      <c r="A258" s="4" t="n">
        <v>20250914</v>
      </c>
      <c r="B258" s="5" t="n">
        <v>45914</v>
      </c>
      <c r="C258" t="n">
        <v>14</v>
      </c>
      <c r="D258" t="n">
        <v>9</v>
      </c>
      <c r="E258" t="inlineStr">
        <is>
          <t>September</t>
        </is>
      </c>
      <c r="F258" t="inlineStr">
        <is>
          <t>Q3</t>
        </is>
      </c>
      <c r="G258" t="n">
        <v>2025</v>
      </c>
      <c r="H258" t="n">
        <v>37</v>
      </c>
      <c r="I258" t="inlineStr">
        <is>
          <t>Sunday</t>
        </is>
      </c>
      <c r="J258" t="inlineStr">
        <is>
          <t>Yes</t>
        </is>
      </c>
      <c r="K258" t="inlineStr">
        <is>
          <t>No</t>
        </is>
      </c>
      <c r="L258" t="inlineStr">
        <is>
          <t>Fall</t>
        </is>
      </c>
    </row>
    <row r="259">
      <c r="A259" s="4" t="n">
        <v>20250915</v>
      </c>
      <c r="B259" s="5" t="n">
        <v>45915</v>
      </c>
      <c r="C259" t="n">
        <v>15</v>
      </c>
      <c r="D259" t="n">
        <v>9</v>
      </c>
      <c r="E259" t="inlineStr">
        <is>
          <t>September</t>
        </is>
      </c>
      <c r="F259" t="inlineStr">
        <is>
          <t>Q3</t>
        </is>
      </c>
      <c r="G259" t="n">
        <v>2025</v>
      </c>
      <c r="H259" t="n">
        <v>37</v>
      </c>
      <c r="I259" t="inlineStr">
        <is>
          <t>Monday</t>
        </is>
      </c>
      <c r="J259" t="inlineStr">
        <is>
          <t>No</t>
        </is>
      </c>
      <c r="K259" t="inlineStr">
        <is>
          <t>No</t>
        </is>
      </c>
      <c r="L259" t="inlineStr">
        <is>
          <t>Fall</t>
        </is>
      </c>
    </row>
    <row r="260">
      <c r="A260" s="4" t="n">
        <v>20250916</v>
      </c>
      <c r="B260" s="5" t="n">
        <v>45916</v>
      </c>
      <c r="C260" t="n">
        <v>16</v>
      </c>
      <c r="D260" t="n">
        <v>9</v>
      </c>
      <c r="E260" t="inlineStr">
        <is>
          <t>September</t>
        </is>
      </c>
      <c r="F260" t="inlineStr">
        <is>
          <t>Q3</t>
        </is>
      </c>
      <c r="G260" t="n">
        <v>2025</v>
      </c>
      <c r="H260" t="n">
        <v>37</v>
      </c>
      <c r="I260" t="inlineStr">
        <is>
          <t>Tuesday</t>
        </is>
      </c>
      <c r="J260" t="inlineStr">
        <is>
          <t>No</t>
        </is>
      </c>
      <c r="K260" t="inlineStr">
        <is>
          <t>No</t>
        </is>
      </c>
      <c r="L260" t="inlineStr">
        <is>
          <t>Fall</t>
        </is>
      </c>
    </row>
    <row r="261">
      <c r="A261" s="4" t="n">
        <v>20250917</v>
      </c>
      <c r="B261" s="5" t="n">
        <v>45917</v>
      </c>
      <c r="C261" t="n">
        <v>17</v>
      </c>
      <c r="D261" t="n">
        <v>9</v>
      </c>
      <c r="E261" t="inlineStr">
        <is>
          <t>September</t>
        </is>
      </c>
      <c r="F261" t="inlineStr">
        <is>
          <t>Q3</t>
        </is>
      </c>
      <c r="G261" t="n">
        <v>2025</v>
      </c>
      <c r="H261" t="n">
        <v>37</v>
      </c>
      <c r="I261" t="inlineStr">
        <is>
          <t>Wednesday</t>
        </is>
      </c>
      <c r="J261" t="inlineStr">
        <is>
          <t>No</t>
        </is>
      </c>
      <c r="K261" t="inlineStr">
        <is>
          <t>No</t>
        </is>
      </c>
      <c r="L261" t="inlineStr">
        <is>
          <t>Fall</t>
        </is>
      </c>
    </row>
    <row r="262">
      <c r="A262" s="4" t="n">
        <v>20250918</v>
      </c>
      <c r="B262" s="5" t="n">
        <v>45918</v>
      </c>
      <c r="C262" t="n">
        <v>18</v>
      </c>
      <c r="D262" t="n">
        <v>9</v>
      </c>
      <c r="E262" t="inlineStr">
        <is>
          <t>September</t>
        </is>
      </c>
      <c r="F262" t="inlineStr">
        <is>
          <t>Q3</t>
        </is>
      </c>
      <c r="G262" t="n">
        <v>2025</v>
      </c>
      <c r="H262" t="n">
        <v>37</v>
      </c>
      <c r="I262" t="inlineStr">
        <is>
          <t>Thursday</t>
        </is>
      </c>
      <c r="J262" t="inlineStr">
        <is>
          <t>No</t>
        </is>
      </c>
      <c r="K262" t="inlineStr">
        <is>
          <t>No</t>
        </is>
      </c>
      <c r="L262" t="inlineStr">
        <is>
          <t>Fall</t>
        </is>
      </c>
    </row>
    <row r="263">
      <c r="A263" s="4" t="n">
        <v>20250919</v>
      </c>
      <c r="B263" s="5" t="n">
        <v>45919</v>
      </c>
      <c r="C263" t="n">
        <v>19</v>
      </c>
      <c r="D263" t="n">
        <v>9</v>
      </c>
      <c r="E263" t="inlineStr">
        <is>
          <t>September</t>
        </is>
      </c>
      <c r="F263" t="inlineStr">
        <is>
          <t>Q3</t>
        </is>
      </c>
      <c r="G263" t="n">
        <v>2025</v>
      </c>
      <c r="H263" t="n">
        <v>37</v>
      </c>
      <c r="I263" t="inlineStr">
        <is>
          <t>Friday</t>
        </is>
      </c>
      <c r="J263" t="inlineStr">
        <is>
          <t>Yes</t>
        </is>
      </c>
      <c r="K263" t="inlineStr">
        <is>
          <t>No</t>
        </is>
      </c>
      <c r="L263" t="inlineStr">
        <is>
          <t>Fall</t>
        </is>
      </c>
    </row>
    <row r="264">
      <c r="A264" s="4" t="n">
        <v>20250920</v>
      </c>
      <c r="B264" s="5" t="n">
        <v>45920</v>
      </c>
      <c r="C264" t="n">
        <v>20</v>
      </c>
      <c r="D264" t="n">
        <v>9</v>
      </c>
      <c r="E264" t="inlineStr">
        <is>
          <t>September</t>
        </is>
      </c>
      <c r="F264" t="inlineStr">
        <is>
          <t>Q3</t>
        </is>
      </c>
      <c r="G264" t="n">
        <v>2025</v>
      </c>
      <c r="H264" t="n">
        <v>37</v>
      </c>
      <c r="I264" t="inlineStr">
        <is>
          <t>Saturday</t>
        </is>
      </c>
      <c r="J264" t="inlineStr">
        <is>
          <t>Yes</t>
        </is>
      </c>
      <c r="K264" t="inlineStr">
        <is>
          <t>No</t>
        </is>
      </c>
      <c r="L264" t="inlineStr">
        <is>
          <t>Fall</t>
        </is>
      </c>
    </row>
    <row r="265">
      <c r="A265" s="4" t="n">
        <v>20250921</v>
      </c>
      <c r="B265" s="5" t="n">
        <v>45921</v>
      </c>
      <c r="C265" t="n">
        <v>21</v>
      </c>
      <c r="D265" t="n">
        <v>9</v>
      </c>
      <c r="E265" t="inlineStr">
        <is>
          <t>September</t>
        </is>
      </c>
      <c r="F265" t="inlineStr">
        <is>
          <t>Q3</t>
        </is>
      </c>
      <c r="G265" t="n">
        <v>2025</v>
      </c>
      <c r="H265" t="n">
        <v>38</v>
      </c>
      <c r="I265" t="inlineStr">
        <is>
          <t>Sunday</t>
        </is>
      </c>
      <c r="J265" t="inlineStr">
        <is>
          <t>Yes</t>
        </is>
      </c>
      <c r="K265" t="inlineStr">
        <is>
          <t>No</t>
        </is>
      </c>
      <c r="L265" t="inlineStr">
        <is>
          <t>Fall</t>
        </is>
      </c>
    </row>
    <row r="266">
      <c r="A266" s="4" t="n">
        <v>20250922</v>
      </c>
      <c r="B266" s="5" t="n">
        <v>45922</v>
      </c>
      <c r="C266" t="n">
        <v>22</v>
      </c>
      <c r="D266" t="n">
        <v>9</v>
      </c>
      <c r="E266" t="inlineStr">
        <is>
          <t>September</t>
        </is>
      </c>
      <c r="F266" t="inlineStr">
        <is>
          <t>Q3</t>
        </is>
      </c>
      <c r="G266" t="n">
        <v>2025</v>
      </c>
      <c r="H266" t="n">
        <v>38</v>
      </c>
      <c r="I266" t="inlineStr">
        <is>
          <t>Monday</t>
        </is>
      </c>
      <c r="J266" t="inlineStr">
        <is>
          <t>No</t>
        </is>
      </c>
      <c r="K266" t="inlineStr">
        <is>
          <t>No</t>
        </is>
      </c>
      <c r="L266" t="inlineStr">
        <is>
          <t>Fall</t>
        </is>
      </c>
    </row>
    <row r="267">
      <c r="A267" s="4" t="n">
        <v>20250923</v>
      </c>
      <c r="B267" s="5" t="n">
        <v>45923</v>
      </c>
      <c r="C267" t="n">
        <v>23</v>
      </c>
      <c r="D267" t="n">
        <v>9</v>
      </c>
      <c r="E267" t="inlineStr">
        <is>
          <t>September</t>
        </is>
      </c>
      <c r="F267" t="inlineStr">
        <is>
          <t>Q3</t>
        </is>
      </c>
      <c r="G267" t="n">
        <v>2025</v>
      </c>
      <c r="H267" t="n">
        <v>38</v>
      </c>
      <c r="I267" t="inlineStr">
        <is>
          <t>Tuesday</t>
        </is>
      </c>
      <c r="J267" t="inlineStr">
        <is>
          <t>No</t>
        </is>
      </c>
      <c r="K267" t="inlineStr">
        <is>
          <t>No</t>
        </is>
      </c>
      <c r="L267" t="inlineStr">
        <is>
          <t>Fall</t>
        </is>
      </c>
    </row>
    <row r="268">
      <c r="A268" s="4" t="n">
        <v>20250924</v>
      </c>
      <c r="B268" s="5" t="n">
        <v>45924</v>
      </c>
      <c r="C268" t="n">
        <v>24</v>
      </c>
      <c r="D268" t="n">
        <v>9</v>
      </c>
      <c r="E268" t="inlineStr">
        <is>
          <t>September</t>
        </is>
      </c>
      <c r="F268" t="inlineStr">
        <is>
          <t>Q3</t>
        </is>
      </c>
      <c r="G268" t="n">
        <v>2025</v>
      </c>
      <c r="H268" t="n">
        <v>38</v>
      </c>
      <c r="I268" t="inlineStr">
        <is>
          <t>Wednesday</t>
        </is>
      </c>
      <c r="J268" t="inlineStr">
        <is>
          <t>No</t>
        </is>
      </c>
      <c r="K268" t="inlineStr">
        <is>
          <t>No</t>
        </is>
      </c>
      <c r="L268" t="inlineStr">
        <is>
          <t>Fall</t>
        </is>
      </c>
    </row>
    <row r="269">
      <c r="A269" s="4" t="n">
        <v>20250925</v>
      </c>
      <c r="B269" s="5" t="n">
        <v>45925</v>
      </c>
      <c r="C269" t="n">
        <v>25</v>
      </c>
      <c r="D269" t="n">
        <v>9</v>
      </c>
      <c r="E269" t="inlineStr">
        <is>
          <t>September</t>
        </is>
      </c>
      <c r="F269" t="inlineStr">
        <is>
          <t>Q3</t>
        </is>
      </c>
      <c r="G269" t="n">
        <v>2025</v>
      </c>
      <c r="H269" t="n">
        <v>38</v>
      </c>
      <c r="I269" t="inlineStr">
        <is>
          <t>Thursday</t>
        </is>
      </c>
      <c r="J269" t="inlineStr">
        <is>
          <t>No</t>
        </is>
      </c>
      <c r="K269" t="inlineStr">
        <is>
          <t>No</t>
        </is>
      </c>
      <c r="L269" t="inlineStr">
        <is>
          <t>Fall</t>
        </is>
      </c>
    </row>
    <row r="270">
      <c r="A270" s="4" t="n">
        <v>20250926</v>
      </c>
      <c r="B270" s="5" t="n">
        <v>45926</v>
      </c>
      <c r="C270" t="n">
        <v>26</v>
      </c>
      <c r="D270" t="n">
        <v>9</v>
      </c>
      <c r="E270" t="inlineStr">
        <is>
          <t>September</t>
        </is>
      </c>
      <c r="F270" t="inlineStr">
        <is>
          <t>Q3</t>
        </is>
      </c>
      <c r="G270" t="n">
        <v>2025</v>
      </c>
      <c r="H270" t="n">
        <v>38</v>
      </c>
      <c r="I270" t="inlineStr">
        <is>
          <t>Friday</t>
        </is>
      </c>
      <c r="J270" t="inlineStr">
        <is>
          <t>Yes</t>
        </is>
      </c>
      <c r="K270" t="inlineStr">
        <is>
          <t>No</t>
        </is>
      </c>
      <c r="L270" t="inlineStr">
        <is>
          <t>Fall</t>
        </is>
      </c>
    </row>
    <row r="271">
      <c r="A271" s="4" t="n">
        <v>20250927</v>
      </c>
      <c r="B271" s="5" t="n">
        <v>45927</v>
      </c>
      <c r="C271" t="n">
        <v>27</v>
      </c>
      <c r="D271" t="n">
        <v>9</v>
      </c>
      <c r="E271" t="inlineStr">
        <is>
          <t>September</t>
        </is>
      </c>
      <c r="F271" t="inlineStr">
        <is>
          <t>Q3</t>
        </is>
      </c>
      <c r="G271" t="n">
        <v>2025</v>
      </c>
      <c r="H271" t="n">
        <v>38</v>
      </c>
      <c r="I271" t="inlineStr">
        <is>
          <t>Saturday</t>
        </is>
      </c>
      <c r="J271" t="inlineStr">
        <is>
          <t>Yes</t>
        </is>
      </c>
      <c r="K271" t="inlineStr">
        <is>
          <t>No</t>
        </is>
      </c>
      <c r="L271" t="inlineStr">
        <is>
          <t>Fall</t>
        </is>
      </c>
    </row>
    <row r="272">
      <c r="A272" s="4" t="n">
        <v>20250928</v>
      </c>
      <c r="B272" s="5" t="n">
        <v>45928</v>
      </c>
      <c r="C272" t="n">
        <v>28</v>
      </c>
      <c r="D272" t="n">
        <v>9</v>
      </c>
      <c r="E272" t="inlineStr">
        <is>
          <t>September</t>
        </is>
      </c>
      <c r="F272" t="inlineStr">
        <is>
          <t>Q3</t>
        </is>
      </c>
      <c r="G272" t="n">
        <v>2025</v>
      </c>
      <c r="H272" t="n">
        <v>39</v>
      </c>
      <c r="I272" t="inlineStr">
        <is>
          <t>Sunday</t>
        </is>
      </c>
      <c r="J272" t="inlineStr">
        <is>
          <t>Yes</t>
        </is>
      </c>
      <c r="K272" t="inlineStr">
        <is>
          <t>No</t>
        </is>
      </c>
      <c r="L272" t="inlineStr">
        <is>
          <t>Fall</t>
        </is>
      </c>
    </row>
    <row r="273">
      <c r="A273" s="4" t="n">
        <v>20250929</v>
      </c>
      <c r="B273" s="5" t="n">
        <v>45929</v>
      </c>
      <c r="C273" t="n">
        <v>29</v>
      </c>
      <c r="D273" t="n">
        <v>9</v>
      </c>
      <c r="E273" t="inlineStr">
        <is>
          <t>September</t>
        </is>
      </c>
      <c r="F273" t="inlineStr">
        <is>
          <t>Q3</t>
        </is>
      </c>
      <c r="G273" t="n">
        <v>2025</v>
      </c>
      <c r="H273" t="n">
        <v>39</v>
      </c>
      <c r="I273" t="inlineStr">
        <is>
          <t>Monday</t>
        </is>
      </c>
      <c r="J273" t="inlineStr">
        <is>
          <t>No</t>
        </is>
      </c>
      <c r="K273" t="inlineStr">
        <is>
          <t>No</t>
        </is>
      </c>
      <c r="L273" t="inlineStr">
        <is>
          <t>Fall</t>
        </is>
      </c>
    </row>
    <row r="274">
      <c r="A274" s="4" t="n">
        <v>20250930</v>
      </c>
      <c r="B274" s="5" t="n">
        <v>45930</v>
      </c>
      <c r="C274" t="n">
        <v>30</v>
      </c>
      <c r="D274" t="n">
        <v>9</v>
      </c>
      <c r="E274" t="inlineStr">
        <is>
          <t>September</t>
        </is>
      </c>
      <c r="F274" t="inlineStr">
        <is>
          <t>Q3</t>
        </is>
      </c>
      <c r="G274" t="n">
        <v>2025</v>
      </c>
      <c r="H274" t="n">
        <v>39</v>
      </c>
      <c r="I274" t="inlineStr">
        <is>
          <t>Tuesday</t>
        </is>
      </c>
      <c r="J274" t="inlineStr">
        <is>
          <t>No</t>
        </is>
      </c>
      <c r="K274" t="inlineStr">
        <is>
          <t>No</t>
        </is>
      </c>
      <c r="L274" t="inlineStr">
        <is>
          <t>Fall</t>
        </is>
      </c>
    </row>
    <row r="275">
      <c r="A275" s="4" t="n">
        <v>20251001</v>
      </c>
      <c r="B275" s="5" t="n">
        <v>45931</v>
      </c>
      <c r="C275" t="n">
        <v>1</v>
      </c>
      <c r="D275" t="n">
        <v>10</v>
      </c>
      <c r="E275" t="inlineStr">
        <is>
          <t>October</t>
        </is>
      </c>
      <c r="F275" t="inlineStr">
        <is>
          <t>Q4</t>
        </is>
      </c>
      <c r="G275" t="n">
        <v>2025</v>
      </c>
      <c r="H275" t="n">
        <v>39</v>
      </c>
      <c r="I275" t="inlineStr">
        <is>
          <t>Wednesday</t>
        </is>
      </c>
      <c r="J275" t="inlineStr">
        <is>
          <t>No</t>
        </is>
      </c>
      <c r="K275" t="inlineStr">
        <is>
          <t>No</t>
        </is>
      </c>
      <c r="L275" t="inlineStr">
        <is>
          <t>Fall</t>
        </is>
      </c>
    </row>
    <row r="276">
      <c r="A276" s="4" t="n">
        <v>20251002</v>
      </c>
      <c r="B276" s="5" t="n">
        <v>45932</v>
      </c>
      <c r="C276" t="n">
        <v>2</v>
      </c>
      <c r="D276" t="n">
        <v>10</v>
      </c>
      <c r="E276" t="inlineStr">
        <is>
          <t>October</t>
        </is>
      </c>
      <c r="F276" t="inlineStr">
        <is>
          <t>Q4</t>
        </is>
      </c>
      <c r="G276" t="n">
        <v>2025</v>
      </c>
      <c r="H276" t="n">
        <v>39</v>
      </c>
      <c r="I276" t="inlineStr">
        <is>
          <t>Thursday</t>
        </is>
      </c>
      <c r="J276" t="inlineStr">
        <is>
          <t>No</t>
        </is>
      </c>
      <c r="K276" t="inlineStr">
        <is>
          <t>No</t>
        </is>
      </c>
      <c r="L276" t="inlineStr">
        <is>
          <t>Fall</t>
        </is>
      </c>
    </row>
    <row r="277">
      <c r="A277" s="4" t="n">
        <v>20251003</v>
      </c>
      <c r="B277" s="5" t="n">
        <v>45933</v>
      </c>
      <c r="C277" t="n">
        <v>3</v>
      </c>
      <c r="D277" t="n">
        <v>10</v>
      </c>
      <c r="E277" t="inlineStr">
        <is>
          <t>October</t>
        </is>
      </c>
      <c r="F277" t="inlineStr">
        <is>
          <t>Q4</t>
        </is>
      </c>
      <c r="G277" t="n">
        <v>2025</v>
      </c>
      <c r="H277" t="n">
        <v>39</v>
      </c>
      <c r="I277" t="inlineStr">
        <is>
          <t>Friday</t>
        </is>
      </c>
      <c r="J277" t="inlineStr">
        <is>
          <t>Yes</t>
        </is>
      </c>
      <c r="K277" t="inlineStr">
        <is>
          <t>No</t>
        </is>
      </c>
      <c r="L277" t="inlineStr">
        <is>
          <t>Fall</t>
        </is>
      </c>
    </row>
    <row r="278">
      <c r="A278" s="4" t="n">
        <v>20251004</v>
      </c>
      <c r="B278" s="5" t="n">
        <v>45934</v>
      </c>
      <c r="C278" t="n">
        <v>4</v>
      </c>
      <c r="D278" t="n">
        <v>10</v>
      </c>
      <c r="E278" t="inlineStr">
        <is>
          <t>October</t>
        </is>
      </c>
      <c r="F278" t="inlineStr">
        <is>
          <t>Q4</t>
        </is>
      </c>
      <c r="G278" t="n">
        <v>2025</v>
      </c>
      <c r="H278" t="n">
        <v>39</v>
      </c>
      <c r="I278" t="inlineStr">
        <is>
          <t>Saturday</t>
        </is>
      </c>
      <c r="J278" t="inlineStr">
        <is>
          <t>Yes</t>
        </is>
      </c>
      <c r="K278" t="inlineStr">
        <is>
          <t>No</t>
        </is>
      </c>
      <c r="L278" t="inlineStr">
        <is>
          <t>Fall</t>
        </is>
      </c>
    </row>
    <row r="279">
      <c r="A279" s="4" t="n">
        <v>20251005</v>
      </c>
      <c r="B279" s="5" t="n">
        <v>45935</v>
      </c>
      <c r="C279" t="n">
        <v>5</v>
      </c>
      <c r="D279" t="n">
        <v>10</v>
      </c>
      <c r="E279" t="inlineStr">
        <is>
          <t>October</t>
        </is>
      </c>
      <c r="F279" t="inlineStr">
        <is>
          <t>Q4</t>
        </is>
      </c>
      <c r="G279" t="n">
        <v>2025</v>
      </c>
      <c r="H279" t="n">
        <v>40</v>
      </c>
      <c r="I279" t="inlineStr">
        <is>
          <t>Sunday</t>
        </is>
      </c>
      <c r="J279" t="inlineStr">
        <is>
          <t>Yes</t>
        </is>
      </c>
      <c r="K279" t="inlineStr">
        <is>
          <t>No</t>
        </is>
      </c>
      <c r="L279" t="inlineStr">
        <is>
          <t>Fall</t>
        </is>
      </c>
    </row>
    <row r="280">
      <c r="A280" s="4" t="n">
        <v>20251006</v>
      </c>
      <c r="B280" s="5" t="n">
        <v>45936</v>
      </c>
      <c r="C280" t="n">
        <v>6</v>
      </c>
      <c r="D280" t="n">
        <v>10</v>
      </c>
      <c r="E280" t="inlineStr">
        <is>
          <t>October</t>
        </is>
      </c>
      <c r="F280" t="inlineStr">
        <is>
          <t>Q4</t>
        </is>
      </c>
      <c r="G280" t="n">
        <v>2025</v>
      </c>
      <c r="H280" t="n">
        <v>40</v>
      </c>
      <c r="I280" t="inlineStr">
        <is>
          <t>Monday</t>
        </is>
      </c>
      <c r="J280" t="inlineStr">
        <is>
          <t>No</t>
        </is>
      </c>
      <c r="K280" t="inlineStr">
        <is>
          <t>No</t>
        </is>
      </c>
      <c r="L280" t="inlineStr">
        <is>
          <t>Fall</t>
        </is>
      </c>
    </row>
    <row r="281">
      <c r="A281" s="4" t="n">
        <v>20251007</v>
      </c>
      <c r="B281" s="5" t="n">
        <v>45937</v>
      </c>
      <c r="C281" t="n">
        <v>7</v>
      </c>
      <c r="D281" t="n">
        <v>10</v>
      </c>
      <c r="E281" t="inlineStr">
        <is>
          <t>October</t>
        </is>
      </c>
      <c r="F281" t="inlineStr">
        <is>
          <t>Q4</t>
        </is>
      </c>
      <c r="G281" t="n">
        <v>2025</v>
      </c>
      <c r="H281" t="n">
        <v>40</v>
      </c>
      <c r="I281" t="inlineStr">
        <is>
          <t>Tuesday</t>
        </is>
      </c>
      <c r="J281" t="inlineStr">
        <is>
          <t>No</t>
        </is>
      </c>
      <c r="K281" t="inlineStr">
        <is>
          <t>No</t>
        </is>
      </c>
      <c r="L281" t="inlineStr">
        <is>
          <t>Fall</t>
        </is>
      </c>
    </row>
    <row r="282">
      <c r="A282" s="4" t="n">
        <v>20251008</v>
      </c>
      <c r="B282" s="5" t="n">
        <v>45938</v>
      </c>
      <c r="C282" t="n">
        <v>8</v>
      </c>
      <c r="D282" t="n">
        <v>10</v>
      </c>
      <c r="E282" t="inlineStr">
        <is>
          <t>October</t>
        </is>
      </c>
      <c r="F282" t="inlineStr">
        <is>
          <t>Q4</t>
        </is>
      </c>
      <c r="G282" t="n">
        <v>2025</v>
      </c>
      <c r="H282" t="n">
        <v>40</v>
      </c>
      <c r="I282" t="inlineStr">
        <is>
          <t>Wednesday</t>
        </is>
      </c>
      <c r="J282" t="inlineStr">
        <is>
          <t>No</t>
        </is>
      </c>
      <c r="K282" t="inlineStr">
        <is>
          <t>No</t>
        </is>
      </c>
      <c r="L282" t="inlineStr">
        <is>
          <t>Fall</t>
        </is>
      </c>
    </row>
    <row r="283">
      <c r="A283" s="4" t="n">
        <v>20251009</v>
      </c>
      <c r="B283" s="5" t="n">
        <v>45939</v>
      </c>
      <c r="C283" t="n">
        <v>9</v>
      </c>
      <c r="D283" t="n">
        <v>10</v>
      </c>
      <c r="E283" t="inlineStr">
        <is>
          <t>October</t>
        </is>
      </c>
      <c r="F283" t="inlineStr">
        <is>
          <t>Q4</t>
        </is>
      </c>
      <c r="G283" t="n">
        <v>2025</v>
      </c>
      <c r="H283" t="n">
        <v>40</v>
      </c>
      <c r="I283" t="inlineStr">
        <is>
          <t>Thursday</t>
        </is>
      </c>
      <c r="J283" t="inlineStr">
        <is>
          <t>No</t>
        </is>
      </c>
      <c r="K283" t="inlineStr">
        <is>
          <t>No</t>
        </is>
      </c>
      <c r="L283" t="inlineStr">
        <is>
          <t>Fall</t>
        </is>
      </c>
    </row>
    <row r="284">
      <c r="A284" s="4" t="n">
        <v>20251010</v>
      </c>
      <c r="B284" s="5" t="n">
        <v>45940</v>
      </c>
      <c r="C284" t="n">
        <v>10</v>
      </c>
      <c r="D284" t="n">
        <v>10</v>
      </c>
      <c r="E284" t="inlineStr">
        <is>
          <t>October</t>
        </is>
      </c>
      <c r="F284" t="inlineStr">
        <is>
          <t>Q4</t>
        </is>
      </c>
      <c r="G284" t="n">
        <v>2025</v>
      </c>
      <c r="H284" t="n">
        <v>40</v>
      </c>
      <c r="I284" t="inlineStr">
        <is>
          <t>Friday</t>
        </is>
      </c>
      <c r="J284" t="inlineStr">
        <is>
          <t>Yes</t>
        </is>
      </c>
      <c r="K284" t="inlineStr">
        <is>
          <t>No</t>
        </is>
      </c>
      <c r="L284" t="inlineStr">
        <is>
          <t>Fall</t>
        </is>
      </c>
    </row>
    <row r="285">
      <c r="A285" s="4" t="n">
        <v>20251011</v>
      </c>
      <c r="B285" s="5" t="n">
        <v>45941</v>
      </c>
      <c r="C285" t="n">
        <v>11</v>
      </c>
      <c r="D285" t="n">
        <v>10</v>
      </c>
      <c r="E285" t="inlineStr">
        <is>
          <t>October</t>
        </is>
      </c>
      <c r="F285" t="inlineStr">
        <is>
          <t>Q4</t>
        </is>
      </c>
      <c r="G285" t="n">
        <v>2025</v>
      </c>
      <c r="H285" t="n">
        <v>40</v>
      </c>
      <c r="I285" t="inlineStr">
        <is>
          <t>Saturday</t>
        </is>
      </c>
      <c r="J285" t="inlineStr">
        <is>
          <t>Yes</t>
        </is>
      </c>
      <c r="K285" t="inlineStr">
        <is>
          <t>No</t>
        </is>
      </c>
      <c r="L285" t="inlineStr">
        <is>
          <t>Fall</t>
        </is>
      </c>
    </row>
    <row r="286">
      <c r="A286" s="4" t="n">
        <v>20251012</v>
      </c>
      <c r="B286" s="5" t="n">
        <v>45942</v>
      </c>
      <c r="C286" t="n">
        <v>12</v>
      </c>
      <c r="D286" t="n">
        <v>10</v>
      </c>
      <c r="E286" t="inlineStr">
        <is>
          <t>October</t>
        </is>
      </c>
      <c r="F286" t="inlineStr">
        <is>
          <t>Q4</t>
        </is>
      </c>
      <c r="G286" t="n">
        <v>2025</v>
      </c>
      <c r="H286" t="n">
        <v>41</v>
      </c>
      <c r="I286" t="inlineStr">
        <is>
          <t>Sunday</t>
        </is>
      </c>
      <c r="J286" t="inlineStr">
        <is>
          <t>Yes</t>
        </is>
      </c>
      <c r="K286" t="inlineStr">
        <is>
          <t>No</t>
        </is>
      </c>
      <c r="L286" t="inlineStr">
        <is>
          <t>Fall</t>
        </is>
      </c>
    </row>
    <row r="287">
      <c r="A287" s="4" t="n">
        <v>20251013</v>
      </c>
      <c r="B287" s="5" t="n">
        <v>45943</v>
      </c>
      <c r="C287" t="n">
        <v>13</v>
      </c>
      <c r="D287" t="n">
        <v>10</v>
      </c>
      <c r="E287" t="inlineStr">
        <is>
          <t>October</t>
        </is>
      </c>
      <c r="F287" t="inlineStr">
        <is>
          <t>Q4</t>
        </is>
      </c>
      <c r="G287" t="n">
        <v>2025</v>
      </c>
      <c r="H287" t="n">
        <v>41</v>
      </c>
      <c r="I287" t="inlineStr">
        <is>
          <t>Monday</t>
        </is>
      </c>
      <c r="J287" t="inlineStr">
        <is>
          <t>No</t>
        </is>
      </c>
      <c r="K287" t="inlineStr">
        <is>
          <t>No</t>
        </is>
      </c>
      <c r="L287" t="inlineStr">
        <is>
          <t>Fall</t>
        </is>
      </c>
    </row>
    <row r="288">
      <c r="A288" s="4" t="n">
        <v>20251014</v>
      </c>
      <c r="B288" s="5" t="n">
        <v>45944</v>
      </c>
      <c r="C288" t="n">
        <v>14</v>
      </c>
      <c r="D288" t="n">
        <v>10</v>
      </c>
      <c r="E288" t="inlineStr">
        <is>
          <t>October</t>
        </is>
      </c>
      <c r="F288" t="inlineStr">
        <is>
          <t>Q4</t>
        </is>
      </c>
      <c r="G288" t="n">
        <v>2025</v>
      </c>
      <c r="H288" t="n">
        <v>41</v>
      </c>
      <c r="I288" t="inlineStr">
        <is>
          <t>Tuesday</t>
        </is>
      </c>
      <c r="J288" t="inlineStr">
        <is>
          <t>No</t>
        </is>
      </c>
      <c r="K288" t="inlineStr">
        <is>
          <t>No</t>
        </is>
      </c>
      <c r="L288" t="inlineStr">
        <is>
          <t>Fall</t>
        </is>
      </c>
    </row>
    <row r="289">
      <c r="A289" s="4" t="n">
        <v>20251015</v>
      </c>
      <c r="B289" s="5" t="n">
        <v>45945</v>
      </c>
      <c r="C289" t="n">
        <v>15</v>
      </c>
      <c r="D289" t="n">
        <v>10</v>
      </c>
      <c r="E289" t="inlineStr">
        <is>
          <t>October</t>
        </is>
      </c>
      <c r="F289" t="inlineStr">
        <is>
          <t>Q4</t>
        </is>
      </c>
      <c r="G289" t="n">
        <v>2025</v>
      </c>
      <c r="H289" t="n">
        <v>41</v>
      </c>
      <c r="I289" t="inlineStr">
        <is>
          <t>Wednesday</t>
        </is>
      </c>
      <c r="J289" t="inlineStr">
        <is>
          <t>No</t>
        </is>
      </c>
      <c r="K289" t="inlineStr">
        <is>
          <t>No</t>
        </is>
      </c>
      <c r="L289" t="inlineStr">
        <is>
          <t>Fall</t>
        </is>
      </c>
    </row>
    <row r="290">
      <c r="A290" s="4" t="n">
        <v>20251016</v>
      </c>
      <c r="B290" s="5" t="n">
        <v>45946</v>
      </c>
      <c r="C290" t="n">
        <v>16</v>
      </c>
      <c r="D290" t="n">
        <v>10</v>
      </c>
      <c r="E290" t="inlineStr">
        <is>
          <t>October</t>
        </is>
      </c>
      <c r="F290" t="inlineStr">
        <is>
          <t>Q4</t>
        </is>
      </c>
      <c r="G290" t="n">
        <v>2025</v>
      </c>
      <c r="H290" t="n">
        <v>41</v>
      </c>
      <c r="I290" t="inlineStr">
        <is>
          <t>Thursday</t>
        </is>
      </c>
      <c r="J290" t="inlineStr">
        <is>
          <t>No</t>
        </is>
      </c>
      <c r="K290" t="inlineStr">
        <is>
          <t>No</t>
        </is>
      </c>
      <c r="L290" t="inlineStr">
        <is>
          <t>Fall</t>
        </is>
      </c>
    </row>
    <row r="291">
      <c r="A291" s="4" t="n">
        <v>20251017</v>
      </c>
      <c r="B291" s="5" t="n">
        <v>45947</v>
      </c>
      <c r="C291" t="n">
        <v>17</v>
      </c>
      <c r="D291" t="n">
        <v>10</v>
      </c>
      <c r="E291" t="inlineStr">
        <is>
          <t>October</t>
        </is>
      </c>
      <c r="F291" t="inlineStr">
        <is>
          <t>Q4</t>
        </is>
      </c>
      <c r="G291" t="n">
        <v>2025</v>
      </c>
      <c r="H291" t="n">
        <v>41</v>
      </c>
      <c r="I291" t="inlineStr">
        <is>
          <t>Friday</t>
        </is>
      </c>
      <c r="J291" t="inlineStr">
        <is>
          <t>Yes</t>
        </is>
      </c>
      <c r="K291" t="inlineStr">
        <is>
          <t>No</t>
        </is>
      </c>
      <c r="L291" t="inlineStr">
        <is>
          <t>Fall</t>
        </is>
      </c>
    </row>
    <row r="292">
      <c r="A292" s="4" t="n">
        <v>20251018</v>
      </c>
      <c r="B292" s="5" t="n">
        <v>45948</v>
      </c>
      <c r="C292" t="n">
        <v>18</v>
      </c>
      <c r="D292" t="n">
        <v>10</v>
      </c>
      <c r="E292" t="inlineStr">
        <is>
          <t>October</t>
        </is>
      </c>
      <c r="F292" t="inlineStr">
        <is>
          <t>Q4</t>
        </is>
      </c>
      <c r="G292" t="n">
        <v>2025</v>
      </c>
      <c r="H292" t="n">
        <v>41</v>
      </c>
      <c r="I292" t="inlineStr">
        <is>
          <t>Saturday</t>
        </is>
      </c>
      <c r="J292" t="inlineStr">
        <is>
          <t>Yes</t>
        </is>
      </c>
      <c r="K292" t="inlineStr">
        <is>
          <t>No</t>
        </is>
      </c>
      <c r="L292" t="inlineStr">
        <is>
          <t>Fall</t>
        </is>
      </c>
    </row>
    <row r="293">
      <c r="A293" s="4" t="n">
        <v>20251019</v>
      </c>
      <c r="B293" s="5" t="n">
        <v>45949</v>
      </c>
      <c r="C293" t="n">
        <v>19</v>
      </c>
      <c r="D293" t="n">
        <v>10</v>
      </c>
      <c r="E293" t="inlineStr">
        <is>
          <t>October</t>
        </is>
      </c>
      <c r="F293" t="inlineStr">
        <is>
          <t>Q4</t>
        </is>
      </c>
      <c r="G293" t="n">
        <v>2025</v>
      </c>
      <c r="H293" t="n">
        <v>42</v>
      </c>
      <c r="I293" t="inlineStr">
        <is>
          <t>Sunday</t>
        </is>
      </c>
      <c r="J293" t="inlineStr">
        <is>
          <t>Yes</t>
        </is>
      </c>
      <c r="K293" t="inlineStr">
        <is>
          <t>No</t>
        </is>
      </c>
      <c r="L293" t="inlineStr">
        <is>
          <t>Fall</t>
        </is>
      </c>
    </row>
    <row r="294">
      <c r="A294" s="4" t="n">
        <v>20251020</v>
      </c>
      <c r="B294" s="5" t="n">
        <v>45950</v>
      </c>
      <c r="C294" t="n">
        <v>20</v>
      </c>
      <c r="D294" t="n">
        <v>10</v>
      </c>
      <c r="E294" t="inlineStr">
        <is>
          <t>October</t>
        </is>
      </c>
      <c r="F294" t="inlineStr">
        <is>
          <t>Q4</t>
        </is>
      </c>
      <c r="G294" t="n">
        <v>2025</v>
      </c>
      <c r="H294" t="n">
        <v>42</v>
      </c>
      <c r="I294" t="inlineStr">
        <is>
          <t>Monday</t>
        </is>
      </c>
      <c r="J294" t="inlineStr">
        <is>
          <t>No</t>
        </is>
      </c>
      <c r="K294" t="inlineStr">
        <is>
          <t>No</t>
        </is>
      </c>
      <c r="L294" t="inlineStr">
        <is>
          <t>Fall</t>
        </is>
      </c>
    </row>
    <row r="295">
      <c r="A295" s="4" t="n">
        <v>20251021</v>
      </c>
      <c r="B295" s="5" t="n">
        <v>45951</v>
      </c>
      <c r="C295" t="n">
        <v>21</v>
      </c>
      <c r="D295" t="n">
        <v>10</v>
      </c>
      <c r="E295" t="inlineStr">
        <is>
          <t>October</t>
        </is>
      </c>
      <c r="F295" t="inlineStr">
        <is>
          <t>Q4</t>
        </is>
      </c>
      <c r="G295" t="n">
        <v>2025</v>
      </c>
      <c r="H295" t="n">
        <v>42</v>
      </c>
      <c r="I295" t="inlineStr">
        <is>
          <t>Tuesday</t>
        </is>
      </c>
      <c r="J295" t="inlineStr">
        <is>
          <t>No</t>
        </is>
      </c>
      <c r="K295" t="inlineStr">
        <is>
          <t>No</t>
        </is>
      </c>
      <c r="L295" t="inlineStr">
        <is>
          <t>Fall</t>
        </is>
      </c>
    </row>
    <row r="296">
      <c r="A296" s="4" t="n">
        <v>20251022</v>
      </c>
      <c r="B296" s="5" t="n">
        <v>45952</v>
      </c>
      <c r="C296" t="n">
        <v>22</v>
      </c>
      <c r="D296" t="n">
        <v>10</v>
      </c>
      <c r="E296" t="inlineStr">
        <is>
          <t>October</t>
        </is>
      </c>
      <c r="F296" t="inlineStr">
        <is>
          <t>Q4</t>
        </is>
      </c>
      <c r="G296" t="n">
        <v>2025</v>
      </c>
      <c r="H296" t="n">
        <v>42</v>
      </c>
      <c r="I296" t="inlineStr">
        <is>
          <t>Wednesday</t>
        </is>
      </c>
      <c r="J296" t="inlineStr">
        <is>
          <t>No</t>
        </is>
      </c>
      <c r="K296" t="inlineStr">
        <is>
          <t>No</t>
        </is>
      </c>
      <c r="L296" t="inlineStr">
        <is>
          <t>Fall</t>
        </is>
      </c>
    </row>
    <row r="297">
      <c r="A297" s="4" t="n">
        <v>20251023</v>
      </c>
      <c r="B297" s="5" t="n">
        <v>45953</v>
      </c>
      <c r="C297" t="n">
        <v>23</v>
      </c>
      <c r="D297" t="n">
        <v>10</v>
      </c>
      <c r="E297" t="inlineStr">
        <is>
          <t>October</t>
        </is>
      </c>
      <c r="F297" t="inlineStr">
        <is>
          <t>Q4</t>
        </is>
      </c>
      <c r="G297" t="n">
        <v>2025</v>
      </c>
      <c r="H297" t="n">
        <v>42</v>
      </c>
      <c r="I297" t="inlineStr">
        <is>
          <t>Thursday</t>
        </is>
      </c>
      <c r="J297" t="inlineStr">
        <is>
          <t>No</t>
        </is>
      </c>
      <c r="K297" t="inlineStr">
        <is>
          <t>No</t>
        </is>
      </c>
      <c r="L297" t="inlineStr">
        <is>
          <t>Fall</t>
        </is>
      </c>
    </row>
    <row r="298">
      <c r="A298" s="4" t="n">
        <v>20251024</v>
      </c>
      <c r="B298" s="5" t="n">
        <v>45954</v>
      </c>
      <c r="C298" t="n">
        <v>24</v>
      </c>
      <c r="D298" t="n">
        <v>10</v>
      </c>
      <c r="E298" t="inlineStr">
        <is>
          <t>October</t>
        </is>
      </c>
      <c r="F298" t="inlineStr">
        <is>
          <t>Q4</t>
        </is>
      </c>
      <c r="G298" t="n">
        <v>2025</v>
      </c>
      <c r="H298" t="n">
        <v>42</v>
      </c>
      <c r="I298" t="inlineStr">
        <is>
          <t>Friday</t>
        </is>
      </c>
      <c r="J298" t="inlineStr">
        <is>
          <t>Yes</t>
        </is>
      </c>
      <c r="K298" t="inlineStr">
        <is>
          <t>No</t>
        </is>
      </c>
      <c r="L298" t="inlineStr">
        <is>
          <t>Fall</t>
        </is>
      </c>
    </row>
    <row r="299">
      <c r="A299" s="4" t="n">
        <v>20251025</v>
      </c>
      <c r="B299" s="5" t="n">
        <v>45955</v>
      </c>
      <c r="C299" t="n">
        <v>25</v>
      </c>
      <c r="D299" t="n">
        <v>10</v>
      </c>
      <c r="E299" t="inlineStr">
        <is>
          <t>October</t>
        </is>
      </c>
      <c r="F299" t="inlineStr">
        <is>
          <t>Q4</t>
        </is>
      </c>
      <c r="G299" t="n">
        <v>2025</v>
      </c>
      <c r="H299" t="n">
        <v>42</v>
      </c>
      <c r="I299" t="inlineStr">
        <is>
          <t>Saturday</t>
        </is>
      </c>
      <c r="J299" t="inlineStr">
        <is>
          <t>Yes</t>
        </is>
      </c>
      <c r="K299" t="inlineStr">
        <is>
          <t>No</t>
        </is>
      </c>
      <c r="L299" t="inlineStr">
        <is>
          <t>Fall</t>
        </is>
      </c>
    </row>
    <row r="300">
      <c r="A300" s="4" t="n">
        <v>20251026</v>
      </c>
      <c r="B300" s="5" t="n">
        <v>45956</v>
      </c>
      <c r="C300" t="n">
        <v>26</v>
      </c>
      <c r="D300" t="n">
        <v>10</v>
      </c>
      <c r="E300" t="inlineStr">
        <is>
          <t>October</t>
        </is>
      </c>
      <c r="F300" t="inlineStr">
        <is>
          <t>Q4</t>
        </is>
      </c>
      <c r="G300" t="n">
        <v>2025</v>
      </c>
      <c r="H300" t="n">
        <v>43</v>
      </c>
      <c r="I300" t="inlineStr">
        <is>
          <t>Sunday</t>
        </is>
      </c>
      <c r="J300" t="inlineStr">
        <is>
          <t>Yes</t>
        </is>
      </c>
      <c r="K300" t="inlineStr">
        <is>
          <t>No</t>
        </is>
      </c>
      <c r="L300" t="inlineStr">
        <is>
          <t>Fall</t>
        </is>
      </c>
    </row>
    <row r="301">
      <c r="A301" s="4" t="n">
        <v>20251027</v>
      </c>
      <c r="B301" s="5" t="n">
        <v>45957</v>
      </c>
      <c r="C301" t="n">
        <v>27</v>
      </c>
      <c r="D301" t="n">
        <v>10</v>
      </c>
      <c r="E301" t="inlineStr">
        <is>
          <t>October</t>
        </is>
      </c>
      <c r="F301" t="inlineStr">
        <is>
          <t>Q4</t>
        </is>
      </c>
      <c r="G301" t="n">
        <v>2025</v>
      </c>
      <c r="H301" t="n">
        <v>43</v>
      </c>
      <c r="I301" t="inlineStr">
        <is>
          <t>Monday</t>
        </is>
      </c>
      <c r="J301" t="inlineStr">
        <is>
          <t>No</t>
        </is>
      </c>
      <c r="K301" t="inlineStr">
        <is>
          <t>No</t>
        </is>
      </c>
      <c r="L301" t="inlineStr">
        <is>
          <t>Fall</t>
        </is>
      </c>
    </row>
    <row r="302">
      <c r="A302" s="4" t="n">
        <v>20251028</v>
      </c>
      <c r="B302" s="5" t="n">
        <v>45958</v>
      </c>
      <c r="C302" t="n">
        <v>28</v>
      </c>
      <c r="D302" t="n">
        <v>10</v>
      </c>
      <c r="E302" t="inlineStr">
        <is>
          <t>October</t>
        </is>
      </c>
      <c r="F302" t="inlineStr">
        <is>
          <t>Q4</t>
        </is>
      </c>
      <c r="G302" t="n">
        <v>2025</v>
      </c>
      <c r="H302" t="n">
        <v>43</v>
      </c>
      <c r="I302" t="inlineStr">
        <is>
          <t>Tuesday</t>
        </is>
      </c>
      <c r="J302" t="inlineStr">
        <is>
          <t>No</t>
        </is>
      </c>
      <c r="K302" t="inlineStr">
        <is>
          <t>No</t>
        </is>
      </c>
      <c r="L302" t="inlineStr">
        <is>
          <t>Fall</t>
        </is>
      </c>
    </row>
    <row r="303">
      <c r="A303" s="4" t="n">
        <v>20251029</v>
      </c>
      <c r="B303" s="5" t="n">
        <v>45959</v>
      </c>
      <c r="C303" t="n">
        <v>29</v>
      </c>
      <c r="D303" t="n">
        <v>10</v>
      </c>
      <c r="E303" t="inlineStr">
        <is>
          <t>October</t>
        </is>
      </c>
      <c r="F303" t="inlineStr">
        <is>
          <t>Q4</t>
        </is>
      </c>
      <c r="G303" t="n">
        <v>2025</v>
      </c>
      <c r="H303" t="n">
        <v>43</v>
      </c>
      <c r="I303" t="inlineStr">
        <is>
          <t>Wednesday</t>
        </is>
      </c>
      <c r="J303" t="inlineStr">
        <is>
          <t>No</t>
        </is>
      </c>
      <c r="K303" t="inlineStr">
        <is>
          <t>No</t>
        </is>
      </c>
      <c r="L303" t="inlineStr">
        <is>
          <t>Fall</t>
        </is>
      </c>
    </row>
    <row r="304">
      <c r="A304" s="4" t="n">
        <v>20251030</v>
      </c>
      <c r="B304" s="5" t="n">
        <v>45960</v>
      </c>
      <c r="C304" t="n">
        <v>30</v>
      </c>
      <c r="D304" t="n">
        <v>10</v>
      </c>
      <c r="E304" t="inlineStr">
        <is>
          <t>October</t>
        </is>
      </c>
      <c r="F304" t="inlineStr">
        <is>
          <t>Q4</t>
        </is>
      </c>
      <c r="G304" t="n">
        <v>2025</v>
      </c>
      <c r="H304" t="n">
        <v>43</v>
      </c>
      <c r="I304" t="inlineStr">
        <is>
          <t>Thursday</t>
        </is>
      </c>
      <c r="J304" t="inlineStr">
        <is>
          <t>No</t>
        </is>
      </c>
      <c r="K304" t="inlineStr">
        <is>
          <t>No</t>
        </is>
      </c>
      <c r="L304" t="inlineStr">
        <is>
          <t>Fall</t>
        </is>
      </c>
    </row>
    <row r="305">
      <c r="A305" s="4" t="n">
        <v>20251031</v>
      </c>
      <c r="B305" s="5" t="n">
        <v>45961</v>
      </c>
      <c r="C305" t="n">
        <v>31</v>
      </c>
      <c r="D305" t="n">
        <v>10</v>
      </c>
      <c r="E305" t="inlineStr">
        <is>
          <t>October</t>
        </is>
      </c>
      <c r="F305" t="inlineStr">
        <is>
          <t>Q4</t>
        </is>
      </c>
      <c r="G305" t="n">
        <v>2025</v>
      </c>
      <c r="H305" t="n">
        <v>43</v>
      </c>
      <c r="I305" t="inlineStr">
        <is>
          <t>Friday</t>
        </is>
      </c>
      <c r="J305" t="inlineStr">
        <is>
          <t>Yes</t>
        </is>
      </c>
      <c r="K305" t="inlineStr">
        <is>
          <t>No</t>
        </is>
      </c>
      <c r="L305" t="inlineStr">
        <is>
          <t>Fall</t>
        </is>
      </c>
    </row>
    <row r="306">
      <c r="A306" s="4" t="n">
        <v>20251101</v>
      </c>
      <c r="B306" s="5" t="n">
        <v>45962</v>
      </c>
      <c r="C306" t="n">
        <v>1</v>
      </c>
      <c r="D306" t="n">
        <v>11</v>
      </c>
      <c r="E306" t="inlineStr">
        <is>
          <t>November</t>
        </is>
      </c>
      <c r="F306" t="inlineStr">
        <is>
          <t>Q4</t>
        </is>
      </c>
      <c r="G306" t="n">
        <v>2025</v>
      </c>
      <c r="H306" t="n">
        <v>43</v>
      </c>
      <c r="I306" t="inlineStr">
        <is>
          <t>Saturday</t>
        </is>
      </c>
      <c r="J306" t="inlineStr">
        <is>
          <t>Yes</t>
        </is>
      </c>
      <c r="K306" t="inlineStr">
        <is>
          <t>No</t>
        </is>
      </c>
      <c r="L306" t="inlineStr">
        <is>
          <t>Fall</t>
        </is>
      </c>
    </row>
    <row r="307">
      <c r="A307" s="4" t="n">
        <v>20251102</v>
      </c>
      <c r="B307" s="5" t="n">
        <v>45963</v>
      </c>
      <c r="C307" t="n">
        <v>2</v>
      </c>
      <c r="D307" t="n">
        <v>11</v>
      </c>
      <c r="E307" t="inlineStr">
        <is>
          <t>November</t>
        </is>
      </c>
      <c r="F307" t="inlineStr">
        <is>
          <t>Q4</t>
        </is>
      </c>
      <c r="G307" t="n">
        <v>2025</v>
      </c>
      <c r="H307" t="n">
        <v>44</v>
      </c>
      <c r="I307" t="inlineStr">
        <is>
          <t>Sunday</t>
        </is>
      </c>
      <c r="J307" t="inlineStr">
        <is>
          <t>Yes</t>
        </is>
      </c>
      <c r="K307" t="inlineStr">
        <is>
          <t>No</t>
        </is>
      </c>
      <c r="L307" t="inlineStr">
        <is>
          <t>Fall</t>
        </is>
      </c>
    </row>
    <row r="308">
      <c r="A308" s="4" t="n">
        <v>20251103</v>
      </c>
      <c r="B308" s="5" t="n">
        <v>45964</v>
      </c>
      <c r="C308" t="n">
        <v>3</v>
      </c>
      <c r="D308" t="n">
        <v>11</v>
      </c>
      <c r="E308" t="inlineStr">
        <is>
          <t>November</t>
        </is>
      </c>
      <c r="F308" t="inlineStr">
        <is>
          <t>Q4</t>
        </is>
      </c>
      <c r="G308" t="n">
        <v>2025</v>
      </c>
      <c r="H308" t="n">
        <v>44</v>
      </c>
      <c r="I308" t="inlineStr">
        <is>
          <t>Monday</t>
        </is>
      </c>
      <c r="J308" t="inlineStr">
        <is>
          <t>No</t>
        </is>
      </c>
      <c r="K308" t="inlineStr">
        <is>
          <t>No</t>
        </is>
      </c>
      <c r="L308" t="inlineStr">
        <is>
          <t>Fall</t>
        </is>
      </c>
    </row>
    <row r="309">
      <c r="A309" s="4" t="n">
        <v>20251104</v>
      </c>
      <c r="B309" s="5" t="n">
        <v>45965</v>
      </c>
      <c r="C309" t="n">
        <v>4</v>
      </c>
      <c r="D309" t="n">
        <v>11</v>
      </c>
      <c r="E309" t="inlineStr">
        <is>
          <t>November</t>
        </is>
      </c>
      <c r="F309" t="inlineStr">
        <is>
          <t>Q4</t>
        </is>
      </c>
      <c r="G309" t="n">
        <v>2025</v>
      </c>
      <c r="H309" t="n">
        <v>44</v>
      </c>
      <c r="I309" t="inlineStr">
        <is>
          <t>Tuesday</t>
        </is>
      </c>
      <c r="J309" t="inlineStr">
        <is>
          <t>No</t>
        </is>
      </c>
      <c r="K309" t="inlineStr">
        <is>
          <t>No</t>
        </is>
      </c>
      <c r="L309" t="inlineStr">
        <is>
          <t>Fall</t>
        </is>
      </c>
    </row>
    <row r="310">
      <c r="A310" s="4" t="n">
        <v>20251105</v>
      </c>
      <c r="B310" s="5" t="n">
        <v>45966</v>
      </c>
      <c r="C310" t="n">
        <v>5</v>
      </c>
      <c r="D310" t="n">
        <v>11</v>
      </c>
      <c r="E310" t="inlineStr">
        <is>
          <t>November</t>
        </is>
      </c>
      <c r="F310" t="inlineStr">
        <is>
          <t>Q4</t>
        </is>
      </c>
      <c r="G310" t="n">
        <v>2025</v>
      </c>
      <c r="H310" t="n">
        <v>44</v>
      </c>
      <c r="I310" t="inlineStr">
        <is>
          <t>Wednesday</t>
        </is>
      </c>
      <c r="J310" t="inlineStr">
        <is>
          <t>No</t>
        </is>
      </c>
      <c r="K310" t="inlineStr">
        <is>
          <t>No</t>
        </is>
      </c>
      <c r="L310" t="inlineStr">
        <is>
          <t>Fall</t>
        </is>
      </c>
    </row>
    <row r="311">
      <c r="A311" s="4" t="n">
        <v>20251106</v>
      </c>
      <c r="B311" s="5" t="n">
        <v>45967</v>
      </c>
      <c r="C311" t="n">
        <v>6</v>
      </c>
      <c r="D311" t="n">
        <v>11</v>
      </c>
      <c r="E311" t="inlineStr">
        <is>
          <t>November</t>
        </is>
      </c>
      <c r="F311" t="inlineStr">
        <is>
          <t>Q4</t>
        </is>
      </c>
      <c r="G311" t="n">
        <v>2025</v>
      </c>
      <c r="H311" t="n">
        <v>44</v>
      </c>
      <c r="I311" t="inlineStr">
        <is>
          <t>Thursday</t>
        </is>
      </c>
      <c r="J311" t="inlineStr">
        <is>
          <t>No</t>
        </is>
      </c>
      <c r="K311" t="inlineStr">
        <is>
          <t>No</t>
        </is>
      </c>
      <c r="L311" t="inlineStr">
        <is>
          <t>Fall</t>
        </is>
      </c>
    </row>
    <row r="312">
      <c r="A312" s="4" t="n">
        <v>20251107</v>
      </c>
      <c r="B312" s="5" t="n">
        <v>45968</v>
      </c>
      <c r="C312" t="n">
        <v>7</v>
      </c>
      <c r="D312" t="n">
        <v>11</v>
      </c>
      <c r="E312" t="inlineStr">
        <is>
          <t>November</t>
        </is>
      </c>
      <c r="F312" t="inlineStr">
        <is>
          <t>Q4</t>
        </is>
      </c>
      <c r="G312" t="n">
        <v>2025</v>
      </c>
      <c r="H312" t="n">
        <v>44</v>
      </c>
      <c r="I312" t="inlineStr">
        <is>
          <t>Friday</t>
        </is>
      </c>
      <c r="J312" t="inlineStr">
        <is>
          <t>Yes</t>
        </is>
      </c>
      <c r="K312" t="inlineStr">
        <is>
          <t>No</t>
        </is>
      </c>
      <c r="L312" t="inlineStr">
        <is>
          <t>Fall</t>
        </is>
      </c>
    </row>
    <row r="313">
      <c r="A313" s="4" t="n">
        <v>20251108</v>
      </c>
      <c r="B313" s="5" t="n">
        <v>45969</v>
      </c>
      <c r="C313" t="n">
        <v>8</v>
      </c>
      <c r="D313" t="n">
        <v>11</v>
      </c>
      <c r="E313" t="inlineStr">
        <is>
          <t>November</t>
        </is>
      </c>
      <c r="F313" t="inlineStr">
        <is>
          <t>Q4</t>
        </is>
      </c>
      <c r="G313" t="n">
        <v>2025</v>
      </c>
      <c r="H313" t="n">
        <v>44</v>
      </c>
      <c r="I313" t="inlineStr">
        <is>
          <t>Saturday</t>
        </is>
      </c>
      <c r="J313" t="inlineStr">
        <is>
          <t>Yes</t>
        </is>
      </c>
      <c r="K313" t="inlineStr">
        <is>
          <t>No</t>
        </is>
      </c>
      <c r="L313" t="inlineStr">
        <is>
          <t>Fall</t>
        </is>
      </c>
    </row>
    <row r="314">
      <c r="A314" s="4" t="n">
        <v>20251109</v>
      </c>
      <c r="B314" s="5" t="n">
        <v>45970</v>
      </c>
      <c r="C314" t="n">
        <v>9</v>
      </c>
      <c r="D314" t="n">
        <v>11</v>
      </c>
      <c r="E314" t="inlineStr">
        <is>
          <t>November</t>
        </is>
      </c>
      <c r="F314" t="inlineStr">
        <is>
          <t>Q4</t>
        </is>
      </c>
      <c r="G314" t="n">
        <v>2025</v>
      </c>
      <c r="H314" t="n">
        <v>45</v>
      </c>
      <c r="I314" t="inlineStr">
        <is>
          <t>Sunday</t>
        </is>
      </c>
      <c r="J314" t="inlineStr">
        <is>
          <t>Yes</t>
        </is>
      </c>
      <c r="K314" t="inlineStr">
        <is>
          <t>No</t>
        </is>
      </c>
      <c r="L314" t="inlineStr">
        <is>
          <t>Fall</t>
        </is>
      </c>
    </row>
    <row r="315">
      <c r="A315" s="4" t="n">
        <v>20251110</v>
      </c>
      <c r="B315" s="5" t="n">
        <v>45971</v>
      </c>
      <c r="C315" t="n">
        <v>10</v>
      </c>
      <c r="D315" t="n">
        <v>11</v>
      </c>
      <c r="E315" t="inlineStr">
        <is>
          <t>November</t>
        </is>
      </c>
      <c r="F315" t="inlineStr">
        <is>
          <t>Q4</t>
        </is>
      </c>
      <c r="G315" t="n">
        <v>2025</v>
      </c>
      <c r="H315" t="n">
        <v>45</v>
      </c>
      <c r="I315" t="inlineStr">
        <is>
          <t>Monday</t>
        </is>
      </c>
      <c r="J315" t="inlineStr">
        <is>
          <t>No</t>
        </is>
      </c>
      <c r="K315" t="inlineStr">
        <is>
          <t>No</t>
        </is>
      </c>
      <c r="L315" t="inlineStr">
        <is>
          <t>Fall</t>
        </is>
      </c>
    </row>
    <row r="316">
      <c r="A316" s="4" t="n">
        <v>20251111</v>
      </c>
      <c r="B316" s="5" t="n">
        <v>45972</v>
      </c>
      <c r="C316" t="n">
        <v>11</v>
      </c>
      <c r="D316" t="n">
        <v>11</v>
      </c>
      <c r="E316" t="inlineStr">
        <is>
          <t>November</t>
        </is>
      </c>
      <c r="F316" t="inlineStr">
        <is>
          <t>Q4</t>
        </is>
      </c>
      <c r="G316" t="n">
        <v>2025</v>
      </c>
      <c r="H316" t="n">
        <v>45</v>
      </c>
      <c r="I316" t="inlineStr">
        <is>
          <t>Tuesday</t>
        </is>
      </c>
      <c r="J316" t="inlineStr">
        <is>
          <t>No</t>
        </is>
      </c>
      <c r="K316" t="inlineStr">
        <is>
          <t>No</t>
        </is>
      </c>
      <c r="L316" t="inlineStr">
        <is>
          <t>Fall</t>
        </is>
      </c>
    </row>
    <row r="317">
      <c r="A317" s="4" t="n">
        <v>20251112</v>
      </c>
      <c r="B317" s="5" t="n">
        <v>45973</v>
      </c>
      <c r="C317" t="n">
        <v>12</v>
      </c>
      <c r="D317" t="n">
        <v>11</v>
      </c>
      <c r="E317" t="inlineStr">
        <is>
          <t>November</t>
        </is>
      </c>
      <c r="F317" t="inlineStr">
        <is>
          <t>Q4</t>
        </is>
      </c>
      <c r="G317" t="n">
        <v>2025</v>
      </c>
      <c r="H317" t="n">
        <v>45</v>
      </c>
      <c r="I317" t="inlineStr">
        <is>
          <t>Wednesday</t>
        </is>
      </c>
      <c r="J317" t="inlineStr">
        <is>
          <t>No</t>
        </is>
      </c>
      <c r="K317" t="inlineStr">
        <is>
          <t>No</t>
        </is>
      </c>
      <c r="L317" t="inlineStr">
        <is>
          <t>Fall</t>
        </is>
      </c>
    </row>
    <row r="318">
      <c r="A318" s="4" t="n">
        <v>20251113</v>
      </c>
      <c r="B318" s="5" t="n">
        <v>45974</v>
      </c>
      <c r="C318" t="n">
        <v>13</v>
      </c>
      <c r="D318" t="n">
        <v>11</v>
      </c>
      <c r="E318" t="inlineStr">
        <is>
          <t>November</t>
        </is>
      </c>
      <c r="F318" t="inlineStr">
        <is>
          <t>Q4</t>
        </is>
      </c>
      <c r="G318" t="n">
        <v>2025</v>
      </c>
      <c r="H318" t="n">
        <v>45</v>
      </c>
      <c r="I318" t="inlineStr">
        <is>
          <t>Thursday</t>
        </is>
      </c>
      <c r="J318" t="inlineStr">
        <is>
          <t>No</t>
        </is>
      </c>
      <c r="K318" t="inlineStr">
        <is>
          <t>No</t>
        </is>
      </c>
      <c r="L318" t="inlineStr">
        <is>
          <t>Fall</t>
        </is>
      </c>
    </row>
    <row r="319">
      <c r="A319" s="4" t="n">
        <v>20251114</v>
      </c>
      <c r="B319" s="5" t="n">
        <v>45975</v>
      </c>
      <c r="C319" t="n">
        <v>14</v>
      </c>
      <c r="D319" t="n">
        <v>11</v>
      </c>
      <c r="E319" t="inlineStr">
        <is>
          <t>November</t>
        </is>
      </c>
      <c r="F319" t="inlineStr">
        <is>
          <t>Q4</t>
        </is>
      </c>
      <c r="G319" t="n">
        <v>2025</v>
      </c>
      <c r="H319" t="n">
        <v>45</v>
      </c>
      <c r="I319" t="inlineStr">
        <is>
          <t>Friday</t>
        </is>
      </c>
      <c r="J319" t="inlineStr">
        <is>
          <t>Yes</t>
        </is>
      </c>
      <c r="K319" t="inlineStr">
        <is>
          <t>No</t>
        </is>
      </c>
      <c r="L319" t="inlineStr">
        <is>
          <t>Fall</t>
        </is>
      </c>
    </row>
    <row r="320">
      <c r="A320" s="4" t="n">
        <v>20251115</v>
      </c>
      <c r="B320" s="5" t="n">
        <v>45976</v>
      </c>
      <c r="C320" t="n">
        <v>15</v>
      </c>
      <c r="D320" t="n">
        <v>11</v>
      </c>
      <c r="E320" t="inlineStr">
        <is>
          <t>November</t>
        </is>
      </c>
      <c r="F320" t="inlineStr">
        <is>
          <t>Q4</t>
        </is>
      </c>
      <c r="G320" t="n">
        <v>2025</v>
      </c>
      <c r="H320" t="n">
        <v>45</v>
      </c>
      <c r="I320" t="inlineStr">
        <is>
          <t>Saturday</t>
        </is>
      </c>
      <c r="J320" t="inlineStr">
        <is>
          <t>Yes</t>
        </is>
      </c>
      <c r="K320" t="inlineStr">
        <is>
          <t>No</t>
        </is>
      </c>
      <c r="L320" t="inlineStr">
        <is>
          <t>Fall</t>
        </is>
      </c>
    </row>
    <row r="321">
      <c r="A321" s="4" t="n">
        <v>20251116</v>
      </c>
      <c r="B321" s="5" t="n">
        <v>45977</v>
      </c>
      <c r="C321" t="n">
        <v>16</v>
      </c>
      <c r="D321" t="n">
        <v>11</v>
      </c>
      <c r="E321" t="inlineStr">
        <is>
          <t>November</t>
        </is>
      </c>
      <c r="F321" t="inlineStr">
        <is>
          <t>Q4</t>
        </is>
      </c>
      <c r="G321" t="n">
        <v>2025</v>
      </c>
      <c r="H321" t="n">
        <v>46</v>
      </c>
      <c r="I321" t="inlineStr">
        <is>
          <t>Sunday</t>
        </is>
      </c>
      <c r="J321" t="inlineStr">
        <is>
          <t>Yes</t>
        </is>
      </c>
      <c r="K321" t="inlineStr">
        <is>
          <t>No</t>
        </is>
      </c>
      <c r="L321" t="inlineStr">
        <is>
          <t>Fall</t>
        </is>
      </c>
    </row>
    <row r="322">
      <c r="A322" s="4" t="n">
        <v>20251117</v>
      </c>
      <c r="B322" s="5" t="n">
        <v>45978</v>
      </c>
      <c r="C322" t="n">
        <v>17</v>
      </c>
      <c r="D322" t="n">
        <v>11</v>
      </c>
      <c r="E322" t="inlineStr">
        <is>
          <t>November</t>
        </is>
      </c>
      <c r="F322" t="inlineStr">
        <is>
          <t>Q4</t>
        </is>
      </c>
      <c r="G322" t="n">
        <v>2025</v>
      </c>
      <c r="H322" t="n">
        <v>46</v>
      </c>
      <c r="I322" t="inlineStr">
        <is>
          <t>Monday</t>
        </is>
      </c>
      <c r="J322" t="inlineStr">
        <is>
          <t>No</t>
        </is>
      </c>
      <c r="K322" t="inlineStr">
        <is>
          <t>No</t>
        </is>
      </c>
      <c r="L322" t="inlineStr">
        <is>
          <t>Fall</t>
        </is>
      </c>
    </row>
    <row r="323">
      <c r="A323" s="4" t="n">
        <v>20251118</v>
      </c>
      <c r="B323" s="5" t="n">
        <v>45979</v>
      </c>
      <c r="C323" t="n">
        <v>18</v>
      </c>
      <c r="D323" t="n">
        <v>11</v>
      </c>
      <c r="E323" t="inlineStr">
        <is>
          <t>November</t>
        </is>
      </c>
      <c r="F323" t="inlineStr">
        <is>
          <t>Q4</t>
        </is>
      </c>
      <c r="G323" t="n">
        <v>2025</v>
      </c>
      <c r="H323" t="n">
        <v>46</v>
      </c>
      <c r="I323" t="inlineStr">
        <is>
          <t>Tuesday</t>
        </is>
      </c>
      <c r="J323" t="inlineStr">
        <is>
          <t>No</t>
        </is>
      </c>
      <c r="K323" t="inlineStr">
        <is>
          <t>No</t>
        </is>
      </c>
      <c r="L323" t="inlineStr">
        <is>
          <t>Fall</t>
        </is>
      </c>
    </row>
    <row r="324">
      <c r="A324" s="4" t="n">
        <v>20251119</v>
      </c>
      <c r="B324" s="5" t="n">
        <v>45980</v>
      </c>
      <c r="C324" t="n">
        <v>19</v>
      </c>
      <c r="D324" t="n">
        <v>11</v>
      </c>
      <c r="E324" t="inlineStr">
        <is>
          <t>November</t>
        </is>
      </c>
      <c r="F324" t="inlineStr">
        <is>
          <t>Q4</t>
        </is>
      </c>
      <c r="G324" t="n">
        <v>2025</v>
      </c>
      <c r="H324" t="n">
        <v>46</v>
      </c>
      <c r="I324" t="inlineStr">
        <is>
          <t>Wednesday</t>
        </is>
      </c>
      <c r="J324" t="inlineStr">
        <is>
          <t>No</t>
        </is>
      </c>
      <c r="K324" t="inlineStr">
        <is>
          <t>No</t>
        </is>
      </c>
      <c r="L324" t="inlineStr">
        <is>
          <t>Fall</t>
        </is>
      </c>
    </row>
    <row r="325">
      <c r="A325" s="4" t="n">
        <v>20251120</v>
      </c>
      <c r="B325" s="5" t="n">
        <v>45981</v>
      </c>
      <c r="C325" t="n">
        <v>20</v>
      </c>
      <c r="D325" t="n">
        <v>11</v>
      </c>
      <c r="E325" t="inlineStr">
        <is>
          <t>November</t>
        </is>
      </c>
      <c r="F325" t="inlineStr">
        <is>
          <t>Q4</t>
        </is>
      </c>
      <c r="G325" t="n">
        <v>2025</v>
      </c>
      <c r="H325" t="n">
        <v>46</v>
      </c>
      <c r="I325" t="inlineStr">
        <is>
          <t>Thursday</t>
        </is>
      </c>
      <c r="J325" t="inlineStr">
        <is>
          <t>No</t>
        </is>
      </c>
      <c r="K325" t="inlineStr">
        <is>
          <t>No</t>
        </is>
      </c>
      <c r="L325" t="inlineStr">
        <is>
          <t>Fall</t>
        </is>
      </c>
    </row>
    <row r="326">
      <c r="A326" s="4" t="n">
        <v>20251121</v>
      </c>
      <c r="B326" s="5" t="n">
        <v>45982</v>
      </c>
      <c r="C326" t="n">
        <v>21</v>
      </c>
      <c r="D326" t="n">
        <v>11</v>
      </c>
      <c r="E326" t="inlineStr">
        <is>
          <t>November</t>
        </is>
      </c>
      <c r="F326" t="inlineStr">
        <is>
          <t>Q4</t>
        </is>
      </c>
      <c r="G326" t="n">
        <v>2025</v>
      </c>
      <c r="H326" t="n">
        <v>46</v>
      </c>
      <c r="I326" t="inlineStr">
        <is>
          <t>Friday</t>
        </is>
      </c>
      <c r="J326" t="inlineStr">
        <is>
          <t>Yes</t>
        </is>
      </c>
      <c r="K326" t="inlineStr">
        <is>
          <t>No</t>
        </is>
      </c>
      <c r="L326" t="inlineStr">
        <is>
          <t>Fall</t>
        </is>
      </c>
    </row>
    <row r="327">
      <c r="A327" s="4" t="n">
        <v>20251122</v>
      </c>
      <c r="B327" s="5" t="n">
        <v>45983</v>
      </c>
      <c r="C327" t="n">
        <v>22</v>
      </c>
      <c r="D327" t="n">
        <v>11</v>
      </c>
      <c r="E327" t="inlineStr">
        <is>
          <t>November</t>
        </is>
      </c>
      <c r="F327" t="inlineStr">
        <is>
          <t>Q4</t>
        </is>
      </c>
      <c r="G327" t="n">
        <v>2025</v>
      </c>
      <c r="H327" t="n">
        <v>46</v>
      </c>
      <c r="I327" t="inlineStr">
        <is>
          <t>Saturday</t>
        </is>
      </c>
      <c r="J327" t="inlineStr">
        <is>
          <t>Yes</t>
        </is>
      </c>
      <c r="K327" t="inlineStr">
        <is>
          <t>No</t>
        </is>
      </c>
      <c r="L327" t="inlineStr">
        <is>
          <t>Fall</t>
        </is>
      </c>
    </row>
    <row r="328">
      <c r="A328" s="4" t="n">
        <v>20251123</v>
      </c>
      <c r="B328" s="5" t="n">
        <v>45984</v>
      </c>
      <c r="C328" t="n">
        <v>23</v>
      </c>
      <c r="D328" t="n">
        <v>11</v>
      </c>
      <c r="E328" t="inlineStr">
        <is>
          <t>November</t>
        </is>
      </c>
      <c r="F328" t="inlineStr">
        <is>
          <t>Q4</t>
        </is>
      </c>
      <c r="G328" t="n">
        <v>2025</v>
      </c>
      <c r="H328" t="n">
        <v>47</v>
      </c>
      <c r="I328" t="inlineStr">
        <is>
          <t>Sunday</t>
        </is>
      </c>
      <c r="J328" t="inlineStr">
        <is>
          <t>Yes</t>
        </is>
      </c>
      <c r="K328" t="inlineStr">
        <is>
          <t>No</t>
        </is>
      </c>
      <c r="L328" t="inlineStr">
        <is>
          <t>Fall</t>
        </is>
      </c>
    </row>
    <row r="329">
      <c r="A329" s="4" t="n">
        <v>20251124</v>
      </c>
      <c r="B329" s="5" t="n">
        <v>45985</v>
      </c>
      <c r="C329" t="n">
        <v>24</v>
      </c>
      <c r="D329" t="n">
        <v>11</v>
      </c>
      <c r="E329" t="inlineStr">
        <is>
          <t>November</t>
        </is>
      </c>
      <c r="F329" t="inlineStr">
        <is>
          <t>Q4</t>
        </is>
      </c>
      <c r="G329" t="n">
        <v>2025</v>
      </c>
      <c r="H329" t="n">
        <v>47</v>
      </c>
      <c r="I329" t="inlineStr">
        <is>
          <t>Monday</t>
        </is>
      </c>
      <c r="J329" t="inlineStr">
        <is>
          <t>No</t>
        </is>
      </c>
      <c r="K329" t="inlineStr">
        <is>
          <t>No</t>
        </is>
      </c>
      <c r="L329" t="inlineStr">
        <is>
          <t>Fall</t>
        </is>
      </c>
    </row>
    <row r="330">
      <c r="A330" s="4" t="n">
        <v>20251125</v>
      </c>
      <c r="B330" s="5" t="n">
        <v>45986</v>
      </c>
      <c r="C330" t="n">
        <v>25</v>
      </c>
      <c r="D330" t="n">
        <v>11</v>
      </c>
      <c r="E330" t="inlineStr">
        <is>
          <t>November</t>
        </is>
      </c>
      <c r="F330" t="inlineStr">
        <is>
          <t>Q4</t>
        </is>
      </c>
      <c r="G330" t="n">
        <v>2025</v>
      </c>
      <c r="H330" t="n">
        <v>47</v>
      </c>
      <c r="I330" t="inlineStr">
        <is>
          <t>Tuesday</t>
        </is>
      </c>
      <c r="J330" t="inlineStr">
        <is>
          <t>No</t>
        </is>
      </c>
      <c r="K330" t="inlineStr">
        <is>
          <t>No</t>
        </is>
      </c>
      <c r="L330" t="inlineStr">
        <is>
          <t>Fall</t>
        </is>
      </c>
    </row>
    <row r="331">
      <c r="A331" s="4" t="n">
        <v>20251126</v>
      </c>
      <c r="B331" s="5" t="n">
        <v>45987</v>
      </c>
      <c r="C331" t="n">
        <v>26</v>
      </c>
      <c r="D331" t="n">
        <v>11</v>
      </c>
      <c r="E331" t="inlineStr">
        <is>
          <t>November</t>
        </is>
      </c>
      <c r="F331" t="inlineStr">
        <is>
          <t>Q4</t>
        </is>
      </c>
      <c r="G331" t="n">
        <v>2025</v>
      </c>
      <c r="H331" t="n">
        <v>47</v>
      </c>
      <c r="I331" t="inlineStr">
        <is>
          <t>Wednesday</t>
        </is>
      </c>
      <c r="J331" t="inlineStr">
        <is>
          <t>No</t>
        </is>
      </c>
      <c r="K331" t="inlineStr">
        <is>
          <t>No</t>
        </is>
      </c>
      <c r="L331" t="inlineStr">
        <is>
          <t>Fall</t>
        </is>
      </c>
    </row>
    <row r="332">
      <c r="A332" s="4" t="n">
        <v>20251127</v>
      </c>
      <c r="B332" s="5" t="n">
        <v>45988</v>
      </c>
      <c r="C332" t="n">
        <v>27</v>
      </c>
      <c r="D332" t="n">
        <v>11</v>
      </c>
      <c r="E332" t="inlineStr">
        <is>
          <t>November</t>
        </is>
      </c>
      <c r="F332" t="inlineStr">
        <is>
          <t>Q4</t>
        </is>
      </c>
      <c r="G332" t="n">
        <v>2025</v>
      </c>
      <c r="H332" t="n">
        <v>47</v>
      </c>
      <c r="I332" t="inlineStr">
        <is>
          <t>Thursday</t>
        </is>
      </c>
      <c r="J332" t="inlineStr">
        <is>
          <t>No</t>
        </is>
      </c>
      <c r="K332" t="inlineStr">
        <is>
          <t>No</t>
        </is>
      </c>
      <c r="L332" t="inlineStr">
        <is>
          <t>Fall</t>
        </is>
      </c>
    </row>
    <row r="333">
      <c r="A333" s="4" t="n">
        <v>20251128</v>
      </c>
      <c r="B333" s="5" t="n">
        <v>45989</v>
      </c>
      <c r="C333" t="n">
        <v>28</v>
      </c>
      <c r="D333" t="n">
        <v>11</v>
      </c>
      <c r="E333" t="inlineStr">
        <is>
          <t>November</t>
        </is>
      </c>
      <c r="F333" t="inlineStr">
        <is>
          <t>Q4</t>
        </is>
      </c>
      <c r="G333" t="n">
        <v>2025</v>
      </c>
      <c r="H333" t="n">
        <v>47</v>
      </c>
      <c r="I333" t="inlineStr">
        <is>
          <t>Friday</t>
        </is>
      </c>
      <c r="J333" t="inlineStr">
        <is>
          <t>Yes</t>
        </is>
      </c>
      <c r="K333" t="inlineStr">
        <is>
          <t>No</t>
        </is>
      </c>
      <c r="L333" t="inlineStr">
        <is>
          <t>Fall</t>
        </is>
      </c>
    </row>
    <row r="334">
      <c r="A334" s="4" t="n">
        <v>20251129</v>
      </c>
      <c r="B334" s="5" t="n">
        <v>45990</v>
      </c>
      <c r="C334" t="n">
        <v>29</v>
      </c>
      <c r="D334" t="n">
        <v>11</v>
      </c>
      <c r="E334" t="inlineStr">
        <is>
          <t>November</t>
        </is>
      </c>
      <c r="F334" t="inlineStr">
        <is>
          <t>Q4</t>
        </is>
      </c>
      <c r="G334" t="n">
        <v>2025</v>
      </c>
      <c r="H334" t="n">
        <v>47</v>
      </c>
      <c r="I334" t="inlineStr">
        <is>
          <t>Saturday</t>
        </is>
      </c>
      <c r="J334" t="inlineStr">
        <is>
          <t>Yes</t>
        </is>
      </c>
      <c r="K334" t="inlineStr">
        <is>
          <t>No</t>
        </is>
      </c>
      <c r="L334" t="inlineStr">
        <is>
          <t>Fall</t>
        </is>
      </c>
    </row>
    <row r="335">
      <c r="A335" s="4" t="n">
        <v>20251130</v>
      </c>
      <c r="B335" s="5" t="n">
        <v>45991</v>
      </c>
      <c r="C335" t="n">
        <v>30</v>
      </c>
      <c r="D335" t="n">
        <v>11</v>
      </c>
      <c r="E335" t="inlineStr">
        <is>
          <t>November</t>
        </is>
      </c>
      <c r="F335" t="inlineStr">
        <is>
          <t>Q4</t>
        </is>
      </c>
      <c r="G335" t="n">
        <v>2025</v>
      </c>
      <c r="H335" t="n">
        <v>48</v>
      </c>
      <c r="I335" t="inlineStr">
        <is>
          <t>Sunday</t>
        </is>
      </c>
      <c r="J335" t="inlineStr">
        <is>
          <t>Yes</t>
        </is>
      </c>
      <c r="K335" t="inlineStr">
        <is>
          <t>No</t>
        </is>
      </c>
      <c r="L335" t="inlineStr">
        <is>
          <t>Fall</t>
        </is>
      </c>
    </row>
    <row r="336">
      <c r="A336" s="4" t="n">
        <v>20251201</v>
      </c>
      <c r="B336" s="5" t="n">
        <v>45992</v>
      </c>
      <c r="C336" t="n">
        <v>1</v>
      </c>
      <c r="D336" t="n">
        <v>12</v>
      </c>
      <c r="E336" t="inlineStr">
        <is>
          <t>December</t>
        </is>
      </c>
      <c r="F336" t="inlineStr">
        <is>
          <t>Q4</t>
        </is>
      </c>
      <c r="G336" t="n">
        <v>2025</v>
      </c>
      <c r="H336" t="n">
        <v>48</v>
      </c>
      <c r="I336" t="inlineStr">
        <is>
          <t>Monday</t>
        </is>
      </c>
      <c r="J336" t="inlineStr">
        <is>
          <t>No</t>
        </is>
      </c>
      <c r="K336" t="inlineStr">
        <is>
          <t>No</t>
        </is>
      </c>
      <c r="L336" t="inlineStr">
        <is>
          <t>Winter</t>
        </is>
      </c>
    </row>
    <row r="337">
      <c r="A337" s="4" t="n">
        <v>20251202</v>
      </c>
      <c r="B337" s="5" t="n">
        <v>45993</v>
      </c>
      <c r="C337" t="n">
        <v>2</v>
      </c>
      <c r="D337" t="n">
        <v>12</v>
      </c>
      <c r="E337" t="inlineStr">
        <is>
          <t>December</t>
        </is>
      </c>
      <c r="F337" t="inlineStr">
        <is>
          <t>Q4</t>
        </is>
      </c>
      <c r="G337" t="n">
        <v>2025</v>
      </c>
      <c r="H337" t="n">
        <v>48</v>
      </c>
      <c r="I337" t="inlineStr">
        <is>
          <t>Tuesday</t>
        </is>
      </c>
      <c r="J337" t="inlineStr">
        <is>
          <t>No</t>
        </is>
      </c>
      <c r="K337" t="inlineStr">
        <is>
          <t>No</t>
        </is>
      </c>
      <c r="L337" t="inlineStr">
        <is>
          <t>Winter</t>
        </is>
      </c>
    </row>
    <row r="338">
      <c r="A338" s="4" t="n">
        <v>20251203</v>
      </c>
      <c r="B338" s="5" t="n">
        <v>45994</v>
      </c>
      <c r="C338" t="n">
        <v>3</v>
      </c>
      <c r="D338" t="n">
        <v>12</v>
      </c>
      <c r="E338" t="inlineStr">
        <is>
          <t>December</t>
        </is>
      </c>
      <c r="F338" t="inlineStr">
        <is>
          <t>Q4</t>
        </is>
      </c>
      <c r="G338" t="n">
        <v>2025</v>
      </c>
      <c r="H338" t="n">
        <v>48</v>
      </c>
      <c r="I338" t="inlineStr">
        <is>
          <t>Wednesday</t>
        </is>
      </c>
      <c r="J338" t="inlineStr">
        <is>
          <t>No</t>
        </is>
      </c>
      <c r="K338" t="inlineStr">
        <is>
          <t>No</t>
        </is>
      </c>
      <c r="L338" t="inlineStr">
        <is>
          <t>Winter</t>
        </is>
      </c>
    </row>
    <row r="339">
      <c r="A339" s="4" t="n">
        <v>20251204</v>
      </c>
      <c r="B339" s="5" t="n">
        <v>45995</v>
      </c>
      <c r="C339" t="n">
        <v>4</v>
      </c>
      <c r="D339" t="n">
        <v>12</v>
      </c>
      <c r="E339" t="inlineStr">
        <is>
          <t>December</t>
        </is>
      </c>
      <c r="F339" t="inlineStr">
        <is>
          <t>Q4</t>
        </is>
      </c>
      <c r="G339" t="n">
        <v>2025</v>
      </c>
      <c r="H339" t="n">
        <v>48</v>
      </c>
      <c r="I339" t="inlineStr">
        <is>
          <t>Thursday</t>
        </is>
      </c>
      <c r="J339" t="inlineStr">
        <is>
          <t>No</t>
        </is>
      </c>
      <c r="K339" t="inlineStr">
        <is>
          <t>No</t>
        </is>
      </c>
      <c r="L339" t="inlineStr">
        <is>
          <t>Winter</t>
        </is>
      </c>
    </row>
    <row r="340">
      <c r="A340" s="4" t="n">
        <v>20251205</v>
      </c>
      <c r="B340" s="5" t="n">
        <v>45996</v>
      </c>
      <c r="C340" t="n">
        <v>5</v>
      </c>
      <c r="D340" t="n">
        <v>12</v>
      </c>
      <c r="E340" t="inlineStr">
        <is>
          <t>December</t>
        </is>
      </c>
      <c r="F340" t="inlineStr">
        <is>
          <t>Q4</t>
        </is>
      </c>
      <c r="G340" t="n">
        <v>2025</v>
      </c>
      <c r="H340" t="n">
        <v>48</v>
      </c>
      <c r="I340" t="inlineStr">
        <is>
          <t>Friday</t>
        </is>
      </c>
      <c r="J340" t="inlineStr">
        <is>
          <t>Yes</t>
        </is>
      </c>
      <c r="K340" t="inlineStr">
        <is>
          <t>No</t>
        </is>
      </c>
      <c r="L340" t="inlineStr">
        <is>
          <t>Winter</t>
        </is>
      </c>
    </row>
    <row r="341">
      <c r="A341" s="4" t="n">
        <v>20251206</v>
      </c>
      <c r="B341" s="5" t="n">
        <v>45997</v>
      </c>
      <c r="C341" t="n">
        <v>6</v>
      </c>
      <c r="D341" t="n">
        <v>12</v>
      </c>
      <c r="E341" t="inlineStr">
        <is>
          <t>December</t>
        </is>
      </c>
      <c r="F341" t="inlineStr">
        <is>
          <t>Q4</t>
        </is>
      </c>
      <c r="G341" t="n">
        <v>2025</v>
      </c>
      <c r="H341" t="n">
        <v>48</v>
      </c>
      <c r="I341" t="inlineStr">
        <is>
          <t>Saturday</t>
        </is>
      </c>
      <c r="J341" t="inlineStr">
        <is>
          <t>Yes</t>
        </is>
      </c>
      <c r="K341" t="inlineStr">
        <is>
          <t>No</t>
        </is>
      </c>
      <c r="L341" t="inlineStr">
        <is>
          <t>Winter</t>
        </is>
      </c>
    </row>
    <row r="342">
      <c r="A342" s="4" t="n">
        <v>20251207</v>
      </c>
      <c r="B342" s="5" t="n">
        <v>45998</v>
      </c>
      <c r="C342" t="n">
        <v>7</v>
      </c>
      <c r="D342" t="n">
        <v>12</v>
      </c>
      <c r="E342" t="inlineStr">
        <is>
          <t>December</t>
        </is>
      </c>
      <c r="F342" t="inlineStr">
        <is>
          <t>Q4</t>
        </is>
      </c>
      <c r="G342" t="n">
        <v>2025</v>
      </c>
      <c r="H342" t="n">
        <v>49</v>
      </c>
      <c r="I342" t="inlineStr">
        <is>
          <t>Sunday</t>
        </is>
      </c>
      <c r="J342" t="inlineStr">
        <is>
          <t>Yes</t>
        </is>
      </c>
      <c r="K342" t="inlineStr">
        <is>
          <t>No</t>
        </is>
      </c>
      <c r="L342" t="inlineStr">
        <is>
          <t>Winter</t>
        </is>
      </c>
    </row>
    <row r="343">
      <c r="A343" s="4" t="n">
        <v>20251208</v>
      </c>
      <c r="B343" s="5" t="n">
        <v>45999</v>
      </c>
      <c r="C343" t="n">
        <v>8</v>
      </c>
      <c r="D343" t="n">
        <v>12</v>
      </c>
      <c r="E343" t="inlineStr">
        <is>
          <t>December</t>
        </is>
      </c>
      <c r="F343" t="inlineStr">
        <is>
          <t>Q4</t>
        </is>
      </c>
      <c r="G343" t="n">
        <v>2025</v>
      </c>
      <c r="H343" t="n">
        <v>49</v>
      </c>
      <c r="I343" t="inlineStr">
        <is>
          <t>Monday</t>
        </is>
      </c>
      <c r="J343" t="inlineStr">
        <is>
          <t>No</t>
        </is>
      </c>
      <c r="K343" t="inlineStr">
        <is>
          <t>No</t>
        </is>
      </c>
      <c r="L343" t="inlineStr">
        <is>
          <t>Winter</t>
        </is>
      </c>
    </row>
    <row r="344">
      <c r="A344" s="4" t="n">
        <v>20251209</v>
      </c>
      <c r="B344" s="5" t="n">
        <v>46000</v>
      </c>
      <c r="C344" t="n">
        <v>9</v>
      </c>
      <c r="D344" t="n">
        <v>12</v>
      </c>
      <c r="E344" t="inlineStr">
        <is>
          <t>December</t>
        </is>
      </c>
      <c r="F344" t="inlineStr">
        <is>
          <t>Q4</t>
        </is>
      </c>
      <c r="G344" t="n">
        <v>2025</v>
      </c>
      <c r="H344" t="n">
        <v>49</v>
      </c>
      <c r="I344" t="inlineStr">
        <is>
          <t>Tuesday</t>
        </is>
      </c>
      <c r="J344" t="inlineStr">
        <is>
          <t>No</t>
        </is>
      </c>
      <c r="K344" t="inlineStr">
        <is>
          <t>No</t>
        </is>
      </c>
      <c r="L344" t="inlineStr">
        <is>
          <t>Winter</t>
        </is>
      </c>
    </row>
    <row r="345">
      <c r="A345" s="4" t="n">
        <v>20251210</v>
      </c>
      <c r="B345" s="5" t="n">
        <v>46001</v>
      </c>
      <c r="C345" t="n">
        <v>10</v>
      </c>
      <c r="D345" t="n">
        <v>12</v>
      </c>
      <c r="E345" t="inlineStr">
        <is>
          <t>December</t>
        </is>
      </c>
      <c r="F345" t="inlineStr">
        <is>
          <t>Q4</t>
        </is>
      </c>
      <c r="G345" t="n">
        <v>2025</v>
      </c>
      <c r="H345" t="n">
        <v>49</v>
      </c>
      <c r="I345" t="inlineStr">
        <is>
          <t>Wednesday</t>
        </is>
      </c>
      <c r="J345" t="inlineStr">
        <is>
          <t>No</t>
        </is>
      </c>
      <c r="K345" t="inlineStr">
        <is>
          <t>No</t>
        </is>
      </c>
      <c r="L345" t="inlineStr">
        <is>
          <t>Winter</t>
        </is>
      </c>
    </row>
    <row r="346">
      <c r="A346" s="4" t="n">
        <v>20251211</v>
      </c>
      <c r="B346" s="5" t="n">
        <v>46002</v>
      </c>
      <c r="C346" t="n">
        <v>11</v>
      </c>
      <c r="D346" t="n">
        <v>12</v>
      </c>
      <c r="E346" t="inlineStr">
        <is>
          <t>December</t>
        </is>
      </c>
      <c r="F346" t="inlineStr">
        <is>
          <t>Q4</t>
        </is>
      </c>
      <c r="G346" t="n">
        <v>2025</v>
      </c>
      <c r="H346" t="n">
        <v>49</v>
      </c>
      <c r="I346" t="inlineStr">
        <is>
          <t>Thursday</t>
        </is>
      </c>
      <c r="J346" t="inlineStr">
        <is>
          <t>No</t>
        </is>
      </c>
      <c r="K346" t="inlineStr">
        <is>
          <t>No</t>
        </is>
      </c>
      <c r="L346" t="inlineStr">
        <is>
          <t>Winter</t>
        </is>
      </c>
    </row>
    <row r="347">
      <c r="A347" s="4" t="n">
        <v>20251212</v>
      </c>
      <c r="B347" s="5" t="n">
        <v>46003</v>
      </c>
      <c r="C347" t="n">
        <v>12</v>
      </c>
      <c r="D347" t="n">
        <v>12</v>
      </c>
      <c r="E347" t="inlineStr">
        <is>
          <t>December</t>
        </is>
      </c>
      <c r="F347" t="inlineStr">
        <is>
          <t>Q4</t>
        </is>
      </c>
      <c r="G347" t="n">
        <v>2025</v>
      </c>
      <c r="H347" t="n">
        <v>49</v>
      </c>
      <c r="I347" t="inlineStr">
        <is>
          <t>Friday</t>
        </is>
      </c>
      <c r="J347" t="inlineStr">
        <is>
          <t>Yes</t>
        </is>
      </c>
      <c r="K347" t="inlineStr">
        <is>
          <t>No</t>
        </is>
      </c>
      <c r="L347" t="inlineStr">
        <is>
          <t>Winter</t>
        </is>
      </c>
    </row>
    <row r="348">
      <c r="A348" s="4" t="n">
        <v>20251213</v>
      </c>
      <c r="B348" s="5" t="n">
        <v>46004</v>
      </c>
      <c r="C348" t="n">
        <v>13</v>
      </c>
      <c r="D348" t="n">
        <v>12</v>
      </c>
      <c r="E348" t="inlineStr">
        <is>
          <t>December</t>
        </is>
      </c>
      <c r="F348" t="inlineStr">
        <is>
          <t>Q4</t>
        </is>
      </c>
      <c r="G348" t="n">
        <v>2025</v>
      </c>
      <c r="H348" t="n">
        <v>49</v>
      </c>
      <c r="I348" t="inlineStr">
        <is>
          <t>Saturday</t>
        </is>
      </c>
      <c r="J348" t="inlineStr">
        <is>
          <t>Yes</t>
        </is>
      </c>
      <c r="K348" t="inlineStr">
        <is>
          <t>No</t>
        </is>
      </c>
      <c r="L348" t="inlineStr">
        <is>
          <t>Winter</t>
        </is>
      </c>
    </row>
    <row r="349">
      <c r="A349" s="4" t="n">
        <v>20251214</v>
      </c>
      <c r="B349" s="5" t="n">
        <v>46005</v>
      </c>
      <c r="C349" t="n">
        <v>14</v>
      </c>
      <c r="D349" t="n">
        <v>12</v>
      </c>
      <c r="E349" t="inlineStr">
        <is>
          <t>December</t>
        </is>
      </c>
      <c r="F349" t="inlineStr">
        <is>
          <t>Q4</t>
        </is>
      </c>
      <c r="G349" t="n">
        <v>2025</v>
      </c>
      <c r="H349" t="n">
        <v>50</v>
      </c>
      <c r="I349" t="inlineStr">
        <is>
          <t>Sunday</t>
        </is>
      </c>
      <c r="J349" t="inlineStr">
        <is>
          <t>Yes</t>
        </is>
      </c>
      <c r="K349" t="inlineStr">
        <is>
          <t>No</t>
        </is>
      </c>
      <c r="L349" t="inlineStr">
        <is>
          <t>Winter</t>
        </is>
      </c>
    </row>
    <row r="350">
      <c r="A350" s="4" t="n">
        <v>20251215</v>
      </c>
      <c r="B350" s="5" t="n">
        <v>46006</v>
      </c>
      <c r="C350" t="n">
        <v>15</v>
      </c>
      <c r="D350" t="n">
        <v>12</v>
      </c>
      <c r="E350" t="inlineStr">
        <is>
          <t>December</t>
        </is>
      </c>
      <c r="F350" t="inlineStr">
        <is>
          <t>Q4</t>
        </is>
      </c>
      <c r="G350" t="n">
        <v>2025</v>
      </c>
      <c r="H350" t="n">
        <v>50</v>
      </c>
      <c r="I350" t="inlineStr">
        <is>
          <t>Monday</t>
        </is>
      </c>
      <c r="J350" t="inlineStr">
        <is>
          <t>No</t>
        </is>
      </c>
      <c r="K350" t="inlineStr">
        <is>
          <t>No</t>
        </is>
      </c>
      <c r="L350" t="inlineStr">
        <is>
          <t>Winter</t>
        </is>
      </c>
    </row>
    <row r="351">
      <c r="A351" s="4" t="n">
        <v>20251216</v>
      </c>
      <c r="B351" s="5" t="n">
        <v>46007</v>
      </c>
      <c r="C351" t="n">
        <v>16</v>
      </c>
      <c r="D351" t="n">
        <v>12</v>
      </c>
      <c r="E351" t="inlineStr">
        <is>
          <t>December</t>
        </is>
      </c>
      <c r="F351" t="inlineStr">
        <is>
          <t>Q4</t>
        </is>
      </c>
      <c r="G351" t="n">
        <v>2025</v>
      </c>
      <c r="H351" t="n">
        <v>50</v>
      </c>
      <c r="I351" t="inlineStr">
        <is>
          <t>Tuesday</t>
        </is>
      </c>
      <c r="J351" t="inlineStr">
        <is>
          <t>No</t>
        </is>
      </c>
      <c r="K351" t="inlineStr">
        <is>
          <t>No</t>
        </is>
      </c>
      <c r="L351" t="inlineStr">
        <is>
          <t>Winter</t>
        </is>
      </c>
    </row>
    <row r="352">
      <c r="A352" s="4" t="n">
        <v>20251217</v>
      </c>
      <c r="B352" s="5" t="n">
        <v>46008</v>
      </c>
      <c r="C352" t="n">
        <v>17</v>
      </c>
      <c r="D352" t="n">
        <v>12</v>
      </c>
      <c r="E352" t="inlineStr">
        <is>
          <t>December</t>
        </is>
      </c>
      <c r="F352" t="inlineStr">
        <is>
          <t>Q4</t>
        </is>
      </c>
      <c r="G352" t="n">
        <v>2025</v>
      </c>
      <c r="H352" t="n">
        <v>50</v>
      </c>
      <c r="I352" t="inlineStr">
        <is>
          <t>Wednesday</t>
        </is>
      </c>
      <c r="J352" t="inlineStr">
        <is>
          <t>No</t>
        </is>
      </c>
      <c r="K352" t="inlineStr">
        <is>
          <t>No</t>
        </is>
      </c>
      <c r="L352" t="inlineStr">
        <is>
          <t>Winter</t>
        </is>
      </c>
    </row>
    <row r="353">
      <c r="A353" s="4" t="n">
        <v>20251218</v>
      </c>
      <c r="B353" s="5" t="n">
        <v>46009</v>
      </c>
      <c r="C353" t="n">
        <v>18</v>
      </c>
      <c r="D353" t="n">
        <v>12</v>
      </c>
      <c r="E353" t="inlineStr">
        <is>
          <t>December</t>
        </is>
      </c>
      <c r="F353" t="inlineStr">
        <is>
          <t>Q4</t>
        </is>
      </c>
      <c r="G353" t="n">
        <v>2025</v>
      </c>
      <c r="H353" t="n">
        <v>50</v>
      </c>
      <c r="I353" t="inlineStr">
        <is>
          <t>Thursday</t>
        </is>
      </c>
      <c r="J353" t="inlineStr">
        <is>
          <t>No</t>
        </is>
      </c>
      <c r="K353" t="inlineStr">
        <is>
          <t>No</t>
        </is>
      </c>
      <c r="L353" t="inlineStr">
        <is>
          <t>Winter</t>
        </is>
      </c>
    </row>
    <row r="354">
      <c r="A354" s="4" t="n">
        <v>20251219</v>
      </c>
      <c r="B354" s="5" t="n">
        <v>46010</v>
      </c>
      <c r="C354" t="n">
        <v>19</v>
      </c>
      <c r="D354" t="n">
        <v>12</v>
      </c>
      <c r="E354" t="inlineStr">
        <is>
          <t>December</t>
        </is>
      </c>
      <c r="F354" t="inlineStr">
        <is>
          <t>Q4</t>
        </is>
      </c>
      <c r="G354" t="n">
        <v>2025</v>
      </c>
      <c r="H354" t="n">
        <v>50</v>
      </c>
      <c r="I354" t="inlineStr">
        <is>
          <t>Friday</t>
        </is>
      </c>
      <c r="J354" t="inlineStr">
        <is>
          <t>Yes</t>
        </is>
      </c>
      <c r="K354" t="inlineStr">
        <is>
          <t>No</t>
        </is>
      </c>
      <c r="L354" t="inlineStr">
        <is>
          <t>Winter</t>
        </is>
      </c>
    </row>
    <row r="355">
      <c r="A355" s="4" t="n">
        <v>20251220</v>
      </c>
      <c r="B355" s="5" t="n">
        <v>46011</v>
      </c>
      <c r="C355" t="n">
        <v>20</v>
      </c>
      <c r="D355" t="n">
        <v>12</v>
      </c>
      <c r="E355" t="inlineStr">
        <is>
          <t>December</t>
        </is>
      </c>
      <c r="F355" t="inlineStr">
        <is>
          <t>Q4</t>
        </is>
      </c>
      <c r="G355" t="n">
        <v>2025</v>
      </c>
      <c r="H355" t="n">
        <v>50</v>
      </c>
      <c r="I355" t="inlineStr">
        <is>
          <t>Saturday</t>
        </is>
      </c>
      <c r="J355" t="inlineStr">
        <is>
          <t>Yes</t>
        </is>
      </c>
      <c r="K355" t="inlineStr">
        <is>
          <t>No</t>
        </is>
      </c>
      <c r="L355" t="inlineStr">
        <is>
          <t>Winter</t>
        </is>
      </c>
    </row>
    <row r="356">
      <c r="A356" s="4" t="n">
        <v>20251221</v>
      </c>
      <c r="B356" s="5" t="n">
        <v>46012</v>
      </c>
      <c r="C356" t="n">
        <v>21</v>
      </c>
      <c r="D356" t="n">
        <v>12</v>
      </c>
      <c r="E356" t="inlineStr">
        <is>
          <t>December</t>
        </is>
      </c>
      <c r="F356" t="inlineStr">
        <is>
          <t>Q4</t>
        </is>
      </c>
      <c r="G356" t="n">
        <v>2025</v>
      </c>
      <c r="H356" t="n">
        <v>51</v>
      </c>
      <c r="I356" t="inlineStr">
        <is>
          <t>Sunday</t>
        </is>
      </c>
      <c r="J356" t="inlineStr">
        <is>
          <t>Yes</t>
        </is>
      </c>
      <c r="K356" t="inlineStr">
        <is>
          <t>No</t>
        </is>
      </c>
      <c r="L356" t="inlineStr">
        <is>
          <t>Winter</t>
        </is>
      </c>
    </row>
    <row r="357">
      <c r="A357" s="4" t="n">
        <v>20251222</v>
      </c>
      <c r="B357" s="5" t="n">
        <v>46013</v>
      </c>
      <c r="C357" t="n">
        <v>22</v>
      </c>
      <c r="D357" t="n">
        <v>12</v>
      </c>
      <c r="E357" t="inlineStr">
        <is>
          <t>December</t>
        </is>
      </c>
      <c r="F357" t="inlineStr">
        <is>
          <t>Q4</t>
        </is>
      </c>
      <c r="G357" t="n">
        <v>2025</v>
      </c>
      <c r="H357" t="n">
        <v>51</v>
      </c>
      <c r="I357" t="inlineStr">
        <is>
          <t>Monday</t>
        </is>
      </c>
      <c r="J357" t="inlineStr">
        <is>
          <t>No</t>
        </is>
      </c>
      <c r="K357" t="inlineStr">
        <is>
          <t>No</t>
        </is>
      </c>
      <c r="L357" t="inlineStr">
        <is>
          <t>Winter</t>
        </is>
      </c>
    </row>
    <row r="358">
      <c r="A358" s="4" t="n">
        <v>20251223</v>
      </c>
      <c r="B358" s="5" t="n">
        <v>46014</v>
      </c>
      <c r="C358" t="n">
        <v>23</v>
      </c>
      <c r="D358" t="n">
        <v>12</v>
      </c>
      <c r="E358" t="inlineStr">
        <is>
          <t>December</t>
        </is>
      </c>
      <c r="F358" t="inlineStr">
        <is>
          <t>Q4</t>
        </is>
      </c>
      <c r="G358" t="n">
        <v>2025</v>
      </c>
      <c r="H358" t="n">
        <v>51</v>
      </c>
      <c r="I358" t="inlineStr">
        <is>
          <t>Tuesday</t>
        </is>
      </c>
      <c r="J358" t="inlineStr">
        <is>
          <t>No</t>
        </is>
      </c>
      <c r="K358" t="inlineStr">
        <is>
          <t>No</t>
        </is>
      </c>
      <c r="L358" t="inlineStr">
        <is>
          <t>Winter</t>
        </is>
      </c>
    </row>
    <row r="359">
      <c r="A359" s="4" t="n">
        <v>20251224</v>
      </c>
      <c r="B359" s="5" t="n">
        <v>46015</v>
      </c>
      <c r="C359" t="n">
        <v>24</v>
      </c>
      <c r="D359" t="n">
        <v>12</v>
      </c>
      <c r="E359" t="inlineStr">
        <is>
          <t>December</t>
        </is>
      </c>
      <c r="F359" t="inlineStr">
        <is>
          <t>Q4</t>
        </is>
      </c>
      <c r="G359" t="n">
        <v>2025</v>
      </c>
      <c r="H359" t="n">
        <v>51</v>
      </c>
      <c r="I359" t="inlineStr">
        <is>
          <t>Wednesday</t>
        </is>
      </c>
      <c r="J359" t="inlineStr">
        <is>
          <t>No</t>
        </is>
      </c>
      <c r="K359" t="inlineStr">
        <is>
          <t>No</t>
        </is>
      </c>
      <c r="L359" t="inlineStr">
        <is>
          <t>Winter</t>
        </is>
      </c>
    </row>
    <row r="360">
      <c r="A360" s="4" t="n">
        <v>20251225</v>
      </c>
      <c r="B360" s="5" t="n">
        <v>46016</v>
      </c>
      <c r="C360" t="n">
        <v>25</v>
      </c>
      <c r="D360" t="n">
        <v>12</v>
      </c>
      <c r="E360" t="inlineStr">
        <is>
          <t>December</t>
        </is>
      </c>
      <c r="F360" t="inlineStr">
        <is>
          <t>Q4</t>
        </is>
      </c>
      <c r="G360" t="n">
        <v>2025</v>
      </c>
      <c r="H360" t="n">
        <v>51</v>
      </c>
      <c r="I360" t="inlineStr">
        <is>
          <t>Thursday</t>
        </is>
      </c>
      <c r="J360" t="inlineStr">
        <is>
          <t>No</t>
        </is>
      </c>
      <c r="K360" t="inlineStr">
        <is>
          <t>No</t>
        </is>
      </c>
      <c r="L360" t="inlineStr">
        <is>
          <t>Winter</t>
        </is>
      </c>
    </row>
    <row r="361">
      <c r="A361" s="4" t="n">
        <v>20251226</v>
      </c>
      <c r="B361" s="5" t="n">
        <v>46017</v>
      </c>
      <c r="C361" t="n">
        <v>26</v>
      </c>
      <c r="D361" t="n">
        <v>12</v>
      </c>
      <c r="E361" t="inlineStr">
        <is>
          <t>December</t>
        </is>
      </c>
      <c r="F361" t="inlineStr">
        <is>
          <t>Q4</t>
        </is>
      </c>
      <c r="G361" t="n">
        <v>2025</v>
      </c>
      <c r="H361" t="n">
        <v>51</v>
      </c>
      <c r="I361" t="inlineStr">
        <is>
          <t>Friday</t>
        </is>
      </c>
      <c r="J361" t="inlineStr">
        <is>
          <t>Yes</t>
        </is>
      </c>
      <c r="K361" t="inlineStr">
        <is>
          <t>No</t>
        </is>
      </c>
      <c r="L361" t="inlineStr">
        <is>
          <t>Winter</t>
        </is>
      </c>
    </row>
    <row r="362">
      <c r="A362" s="4" t="n">
        <v>20251227</v>
      </c>
      <c r="B362" s="5" t="n">
        <v>46018</v>
      </c>
      <c r="C362" t="n">
        <v>27</v>
      </c>
      <c r="D362" t="n">
        <v>12</v>
      </c>
      <c r="E362" t="inlineStr">
        <is>
          <t>December</t>
        </is>
      </c>
      <c r="F362" t="inlineStr">
        <is>
          <t>Q4</t>
        </is>
      </c>
      <c r="G362" t="n">
        <v>2025</v>
      </c>
      <c r="H362" t="n">
        <v>51</v>
      </c>
      <c r="I362" t="inlineStr">
        <is>
          <t>Saturday</t>
        </is>
      </c>
      <c r="J362" t="inlineStr">
        <is>
          <t>Yes</t>
        </is>
      </c>
      <c r="K362" t="inlineStr">
        <is>
          <t>No</t>
        </is>
      </c>
      <c r="L362" t="inlineStr">
        <is>
          <t>Winter</t>
        </is>
      </c>
    </row>
    <row r="363">
      <c r="A363" s="4" t="n">
        <v>20251228</v>
      </c>
      <c r="B363" s="5" t="n">
        <v>46019</v>
      </c>
      <c r="C363" t="n">
        <v>28</v>
      </c>
      <c r="D363" t="n">
        <v>12</v>
      </c>
      <c r="E363" t="inlineStr">
        <is>
          <t>December</t>
        </is>
      </c>
      <c r="F363" t="inlineStr">
        <is>
          <t>Q4</t>
        </is>
      </c>
      <c r="G363" t="n">
        <v>2025</v>
      </c>
      <c r="H363" t="n">
        <v>52</v>
      </c>
      <c r="I363" t="inlineStr">
        <is>
          <t>Sunday</t>
        </is>
      </c>
      <c r="J363" t="inlineStr">
        <is>
          <t>Yes</t>
        </is>
      </c>
      <c r="K363" t="inlineStr">
        <is>
          <t>No</t>
        </is>
      </c>
      <c r="L363" t="inlineStr">
        <is>
          <t>Winter</t>
        </is>
      </c>
    </row>
    <row r="364">
      <c r="A364" s="4" t="n">
        <v>20251229</v>
      </c>
      <c r="B364" s="5" t="n">
        <v>46020</v>
      </c>
      <c r="C364" t="n">
        <v>29</v>
      </c>
      <c r="D364" t="n">
        <v>12</v>
      </c>
      <c r="E364" t="inlineStr">
        <is>
          <t>December</t>
        </is>
      </c>
      <c r="F364" t="inlineStr">
        <is>
          <t>Q4</t>
        </is>
      </c>
      <c r="G364" t="n">
        <v>2025</v>
      </c>
      <c r="H364" t="n">
        <v>52</v>
      </c>
      <c r="I364" t="inlineStr">
        <is>
          <t>Monday</t>
        </is>
      </c>
      <c r="J364" t="inlineStr">
        <is>
          <t>No</t>
        </is>
      </c>
      <c r="K364" t="inlineStr">
        <is>
          <t>No</t>
        </is>
      </c>
      <c r="L364" t="inlineStr">
        <is>
          <t>Winter</t>
        </is>
      </c>
    </row>
    <row r="365">
      <c r="A365" s="4" t="n">
        <v>20251230</v>
      </c>
      <c r="B365" s="5" t="n">
        <v>46021</v>
      </c>
      <c r="C365" t="n">
        <v>30</v>
      </c>
      <c r="D365" t="n">
        <v>12</v>
      </c>
      <c r="E365" t="inlineStr">
        <is>
          <t>December</t>
        </is>
      </c>
      <c r="F365" t="inlineStr">
        <is>
          <t>Q4</t>
        </is>
      </c>
      <c r="G365" t="n">
        <v>2025</v>
      </c>
      <c r="H365" t="n">
        <v>52</v>
      </c>
      <c r="I365" t="inlineStr">
        <is>
          <t>Tuesday</t>
        </is>
      </c>
      <c r="J365" t="inlineStr">
        <is>
          <t>No</t>
        </is>
      </c>
      <c r="K365" t="inlineStr">
        <is>
          <t>No</t>
        </is>
      </c>
      <c r="L365" t="inlineStr">
        <is>
          <t>Winter</t>
        </is>
      </c>
    </row>
    <row r="366">
      <c r="A366" s="4" t="n">
        <v>20251231</v>
      </c>
      <c r="B366" s="5" t="n">
        <v>46022</v>
      </c>
      <c r="C366" t="n">
        <v>31</v>
      </c>
      <c r="D366" t="n">
        <v>12</v>
      </c>
      <c r="E366" t="inlineStr">
        <is>
          <t>December</t>
        </is>
      </c>
      <c r="F366" t="inlineStr">
        <is>
          <t>Q4</t>
        </is>
      </c>
      <c r="G366" t="n">
        <v>2025</v>
      </c>
      <c r="H366" t="n">
        <v>52</v>
      </c>
      <c r="I366" t="inlineStr">
        <is>
          <t>Wednesday</t>
        </is>
      </c>
      <c r="J366" t="inlineStr">
        <is>
          <t>No</t>
        </is>
      </c>
      <c r="K366" t="inlineStr">
        <is>
          <t>No</t>
        </is>
      </c>
      <c r="L366" t="inlineStr">
        <is>
          <t>Winter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0" customWidth="1" min="4" max="4"/>
    <col width="24" customWidth="1" min="5" max="5"/>
    <col width="10" customWidth="1" min="6" max="6"/>
    <col width="15" customWidth="1" min="7" max="7"/>
    <col width="10" customWidth="1" min="8" max="8"/>
    <col width="15" customWidth="1" min="9" max="9"/>
    <col width="17" customWidth="1" min="10" max="10"/>
    <col width="16" customWidth="1" min="11" max="11"/>
    <col width="13" customWidth="1" min="12" max="12"/>
    <col width="18" customWidth="1" min="13" max="13"/>
    <col width="15" customWidth="1" min="14" max="14"/>
    <col width="20" customWidth="1" min="15" max="15"/>
    <col width="20" customWidth="1" min="16" max="16"/>
    <col width="13" customWidth="1" min="17" max="17"/>
    <col width="13" customWidth="1" min="18" max="18"/>
    <col width="15" customWidth="1" min="19" max="19"/>
    <col width="16" customWidth="1" min="20" max="20"/>
    <col width="10" customWidth="1" min="21" max="21"/>
  </cols>
  <sheetData>
    <row r="1">
      <c r="A1" s="3" t="inlineStr">
        <is>
          <t>Product_ID</t>
        </is>
      </c>
      <c r="B1" s="3" t="inlineStr">
        <is>
          <t>SKU</t>
        </is>
      </c>
      <c r="C1" s="3" t="inlineStr">
        <is>
          <t>Product_Name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Gender</t>
        </is>
      </c>
      <c r="G1" s="3" t="inlineStr">
        <is>
          <t>Fabric_Type</t>
        </is>
      </c>
      <c r="H1" s="3" t="inlineStr">
        <is>
          <t>Color</t>
        </is>
      </c>
      <c r="I1" s="3" t="inlineStr">
        <is>
          <t>Core_Size_Run</t>
        </is>
      </c>
      <c r="J1" s="3" t="inlineStr">
        <is>
          <t>Base_List_Price</t>
        </is>
      </c>
      <c r="K1" s="3" t="inlineStr">
        <is>
          <t>Base_Unit_Cost</t>
        </is>
      </c>
      <c r="L1" s="3" t="inlineStr">
        <is>
          <t>Launch_Date</t>
        </is>
      </c>
      <c r="M1" s="3" t="inlineStr">
        <is>
          <t>Collection_Name</t>
        </is>
      </c>
      <c r="N1" s="3" t="inlineStr">
        <is>
          <t>Season</t>
        </is>
      </c>
      <c r="O1" s="3" t="inlineStr">
        <is>
          <t>Style_Theme</t>
        </is>
      </c>
      <c r="P1" s="3" t="inlineStr">
        <is>
          <t>Timelessness_Score</t>
        </is>
      </c>
      <c r="Q1" s="3" t="inlineStr">
        <is>
          <t>Trend_Score</t>
        </is>
      </c>
      <c r="R1" s="3" t="inlineStr">
        <is>
          <t>Supplier_ID</t>
        </is>
      </c>
      <c r="S1" s="3" t="inlineStr">
        <is>
          <t>Reorder_Level</t>
        </is>
      </c>
      <c r="T1" s="3" t="inlineStr">
        <is>
          <t>Lead_Time_Days</t>
        </is>
      </c>
      <c r="U1" s="3" t="inlineStr">
        <is>
          <t>Status</t>
        </is>
      </c>
    </row>
    <row r="2">
      <c r="A2" s="4" t="inlineStr">
        <is>
          <t>P001</t>
        </is>
      </c>
      <c r="B2" t="inlineStr">
        <is>
          <t>OF-SH-1BE</t>
        </is>
      </c>
      <c r="C2" t="inlineStr">
        <is>
          <t>Beige Oxford Shirt</t>
        </is>
      </c>
      <c r="D2" t="inlineStr">
        <is>
          <t>Shirts</t>
        </is>
      </c>
      <c r="E2" t="inlineStr">
        <is>
          <t>Oxford Shirt</t>
        </is>
      </c>
      <c r="F2" t="inlineStr">
        <is>
          <t>Unisex</t>
        </is>
      </c>
      <c r="G2" t="inlineStr">
        <is>
          <t>Cotton</t>
        </is>
      </c>
      <c r="H2" t="inlineStr">
        <is>
          <t>Beige</t>
        </is>
      </c>
      <c r="I2" t="inlineStr">
        <is>
          <t>S/M/L/XL</t>
        </is>
      </c>
      <c r="J2" s="6" t="n">
        <v>40</v>
      </c>
      <c r="K2" s="6" t="n">
        <v>17</v>
      </c>
      <c r="L2" s="5" t="n">
        <v>45910</v>
      </c>
      <c r="M2" t="inlineStr">
        <is>
          <t>Heritage 2025</t>
        </is>
      </c>
      <c r="N2" t="inlineStr">
        <is>
          <t>All Season</t>
        </is>
      </c>
      <c r="O2" t="inlineStr">
        <is>
          <t>Vintage</t>
        </is>
      </c>
      <c r="P2" t="n">
        <v>3</v>
      </c>
      <c r="Q2" t="n">
        <v>1</v>
      </c>
      <c r="R2" t="inlineStr">
        <is>
          <t>S06</t>
        </is>
      </c>
      <c r="S2" t="n">
        <v>18</v>
      </c>
      <c r="T2" t="n">
        <v>35</v>
      </c>
      <c r="U2" t="inlineStr">
        <is>
          <t>Active</t>
        </is>
      </c>
    </row>
    <row r="3">
      <c r="A3" s="4" t="inlineStr">
        <is>
          <t>P002</t>
        </is>
      </c>
      <c r="B3" t="inlineStr">
        <is>
          <t>OF-SH-1NA</t>
        </is>
      </c>
      <c r="C3" t="inlineStr">
        <is>
          <t>Navy Oxford Shirt</t>
        </is>
      </c>
      <c r="D3" t="inlineStr">
        <is>
          <t>Shirts</t>
        </is>
      </c>
      <c r="E3" t="inlineStr">
        <is>
          <t>Oxford Shirt</t>
        </is>
      </c>
      <c r="F3" t="inlineStr">
        <is>
          <t>Unisex</t>
        </is>
      </c>
      <c r="G3" t="inlineStr">
        <is>
          <t>Cotton</t>
        </is>
      </c>
      <c r="H3" t="inlineStr">
        <is>
          <t>Navy</t>
        </is>
      </c>
      <c r="I3" t="inlineStr">
        <is>
          <t>S/M/L/XL</t>
        </is>
      </c>
      <c r="J3" s="6" t="n">
        <v>40</v>
      </c>
      <c r="K3" s="6" t="n">
        <v>17</v>
      </c>
      <c r="L3" s="5" t="n">
        <v>45662</v>
      </c>
      <c r="M3" t="inlineStr">
        <is>
          <t>Heritage 2025</t>
        </is>
      </c>
      <c r="N3" t="inlineStr">
        <is>
          <t>All Season</t>
        </is>
      </c>
      <c r="O3" t="inlineStr">
        <is>
          <t>Casual Old Fashion</t>
        </is>
      </c>
      <c r="P3" t="n">
        <v>5</v>
      </c>
      <c r="Q3" t="n">
        <v>1</v>
      </c>
      <c r="R3" t="inlineStr">
        <is>
          <t>S05</t>
        </is>
      </c>
      <c r="S3" t="n">
        <v>24</v>
      </c>
      <c r="T3" t="n">
        <v>35</v>
      </c>
      <c r="U3" t="inlineStr">
        <is>
          <t>Active</t>
        </is>
      </c>
    </row>
    <row r="4">
      <c r="A4" s="4" t="inlineStr">
        <is>
          <t>P003</t>
        </is>
      </c>
      <c r="B4" t="inlineStr">
        <is>
          <t>OF-SH-1WH</t>
        </is>
      </c>
      <c r="C4" t="inlineStr">
        <is>
          <t>White Oxford Shirt</t>
        </is>
      </c>
      <c r="D4" t="inlineStr">
        <is>
          <t>Shirts</t>
        </is>
      </c>
      <c r="E4" t="inlineStr">
        <is>
          <t>Oxford Shirt</t>
        </is>
      </c>
      <c r="F4" t="inlineStr">
        <is>
          <t>Unisex</t>
        </is>
      </c>
      <c r="G4" t="inlineStr">
        <is>
          <t>Cotton</t>
        </is>
      </c>
      <c r="H4" t="inlineStr">
        <is>
          <t>White</t>
        </is>
      </c>
      <c r="I4" t="inlineStr">
        <is>
          <t>S/M/L/XL</t>
        </is>
      </c>
      <c r="J4" s="6" t="n">
        <v>42</v>
      </c>
      <c r="K4" s="6" t="n">
        <v>20</v>
      </c>
      <c r="L4" s="5" t="n">
        <v>45879</v>
      </c>
      <c r="M4" t="inlineStr">
        <is>
          <t>Heritage 2025</t>
        </is>
      </c>
      <c r="N4" t="inlineStr">
        <is>
          <t>All Season</t>
        </is>
      </c>
      <c r="O4" t="inlineStr">
        <is>
          <t>Vintage</t>
        </is>
      </c>
      <c r="P4" t="n">
        <v>5</v>
      </c>
      <c r="Q4" t="n">
        <v>4</v>
      </c>
      <c r="R4" t="inlineStr">
        <is>
          <t>S03</t>
        </is>
      </c>
      <c r="S4" t="n">
        <v>30</v>
      </c>
      <c r="T4" t="n">
        <v>21</v>
      </c>
      <c r="U4" t="inlineStr">
        <is>
          <t>Active</t>
        </is>
      </c>
    </row>
    <row r="5">
      <c r="A5" s="4" t="inlineStr">
        <is>
          <t>P004</t>
        </is>
      </c>
      <c r="B5" t="inlineStr">
        <is>
          <t>OF-SH-1OL</t>
        </is>
      </c>
      <c r="C5" t="inlineStr">
        <is>
          <t>Olive Oxford Shirt</t>
        </is>
      </c>
      <c r="D5" t="inlineStr">
        <is>
          <t>Shirts</t>
        </is>
      </c>
      <c r="E5" t="inlineStr">
        <is>
          <t>Oxford Shirt</t>
        </is>
      </c>
      <c r="F5" t="inlineStr">
        <is>
          <t>Unisex</t>
        </is>
      </c>
      <c r="G5" t="inlineStr">
        <is>
          <t>Cotton</t>
        </is>
      </c>
      <c r="H5" t="inlineStr">
        <is>
          <t>Olive</t>
        </is>
      </c>
      <c r="I5" t="inlineStr">
        <is>
          <t>S/M/L/XL</t>
        </is>
      </c>
      <c r="J5" s="6" t="n">
        <v>42</v>
      </c>
      <c r="K5" s="6" t="n">
        <v>19</v>
      </c>
      <c r="L5" s="5" t="n">
        <v>45658</v>
      </c>
      <c r="M5" t="inlineStr">
        <is>
          <t>Foundations 2025</t>
        </is>
      </c>
      <c r="N5" t="inlineStr">
        <is>
          <t>All Season</t>
        </is>
      </c>
      <c r="O5" t="inlineStr">
        <is>
          <t>Classic</t>
        </is>
      </c>
      <c r="P5" t="n">
        <v>4</v>
      </c>
      <c r="Q5" t="n">
        <v>3</v>
      </c>
      <c r="R5" t="inlineStr">
        <is>
          <t>S05</t>
        </is>
      </c>
      <c r="S5" t="n">
        <v>30</v>
      </c>
      <c r="T5" t="n">
        <v>14</v>
      </c>
      <c r="U5" t="inlineStr">
        <is>
          <t>Active</t>
        </is>
      </c>
    </row>
    <row r="6">
      <c r="A6" s="4" t="inlineStr">
        <is>
          <t>P005</t>
        </is>
      </c>
      <c r="B6" t="inlineStr">
        <is>
          <t>OF-SH-2BE</t>
        </is>
      </c>
      <c r="C6" t="inlineStr">
        <is>
          <t>Beige Linen Shirt</t>
        </is>
      </c>
      <c r="D6" t="inlineStr">
        <is>
          <t>Shirts</t>
        </is>
      </c>
      <c r="E6" t="inlineStr">
        <is>
          <t>Linen Shirt</t>
        </is>
      </c>
      <c r="F6" t="inlineStr">
        <is>
          <t>Unisex</t>
        </is>
      </c>
      <c r="G6" t="inlineStr">
        <is>
          <t>Linen</t>
        </is>
      </c>
      <c r="H6" t="inlineStr">
        <is>
          <t>Beige</t>
        </is>
      </c>
      <c r="I6" t="inlineStr">
        <is>
          <t>S/M/L/XL</t>
        </is>
      </c>
      <c r="J6" s="6" t="n">
        <v>52</v>
      </c>
      <c r="K6" s="6" t="n">
        <v>20</v>
      </c>
      <c r="L6" s="5" t="n">
        <v>45809</v>
      </c>
      <c r="M6" t="inlineStr">
        <is>
          <t>Atelier 2025</t>
        </is>
      </c>
      <c r="N6" t="inlineStr">
        <is>
          <t>Spring/Summer</t>
        </is>
      </c>
      <c r="O6" t="inlineStr">
        <is>
          <t>Minimal</t>
        </is>
      </c>
      <c r="P6" t="n">
        <v>5</v>
      </c>
      <c r="Q6" t="n">
        <v>3</v>
      </c>
      <c r="R6" t="inlineStr">
        <is>
          <t>S05</t>
        </is>
      </c>
      <c r="S6" t="n">
        <v>24</v>
      </c>
      <c r="T6" t="n">
        <v>14</v>
      </c>
      <c r="U6" t="inlineStr">
        <is>
          <t>Active</t>
        </is>
      </c>
    </row>
    <row r="7">
      <c r="A7" s="4" t="inlineStr">
        <is>
          <t>P006</t>
        </is>
      </c>
      <c r="B7" t="inlineStr">
        <is>
          <t>OF-SH-2NA</t>
        </is>
      </c>
      <c r="C7" t="inlineStr">
        <is>
          <t>Navy Linen Shirt</t>
        </is>
      </c>
      <c r="D7" t="inlineStr">
        <is>
          <t>Shirts</t>
        </is>
      </c>
      <c r="E7" t="inlineStr">
        <is>
          <t>Linen Shirt</t>
        </is>
      </c>
      <c r="F7" t="inlineStr">
        <is>
          <t>Unisex</t>
        </is>
      </c>
      <c r="G7" t="inlineStr">
        <is>
          <t>Linen</t>
        </is>
      </c>
      <c r="H7" t="inlineStr">
        <is>
          <t>Navy</t>
        </is>
      </c>
      <c r="I7" t="inlineStr">
        <is>
          <t>S/M/L/XL</t>
        </is>
      </c>
      <c r="J7" s="6" t="n">
        <v>46</v>
      </c>
      <c r="K7" s="6" t="n">
        <v>21</v>
      </c>
      <c r="L7" s="5" t="n">
        <v>45717</v>
      </c>
      <c r="M7" t="inlineStr">
        <is>
          <t>Heritage 2025</t>
        </is>
      </c>
      <c r="N7" t="inlineStr">
        <is>
          <t>Spring/Summer</t>
        </is>
      </c>
      <c r="O7" t="inlineStr">
        <is>
          <t>Classic</t>
        </is>
      </c>
      <c r="P7" t="n">
        <v>4</v>
      </c>
      <c r="Q7" t="n">
        <v>3</v>
      </c>
      <c r="R7" t="inlineStr">
        <is>
          <t>S04</t>
        </is>
      </c>
      <c r="S7" t="n">
        <v>30</v>
      </c>
      <c r="T7" t="n">
        <v>21</v>
      </c>
      <c r="U7" t="inlineStr">
        <is>
          <t>Active</t>
        </is>
      </c>
    </row>
    <row r="8">
      <c r="A8" s="4" t="inlineStr">
        <is>
          <t>P007</t>
        </is>
      </c>
      <c r="B8" t="inlineStr">
        <is>
          <t>OF-SH-2WH</t>
        </is>
      </c>
      <c r="C8" t="inlineStr">
        <is>
          <t>White Linen Shirt</t>
        </is>
      </c>
      <c r="D8" t="inlineStr">
        <is>
          <t>Shirts</t>
        </is>
      </c>
      <c r="E8" t="inlineStr">
        <is>
          <t>Linen Shirt</t>
        </is>
      </c>
      <c r="F8" t="inlineStr">
        <is>
          <t>Unisex</t>
        </is>
      </c>
      <c r="G8" t="inlineStr">
        <is>
          <t>Linen</t>
        </is>
      </c>
      <c r="H8" t="inlineStr">
        <is>
          <t>White</t>
        </is>
      </c>
      <c r="I8" t="inlineStr">
        <is>
          <t>S/M/L/XL</t>
        </is>
      </c>
      <c r="J8" s="6" t="n">
        <v>50</v>
      </c>
      <c r="K8" s="6" t="n">
        <v>22</v>
      </c>
      <c r="L8" s="5" t="n">
        <v>45698</v>
      </c>
      <c r="M8" t="inlineStr">
        <is>
          <t>Atelier 2025</t>
        </is>
      </c>
      <c r="N8" t="inlineStr">
        <is>
          <t>Spring/Summer</t>
        </is>
      </c>
      <c r="O8" t="inlineStr">
        <is>
          <t>Classic</t>
        </is>
      </c>
      <c r="P8" t="n">
        <v>5</v>
      </c>
      <c r="Q8" t="n">
        <v>2</v>
      </c>
      <c r="R8" t="inlineStr">
        <is>
          <t>S05</t>
        </is>
      </c>
      <c r="S8" t="n">
        <v>24</v>
      </c>
      <c r="T8" t="n">
        <v>21</v>
      </c>
      <c r="U8" t="inlineStr">
        <is>
          <t>Active</t>
        </is>
      </c>
    </row>
    <row r="9">
      <c r="A9" s="4" t="inlineStr">
        <is>
          <t>P008</t>
        </is>
      </c>
      <c r="B9" t="inlineStr">
        <is>
          <t>OF-SH-2OL</t>
        </is>
      </c>
      <c r="C9" t="inlineStr">
        <is>
          <t>Olive Linen Shirt</t>
        </is>
      </c>
      <c r="D9" t="inlineStr">
        <is>
          <t>Shirts</t>
        </is>
      </c>
      <c r="E9" t="inlineStr">
        <is>
          <t>Linen Shirt</t>
        </is>
      </c>
      <c r="F9" t="inlineStr">
        <is>
          <t>Unisex</t>
        </is>
      </c>
      <c r="G9" t="inlineStr">
        <is>
          <t>Linen</t>
        </is>
      </c>
      <c r="H9" t="inlineStr">
        <is>
          <t>Olive</t>
        </is>
      </c>
      <c r="I9" t="inlineStr">
        <is>
          <t>S/M/L/XL</t>
        </is>
      </c>
      <c r="J9" s="6" t="n">
        <v>52</v>
      </c>
      <c r="K9" s="6" t="n">
        <v>23</v>
      </c>
      <c r="L9" s="5" t="n">
        <v>45736</v>
      </c>
      <c r="M9" t="inlineStr">
        <is>
          <t>Heritage 2025</t>
        </is>
      </c>
      <c r="N9" t="inlineStr">
        <is>
          <t>Spring/Summer</t>
        </is>
      </c>
      <c r="O9" t="inlineStr">
        <is>
          <t>Minimal</t>
        </is>
      </c>
      <c r="P9" t="n">
        <v>3</v>
      </c>
      <c r="Q9" t="n">
        <v>2</v>
      </c>
      <c r="R9" t="inlineStr">
        <is>
          <t>S01</t>
        </is>
      </c>
      <c r="S9" t="n">
        <v>30</v>
      </c>
      <c r="T9" t="n">
        <v>35</v>
      </c>
      <c r="U9" t="inlineStr">
        <is>
          <t>Active</t>
        </is>
      </c>
    </row>
    <row r="10">
      <c r="A10" s="4" t="inlineStr">
        <is>
          <t>P009</t>
        </is>
      </c>
      <c r="B10" t="inlineStr">
        <is>
          <t>OF-SH-3BE</t>
        </is>
      </c>
      <c r="C10" t="inlineStr">
        <is>
          <t>Beige Striped Shirt</t>
        </is>
      </c>
      <c r="D10" t="inlineStr">
        <is>
          <t>Shirts</t>
        </is>
      </c>
      <c r="E10" t="inlineStr">
        <is>
          <t>Striped Shirt</t>
        </is>
      </c>
      <c r="F10" t="inlineStr">
        <is>
          <t>Unisex</t>
        </is>
      </c>
      <c r="G10" t="inlineStr">
        <is>
          <t>Cotton</t>
        </is>
      </c>
      <c r="H10" t="inlineStr">
        <is>
          <t>Beige</t>
        </is>
      </c>
      <c r="I10" t="inlineStr">
        <is>
          <t>S/M/L/XL</t>
        </is>
      </c>
      <c r="J10" s="6" t="n">
        <v>48</v>
      </c>
      <c r="K10" s="6" t="n">
        <v>19</v>
      </c>
      <c r="L10" s="5" t="n">
        <v>45708</v>
      </c>
      <c r="M10" t="inlineStr">
        <is>
          <t>Atelier 2025</t>
        </is>
      </c>
      <c r="N10" t="inlineStr">
        <is>
          <t>All Season</t>
        </is>
      </c>
      <c r="O10" t="inlineStr">
        <is>
          <t>Minimal</t>
        </is>
      </c>
      <c r="P10" t="n">
        <v>3</v>
      </c>
      <c r="Q10" t="n">
        <v>4</v>
      </c>
      <c r="R10" t="inlineStr">
        <is>
          <t>S04</t>
        </is>
      </c>
      <c r="S10" t="n">
        <v>36</v>
      </c>
      <c r="T10" t="n">
        <v>21</v>
      </c>
      <c r="U10" t="inlineStr">
        <is>
          <t>Active</t>
        </is>
      </c>
    </row>
    <row r="11">
      <c r="A11" s="4" t="inlineStr">
        <is>
          <t>P010</t>
        </is>
      </c>
      <c r="B11" t="inlineStr">
        <is>
          <t>OF-SH-3NA</t>
        </is>
      </c>
      <c r="C11" t="inlineStr">
        <is>
          <t>Navy Striped Shirt</t>
        </is>
      </c>
      <c r="D11" t="inlineStr">
        <is>
          <t>Shirts</t>
        </is>
      </c>
      <c r="E11" t="inlineStr">
        <is>
          <t>Striped Shirt</t>
        </is>
      </c>
      <c r="F11" t="inlineStr">
        <is>
          <t>Unisex</t>
        </is>
      </c>
      <c r="G11" t="inlineStr">
        <is>
          <t>Cotton</t>
        </is>
      </c>
      <c r="H11" t="inlineStr">
        <is>
          <t>Navy</t>
        </is>
      </c>
      <c r="I11" t="inlineStr">
        <is>
          <t>S/M/L/XL</t>
        </is>
      </c>
      <c r="J11" s="6" t="n">
        <v>48</v>
      </c>
      <c r="K11" s="6" t="n">
        <v>20</v>
      </c>
      <c r="L11" s="5" t="n">
        <v>45708</v>
      </c>
      <c r="M11" t="inlineStr">
        <is>
          <t>Atelier 2025</t>
        </is>
      </c>
      <c r="N11" t="inlineStr">
        <is>
          <t>All Season</t>
        </is>
      </c>
      <c r="O11" t="inlineStr">
        <is>
          <t>Minimal</t>
        </is>
      </c>
      <c r="P11" t="n">
        <v>5</v>
      </c>
      <c r="Q11" t="n">
        <v>4</v>
      </c>
      <c r="R11" t="inlineStr">
        <is>
          <t>S05</t>
        </is>
      </c>
      <c r="S11" t="n">
        <v>36</v>
      </c>
      <c r="T11" t="n">
        <v>28</v>
      </c>
      <c r="U11" t="inlineStr">
        <is>
          <t>Active</t>
        </is>
      </c>
    </row>
    <row r="12">
      <c r="A12" s="4" t="inlineStr">
        <is>
          <t>P011</t>
        </is>
      </c>
      <c r="B12" t="inlineStr">
        <is>
          <t>OF-SH-3WH</t>
        </is>
      </c>
      <c r="C12" t="inlineStr">
        <is>
          <t>White Striped Shirt</t>
        </is>
      </c>
      <c r="D12" t="inlineStr">
        <is>
          <t>Shirts</t>
        </is>
      </c>
      <c r="E12" t="inlineStr">
        <is>
          <t>Striped Shirt</t>
        </is>
      </c>
      <c r="F12" t="inlineStr">
        <is>
          <t>Unisex</t>
        </is>
      </c>
      <c r="G12" t="inlineStr">
        <is>
          <t>Cotton</t>
        </is>
      </c>
      <c r="H12" t="inlineStr">
        <is>
          <t>White</t>
        </is>
      </c>
      <c r="I12" t="inlineStr">
        <is>
          <t>S/M/L/XL</t>
        </is>
      </c>
      <c r="J12" s="6" t="n">
        <v>46</v>
      </c>
      <c r="K12" s="6" t="n">
        <v>20</v>
      </c>
      <c r="L12" s="5" t="n">
        <v>45884</v>
      </c>
      <c r="M12" t="inlineStr">
        <is>
          <t>Heritage 2025</t>
        </is>
      </c>
      <c r="N12" t="inlineStr">
        <is>
          <t>All Season</t>
        </is>
      </c>
      <c r="O12" t="inlineStr">
        <is>
          <t>Classic</t>
        </is>
      </c>
      <c r="P12" t="n">
        <v>3</v>
      </c>
      <c r="Q12" t="n">
        <v>2</v>
      </c>
      <c r="R12" t="inlineStr">
        <is>
          <t>S06</t>
        </is>
      </c>
      <c r="S12" t="n">
        <v>24</v>
      </c>
      <c r="T12" t="n">
        <v>35</v>
      </c>
      <c r="U12" t="inlineStr">
        <is>
          <t>Active</t>
        </is>
      </c>
    </row>
    <row r="13">
      <c r="A13" s="4" t="inlineStr">
        <is>
          <t>P012</t>
        </is>
      </c>
      <c r="B13" t="inlineStr">
        <is>
          <t>OF-SH-3OL</t>
        </is>
      </c>
      <c r="C13" t="inlineStr">
        <is>
          <t>Olive Striped Shirt</t>
        </is>
      </c>
      <c r="D13" t="inlineStr">
        <is>
          <t>Shirts</t>
        </is>
      </c>
      <c r="E13" t="inlineStr">
        <is>
          <t>Striped Shirt</t>
        </is>
      </c>
      <c r="F13" t="inlineStr">
        <is>
          <t>Unisex</t>
        </is>
      </c>
      <c r="G13" t="inlineStr">
        <is>
          <t>Cotton</t>
        </is>
      </c>
      <c r="H13" t="inlineStr">
        <is>
          <t>Olive</t>
        </is>
      </c>
      <c r="I13" t="inlineStr">
        <is>
          <t>S/M/L/XL</t>
        </is>
      </c>
      <c r="J13" s="6" t="n">
        <v>44</v>
      </c>
      <c r="K13" s="6" t="n">
        <v>22</v>
      </c>
      <c r="L13" s="5" t="n">
        <v>45828</v>
      </c>
      <c r="M13" t="inlineStr">
        <is>
          <t>Foundations 2025</t>
        </is>
      </c>
      <c r="N13" t="inlineStr">
        <is>
          <t>All Season</t>
        </is>
      </c>
      <c r="O13" t="inlineStr">
        <is>
          <t>Casual Old Fashion</t>
        </is>
      </c>
      <c r="P13" t="n">
        <v>4</v>
      </c>
      <c r="Q13" t="n">
        <v>1</v>
      </c>
      <c r="R13" t="inlineStr">
        <is>
          <t>S06</t>
        </is>
      </c>
      <c r="S13" t="n">
        <v>18</v>
      </c>
      <c r="T13" t="n">
        <v>28</v>
      </c>
      <c r="U13" t="inlineStr">
        <is>
          <t>Active</t>
        </is>
      </c>
    </row>
    <row r="14">
      <c r="A14" s="4" t="inlineStr">
        <is>
          <t>P013</t>
        </is>
      </c>
      <c r="B14" t="inlineStr">
        <is>
          <t>OF-TR-1BE</t>
        </is>
      </c>
      <c r="C14" t="inlineStr">
        <is>
          <t>Beige Pleated Trousers</t>
        </is>
      </c>
      <c r="D14" t="inlineStr">
        <is>
          <t>Trousers</t>
        </is>
      </c>
      <c r="E14" t="inlineStr">
        <is>
          <t>Pleated Trousers</t>
        </is>
      </c>
      <c r="F14" t="inlineStr">
        <is>
          <t>Unisex</t>
        </is>
      </c>
      <c r="G14" t="inlineStr">
        <is>
          <t>Wool Blend</t>
        </is>
      </c>
      <c r="H14" t="inlineStr">
        <is>
          <t>Beige</t>
        </is>
      </c>
      <c r="I14" t="inlineStr">
        <is>
          <t>S/M/L/XL</t>
        </is>
      </c>
      <c r="J14" s="6" t="n">
        <v>60</v>
      </c>
      <c r="K14" s="6" t="n">
        <v>26</v>
      </c>
      <c r="L14" s="5" t="n">
        <v>45731</v>
      </c>
      <c r="M14" t="inlineStr">
        <is>
          <t>Heritage 2025</t>
        </is>
      </c>
      <c r="N14" t="inlineStr">
        <is>
          <t>All Season</t>
        </is>
      </c>
      <c r="O14" t="inlineStr">
        <is>
          <t>Formal</t>
        </is>
      </c>
      <c r="P14" t="n">
        <v>3</v>
      </c>
      <c r="Q14" t="n">
        <v>3</v>
      </c>
      <c r="R14" t="inlineStr">
        <is>
          <t>S05</t>
        </is>
      </c>
      <c r="S14" t="n">
        <v>24</v>
      </c>
      <c r="T14" t="n">
        <v>14</v>
      </c>
      <c r="U14" t="inlineStr">
        <is>
          <t>Active</t>
        </is>
      </c>
    </row>
    <row r="15">
      <c r="A15" s="4" t="inlineStr">
        <is>
          <t>P014</t>
        </is>
      </c>
      <c r="B15" t="inlineStr">
        <is>
          <t>OF-TR-1NA</t>
        </is>
      </c>
      <c r="C15" t="inlineStr">
        <is>
          <t>Navy Pleated Trousers</t>
        </is>
      </c>
      <c r="D15" t="inlineStr">
        <is>
          <t>Trousers</t>
        </is>
      </c>
      <c r="E15" t="inlineStr">
        <is>
          <t>Pleated Trousers</t>
        </is>
      </c>
      <c r="F15" t="inlineStr">
        <is>
          <t>Unisex</t>
        </is>
      </c>
      <c r="G15" t="inlineStr">
        <is>
          <t>Wool Blend</t>
        </is>
      </c>
      <c r="H15" t="inlineStr">
        <is>
          <t>Navy</t>
        </is>
      </c>
      <c r="I15" t="inlineStr">
        <is>
          <t>S/M/L/XL</t>
        </is>
      </c>
      <c r="J15" s="6" t="n">
        <v>60</v>
      </c>
      <c r="K15" s="6" t="n">
        <v>27</v>
      </c>
      <c r="L15" s="5" t="n">
        <v>45698</v>
      </c>
      <c r="M15" t="inlineStr">
        <is>
          <t>Heritage 2025</t>
        </is>
      </c>
      <c r="N15" t="inlineStr">
        <is>
          <t>All Season</t>
        </is>
      </c>
      <c r="O15" t="inlineStr">
        <is>
          <t>Casual Old Fashion</t>
        </is>
      </c>
      <c r="P15" t="n">
        <v>5</v>
      </c>
      <c r="Q15" t="n">
        <v>1</v>
      </c>
      <c r="R15" t="inlineStr">
        <is>
          <t>S05</t>
        </is>
      </c>
      <c r="S15" t="n">
        <v>30</v>
      </c>
      <c r="T15" t="n">
        <v>35</v>
      </c>
      <c r="U15" t="inlineStr">
        <is>
          <t>Active</t>
        </is>
      </c>
    </row>
    <row r="16">
      <c r="A16" s="4" t="inlineStr">
        <is>
          <t>P015</t>
        </is>
      </c>
      <c r="B16" t="inlineStr">
        <is>
          <t>OF-TR-1WH</t>
        </is>
      </c>
      <c r="C16" t="inlineStr">
        <is>
          <t>White Pleated Trousers</t>
        </is>
      </c>
      <c r="D16" t="inlineStr">
        <is>
          <t>Trousers</t>
        </is>
      </c>
      <c r="E16" t="inlineStr">
        <is>
          <t>Pleated Trousers</t>
        </is>
      </c>
      <c r="F16" t="inlineStr">
        <is>
          <t>Unisex</t>
        </is>
      </c>
      <c r="G16" t="inlineStr">
        <is>
          <t>Wool Blend</t>
        </is>
      </c>
      <c r="H16" t="inlineStr">
        <is>
          <t>White</t>
        </is>
      </c>
      <c r="I16" t="inlineStr">
        <is>
          <t>S/M/L/XL</t>
        </is>
      </c>
      <c r="J16" s="6" t="n">
        <v>56</v>
      </c>
      <c r="K16" s="6" t="n">
        <v>26</v>
      </c>
      <c r="L16" s="5" t="n">
        <v>45726</v>
      </c>
      <c r="M16" t="inlineStr">
        <is>
          <t>Heritage 2025</t>
        </is>
      </c>
      <c r="N16" t="inlineStr">
        <is>
          <t>All Season</t>
        </is>
      </c>
      <c r="O16" t="inlineStr">
        <is>
          <t>Classic</t>
        </is>
      </c>
      <c r="P16" t="n">
        <v>3</v>
      </c>
      <c r="Q16" t="n">
        <v>1</v>
      </c>
      <c r="R16" t="inlineStr">
        <is>
          <t>S01</t>
        </is>
      </c>
      <c r="S16" t="n">
        <v>36</v>
      </c>
      <c r="T16" t="n">
        <v>14</v>
      </c>
      <c r="U16" t="inlineStr">
        <is>
          <t>Active</t>
        </is>
      </c>
    </row>
    <row r="17">
      <c r="A17" s="4" t="inlineStr">
        <is>
          <t>P016</t>
        </is>
      </c>
      <c r="B17" t="inlineStr">
        <is>
          <t>OF-TR-1OL</t>
        </is>
      </c>
      <c r="C17" t="inlineStr">
        <is>
          <t>Olive Pleated Trousers</t>
        </is>
      </c>
      <c r="D17" t="inlineStr">
        <is>
          <t>Trousers</t>
        </is>
      </c>
      <c r="E17" t="inlineStr">
        <is>
          <t>Pleated Trousers</t>
        </is>
      </c>
      <c r="F17" t="inlineStr">
        <is>
          <t>Unisex</t>
        </is>
      </c>
      <c r="G17" t="inlineStr">
        <is>
          <t>Wool Blend</t>
        </is>
      </c>
      <c r="H17" t="inlineStr">
        <is>
          <t>Olive</t>
        </is>
      </c>
      <c r="I17" t="inlineStr">
        <is>
          <t>S/M/L/XL</t>
        </is>
      </c>
      <c r="J17" s="6" t="n">
        <v>58</v>
      </c>
      <c r="K17" s="6" t="n">
        <v>27</v>
      </c>
      <c r="L17" s="5" t="n">
        <v>45915</v>
      </c>
      <c r="M17" t="inlineStr">
        <is>
          <t>Atelier 2025</t>
        </is>
      </c>
      <c r="N17" t="inlineStr">
        <is>
          <t>All Season</t>
        </is>
      </c>
      <c r="O17" t="inlineStr">
        <is>
          <t>Vintage</t>
        </is>
      </c>
      <c r="P17" t="n">
        <v>4</v>
      </c>
      <c r="Q17" t="n">
        <v>4</v>
      </c>
      <c r="R17" t="inlineStr">
        <is>
          <t>S02</t>
        </is>
      </c>
      <c r="S17" t="n">
        <v>24</v>
      </c>
      <c r="T17" t="n">
        <v>28</v>
      </c>
      <c r="U17" t="inlineStr">
        <is>
          <t>Active</t>
        </is>
      </c>
    </row>
    <row r="18">
      <c r="A18" s="4" t="inlineStr">
        <is>
          <t>P017</t>
        </is>
      </c>
      <c r="B18" t="inlineStr">
        <is>
          <t>OF-TR-2BE</t>
        </is>
      </c>
      <c r="C18" t="inlineStr">
        <is>
          <t>Beige Wide-Leg Trousers</t>
        </is>
      </c>
      <c r="D18" t="inlineStr">
        <is>
          <t>Trousers</t>
        </is>
      </c>
      <c r="E18" t="inlineStr">
        <is>
          <t>Wide-Leg Trousers</t>
        </is>
      </c>
      <c r="F18" t="inlineStr">
        <is>
          <t>Women</t>
        </is>
      </c>
      <c r="G18" t="inlineStr">
        <is>
          <t>Wool Blend</t>
        </is>
      </c>
      <c r="H18" t="inlineStr">
        <is>
          <t>Beige</t>
        </is>
      </c>
      <c r="I18" t="inlineStr">
        <is>
          <t>XS/S/M/L/XL</t>
        </is>
      </c>
      <c r="J18" s="6" t="n">
        <v>68</v>
      </c>
      <c r="K18" s="6" t="n">
        <v>32</v>
      </c>
      <c r="L18" s="5" t="n">
        <v>45828</v>
      </c>
      <c r="M18" t="inlineStr">
        <is>
          <t>Foundations 2025</t>
        </is>
      </c>
      <c r="N18" t="inlineStr">
        <is>
          <t>Fall/Winter</t>
        </is>
      </c>
      <c r="O18" t="inlineStr">
        <is>
          <t>Classic</t>
        </is>
      </c>
      <c r="P18" t="n">
        <v>3</v>
      </c>
      <c r="Q18" t="n">
        <v>2</v>
      </c>
      <c r="R18" t="inlineStr">
        <is>
          <t>S01</t>
        </is>
      </c>
      <c r="S18" t="n">
        <v>30</v>
      </c>
      <c r="T18" t="n">
        <v>14</v>
      </c>
      <c r="U18" t="inlineStr">
        <is>
          <t>Active</t>
        </is>
      </c>
    </row>
    <row r="19">
      <c r="A19" s="4" t="inlineStr">
        <is>
          <t>P018</t>
        </is>
      </c>
      <c r="B19" t="inlineStr">
        <is>
          <t>OF-TR-2NA</t>
        </is>
      </c>
      <c r="C19" t="inlineStr">
        <is>
          <t>Navy Wide-Leg Trousers</t>
        </is>
      </c>
      <c r="D19" t="inlineStr">
        <is>
          <t>Trousers</t>
        </is>
      </c>
      <c r="E19" t="inlineStr">
        <is>
          <t>Wide-Leg Trousers</t>
        </is>
      </c>
      <c r="F19" t="inlineStr">
        <is>
          <t>Women</t>
        </is>
      </c>
      <c r="G19" t="inlineStr">
        <is>
          <t>Wool Blend</t>
        </is>
      </c>
      <c r="H19" t="inlineStr">
        <is>
          <t>Navy</t>
        </is>
      </c>
      <c r="I19" t="inlineStr">
        <is>
          <t>XS/S/M/L/XL</t>
        </is>
      </c>
      <c r="J19" s="6" t="n">
        <v>64</v>
      </c>
      <c r="K19" s="6" t="n">
        <v>31</v>
      </c>
      <c r="L19" s="5" t="n">
        <v>45658</v>
      </c>
      <c r="M19" t="inlineStr">
        <is>
          <t>Atelier 2025</t>
        </is>
      </c>
      <c r="N19" t="inlineStr">
        <is>
          <t>Fall/Winter</t>
        </is>
      </c>
      <c r="O19" t="inlineStr">
        <is>
          <t>Classic</t>
        </is>
      </c>
      <c r="P19" t="n">
        <v>3</v>
      </c>
      <c r="Q19" t="n">
        <v>1</v>
      </c>
      <c r="R19" t="inlineStr">
        <is>
          <t>S01</t>
        </is>
      </c>
      <c r="S19" t="n">
        <v>30</v>
      </c>
      <c r="T19" t="n">
        <v>14</v>
      </c>
      <c r="U19" t="inlineStr">
        <is>
          <t>Active</t>
        </is>
      </c>
    </row>
    <row r="20">
      <c r="A20" s="4" t="inlineStr">
        <is>
          <t>P019</t>
        </is>
      </c>
      <c r="B20" t="inlineStr">
        <is>
          <t>OF-TR-2WH</t>
        </is>
      </c>
      <c r="C20" t="inlineStr">
        <is>
          <t>White Wide-Leg Trousers</t>
        </is>
      </c>
      <c r="D20" t="inlineStr">
        <is>
          <t>Trousers</t>
        </is>
      </c>
      <c r="E20" t="inlineStr">
        <is>
          <t>Wide-Leg Trousers</t>
        </is>
      </c>
      <c r="F20" t="inlineStr">
        <is>
          <t>Women</t>
        </is>
      </c>
      <c r="G20" t="inlineStr">
        <is>
          <t>Wool Blend</t>
        </is>
      </c>
      <c r="H20" t="inlineStr">
        <is>
          <t>White</t>
        </is>
      </c>
      <c r="I20" t="inlineStr">
        <is>
          <t>XS/S/M/L/XL</t>
        </is>
      </c>
      <c r="J20" s="6" t="n">
        <v>64</v>
      </c>
      <c r="K20" s="6" t="n">
        <v>32</v>
      </c>
      <c r="L20" s="5" t="n">
        <v>45915</v>
      </c>
      <c r="M20" t="inlineStr">
        <is>
          <t>Heritage 2025</t>
        </is>
      </c>
      <c r="N20" t="inlineStr">
        <is>
          <t>Fall/Winter</t>
        </is>
      </c>
      <c r="O20" t="inlineStr">
        <is>
          <t>Casual Old Fashion</t>
        </is>
      </c>
      <c r="P20" t="n">
        <v>3</v>
      </c>
      <c r="Q20" t="n">
        <v>4</v>
      </c>
      <c r="R20" t="inlineStr">
        <is>
          <t>S02</t>
        </is>
      </c>
      <c r="S20" t="n">
        <v>36</v>
      </c>
      <c r="T20" t="n">
        <v>35</v>
      </c>
      <c r="U20" t="inlineStr">
        <is>
          <t>Active</t>
        </is>
      </c>
    </row>
    <row r="21">
      <c r="A21" s="4" t="inlineStr">
        <is>
          <t>P020</t>
        </is>
      </c>
      <c r="B21" t="inlineStr">
        <is>
          <t>OF-TR-2OL</t>
        </is>
      </c>
      <c r="C21" t="inlineStr">
        <is>
          <t>Olive Wide-Leg Trousers</t>
        </is>
      </c>
      <c r="D21" t="inlineStr">
        <is>
          <t>Trousers</t>
        </is>
      </c>
      <c r="E21" t="inlineStr">
        <is>
          <t>Wide-Leg Trousers</t>
        </is>
      </c>
      <c r="F21" t="inlineStr">
        <is>
          <t>Women</t>
        </is>
      </c>
      <c r="G21" t="inlineStr">
        <is>
          <t>Wool Blend</t>
        </is>
      </c>
      <c r="H21" t="inlineStr">
        <is>
          <t>Olive</t>
        </is>
      </c>
      <c r="I21" t="inlineStr">
        <is>
          <t>XS/S/M/L/XL</t>
        </is>
      </c>
      <c r="J21" s="6" t="n">
        <v>64</v>
      </c>
      <c r="K21" s="6" t="n">
        <v>30</v>
      </c>
      <c r="L21" s="5" t="n">
        <v>45672</v>
      </c>
      <c r="M21" t="inlineStr">
        <is>
          <t>Foundations 2025</t>
        </is>
      </c>
      <c r="N21" t="inlineStr">
        <is>
          <t>Fall/Winter</t>
        </is>
      </c>
      <c r="O21" t="inlineStr">
        <is>
          <t>Formal</t>
        </is>
      </c>
      <c r="P21" t="n">
        <v>4</v>
      </c>
      <c r="Q21" t="n">
        <v>4</v>
      </c>
      <c r="R21" t="inlineStr">
        <is>
          <t>S06</t>
        </is>
      </c>
      <c r="S21" t="n">
        <v>18</v>
      </c>
      <c r="T21" t="n">
        <v>14</v>
      </c>
      <c r="U21" t="inlineStr">
        <is>
          <t>Active</t>
        </is>
      </c>
    </row>
    <row r="22">
      <c r="A22" s="4" t="inlineStr">
        <is>
          <t>P021</t>
        </is>
      </c>
      <c r="B22" t="inlineStr">
        <is>
          <t>OF-TR-3BE</t>
        </is>
      </c>
      <c r="C22" t="inlineStr">
        <is>
          <t>Beige Chino Trousers</t>
        </is>
      </c>
      <c r="D22" t="inlineStr">
        <is>
          <t>Trousers</t>
        </is>
      </c>
      <c r="E22" t="inlineStr">
        <is>
          <t>Chino Trousers</t>
        </is>
      </c>
      <c r="F22" t="inlineStr">
        <is>
          <t>Men</t>
        </is>
      </c>
      <c r="G22" t="inlineStr">
        <is>
          <t>Cotton Twill</t>
        </is>
      </c>
      <c r="H22" t="inlineStr">
        <is>
          <t>Beige</t>
        </is>
      </c>
      <c r="I22" t="inlineStr">
        <is>
          <t>S/M/L/XL/XXL</t>
        </is>
      </c>
      <c r="J22" s="6" t="n">
        <v>54</v>
      </c>
      <c r="K22" s="6" t="n">
        <v>28</v>
      </c>
      <c r="L22" s="5" t="n">
        <v>45910</v>
      </c>
      <c r="M22" t="inlineStr">
        <is>
          <t>Heritage 2025</t>
        </is>
      </c>
      <c r="N22" t="inlineStr">
        <is>
          <t>All Season</t>
        </is>
      </c>
      <c r="O22" t="inlineStr">
        <is>
          <t>Vintage</t>
        </is>
      </c>
      <c r="P22" t="n">
        <v>3</v>
      </c>
      <c r="Q22" t="n">
        <v>2</v>
      </c>
      <c r="R22" t="inlineStr">
        <is>
          <t>S05</t>
        </is>
      </c>
      <c r="S22" t="n">
        <v>36</v>
      </c>
      <c r="T22" t="n">
        <v>21</v>
      </c>
      <c r="U22" t="inlineStr">
        <is>
          <t>Active</t>
        </is>
      </c>
    </row>
    <row r="23">
      <c r="A23" s="4" t="inlineStr">
        <is>
          <t>P022</t>
        </is>
      </c>
      <c r="B23" t="inlineStr">
        <is>
          <t>OF-TR-3NA</t>
        </is>
      </c>
      <c r="C23" t="inlineStr">
        <is>
          <t>Navy Chino Trousers</t>
        </is>
      </c>
      <c r="D23" t="inlineStr">
        <is>
          <t>Trousers</t>
        </is>
      </c>
      <c r="E23" t="inlineStr">
        <is>
          <t>Chino Trousers</t>
        </is>
      </c>
      <c r="F23" t="inlineStr">
        <is>
          <t>Men</t>
        </is>
      </c>
      <c r="G23" t="inlineStr">
        <is>
          <t>Cotton Twill</t>
        </is>
      </c>
      <c r="H23" t="inlineStr">
        <is>
          <t>Navy</t>
        </is>
      </c>
      <c r="I23" t="inlineStr">
        <is>
          <t>S/M/L/XL/XXL</t>
        </is>
      </c>
      <c r="J23" s="6" t="n">
        <v>60</v>
      </c>
      <c r="K23" s="6" t="n">
        <v>26</v>
      </c>
      <c r="L23" s="5" t="n">
        <v>45731</v>
      </c>
      <c r="M23" t="inlineStr">
        <is>
          <t>Heritage 2025</t>
        </is>
      </c>
      <c r="N23" t="inlineStr">
        <is>
          <t>All Season</t>
        </is>
      </c>
      <c r="O23" t="inlineStr">
        <is>
          <t>Classic</t>
        </is>
      </c>
      <c r="P23" t="n">
        <v>4</v>
      </c>
      <c r="Q23" t="n">
        <v>1</v>
      </c>
      <c r="R23" t="inlineStr">
        <is>
          <t>S01</t>
        </is>
      </c>
      <c r="S23" t="n">
        <v>18</v>
      </c>
      <c r="T23" t="n">
        <v>14</v>
      </c>
      <c r="U23" t="inlineStr">
        <is>
          <t>Active</t>
        </is>
      </c>
    </row>
    <row r="24">
      <c r="A24" s="4" t="inlineStr">
        <is>
          <t>P023</t>
        </is>
      </c>
      <c r="B24" t="inlineStr">
        <is>
          <t>OF-TR-3WH</t>
        </is>
      </c>
      <c r="C24" t="inlineStr">
        <is>
          <t>White Chino Trousers</t>
        </is>
      </c>
      <c r="D24" t="inlineStr">
        <is>
          <t>Trousers</t>
        </is>
      </c>
      <c r="E24" t="inlineStr">
        <is>
          <t>Chino Trousers</t>
        </is>
      </c>
      <c r="F24" t="inlineStr">
        <is>
          <t>Men</t>
        </is>
      </c>
      <c r="G24" t="inlineStr">
        <is>
          <t>Cotton Twill</t>
        </is>
      </c>
      <c r="H24" t="inlineStr">
        <is>
          <t>White</t>
        </is>
      </c>
      <c r="I24" t="inlineStr">
        <is>
          <t>S/M/L/XL/XXL</t>
        </is>
      </c>
      <c r="J24" s="6" t="n">
        <v>56</v>
      </c>
      <c r="K24" s="6" t="n">
        <v>26</v>
      </c>
      <c r="L24" s="5" t="n">
        <v>45823</v>
      </c>
      <c r="M24" t="inlineStr">
        <is>
          <t>Foundations 2025</t>
        </is>
      </c>
      <c r="N24" t="inlineStr">
        <is>
          <t>All Season</t>
        </is>
      </c>
      <c r="O24" t="inlineStr">
        <is>
          <t>Vintage</t>
        </is>
      </c>
      <c r="P24" t="n">
        <v>4</v>
      </c>
      <c r="Q24" t="n">
        <v>1</v>
      </c>
      <c r="R24" t="inlineStr">
        <is>
          <t>S02</t>
        </is>
      </c>
      <c r="S24" t="n">
        <v>36</v>
      </c>
      <c r="T24" t="n">
        <v>14</v>
      </c>
      <c r="U24" t="inlineStr">
        <is>
          <t>Active</t>
        </is>
      </c>
    </row>
    <row r="25">
      <c r="A25" s="4" t="inlineStr">
        <is>
          <t>P024</t>
        </is>
      </c>
      <c r="B25" t="inlineStr">
        <is>
          <t>OF-TR-3OL</t>
        </is>
      </c>
      <c r="C25" t="inlineStr">
        <is>
          <t>Olive Chino Trousers</t>
        </is>
      </c>
      <c r="D25" t="inlineStr">
        <is>
          <t>Trousers</t>
        </is>
      </c>
      <c r="E25" t="inlineStr">
        <is>
          <t>Chino Trousers</t>
        </is>
      </c>
      <c r="F25" t="inlineStr">
        <is>
          <t>Men</t>
        </is>
      </c>
      <c r="G25" t="inlineStr">
        <is>
          <t>Cotton Twill</t>
        </is>
      </c>
      <c r="H25" t="inlineStr">
        <is>
          <t>Olive</t>
        </is>
      </c>
      <c r="I25" t="inlineStr">
        <is>
          <t>S/M/L/XL/XXL</t>
        </is>
      </c>
      <c r="J25" s="6" t="n">
        <v>60</v>
      </c>
      <c r="K25" s="6" t="n">
        <v>27</v>
      </c>
      <c r="L25" s="5" t="n">
        <v>45818</v>
      </c>
      <c r="M25" t="inlineStr">
        <is>
          <t>Foundations 2025</t>
        </is>
      </c>
      <c r="N25" t="inlineStr">
        <is>
          <t>All Season</t>
        </is>
      </c>
      <c r="O25" t="inlineStr">
        <is>
          <t>Casual Old Fashion</t>
        </is>
      </c>
      <c r="P25" t="n">
        <v>5</v>
      </c>
      <c r="Q25" t="n">
        <v>4</v>
      </c>
      <c r="R25" t="inlineStr">
        <is>
          <t>S02</t>
        </is>
      </c>
      <c r="S25" t="n">
        <v>24</v>
      </c>
      <c r="T25" t="n">
        <v>28</v>
      </c>
      <c r="U25" t="inlineStr">
        <is>
          <t>Active</t>
        </is>
      </c>
    </row>
    <row r="26">
      <c r="A26" s="4" t="inlineStr">
        <is>
          <t>P025</t>
        </is>
      </c>
      <c r="B26" t="inlineStr">
        <is>
          <t>OF-BL-1BE</t>
        </is>
      </c>
      <c r="C26" t="inlineStr">
        <is>
          <t>Beige Tailored Blazer</t>
        </is>
      </c>
      <c r="D26" t="inlineStr">
        <is>
          <t>Blazers</t>
        </is>
      </c>
      <c r="E26" t="inlineStr">
        <is>
          <t>Tailored Blazer</t>
        </is>
      </c>
      <c r="F26" t="inlineStr">
        <is>
          <t>Unisex</t>
        </is>
      </c>
      <c r="G26" t="inlineStr">
        <is>
          <t>Wool Blend</t>
        </is>
      </c>
      <c r="H26" t="inlineStr">
        <is>
          <t>Beige</t>
        </is>
      </c>
      <c r="I26" t="inlineStr">
        <is>
          <t>S/M/L/XL</t>
        </is>
      </c>
      <c r="J26" s="6" t="n">
        <v>95</v>
      </c>
      <c r="K26" s="6" t="n">
        <v>45</v>
      </c>
      <c r="L26" s="5" t="n">
        <v>45889</v>
      </c>
      <c r="M26" t="inlineStr">
        <is>
          <t>Heritage 2025</t>
        </is>
      </c>
      <c r="N26" t="inlineStr">
        <is>
          <t>Fall/Winter</t>
        </is>
      </c>
      <c r="O26" t="inlineStr">
        <is>
          <t>Minimal</t>
        </is>
      </c>
      <c r="P26" t="n">
        <v>3</v>
      </c>
      <c r="Q26" t="n">
        <v>1</v>
      </c>
      <c r="R26" t="inlineStr">
        <is>
          <t>S05</t>
        </is>
      </c>
      <c r="S26" t="n">
        <v>36</v>
      </c>
      <c r="T26" t="n">
        <v>21</v>
      </c>
      <c r="U26" t="inlineStr">
        <is>
          <t>Active</t>
        </is>
      </c>
    </row>
    <row r="27">
      <c r="A27" s="4" t="inlineStr">
        <is>
          <t>P026</t>
        </is>
      </c>
      <c r="B27" t="inlineStr">
        <is>
          <t>OF-BL-1NA</t>
        </is>
      </c>
      <c r="C27" t="inlineStr">
        <is>
          <t>Navy Tailored Blazer</t>
        </is>
      </c>
      <c r="D27" t="inlineStr">
        <is>
          <t>Blazers</t>
        </is>
      </c>
      <c r="E27" t="inlineStr">
        <is>
          <t>Tailored Blazer</t>
        </is>
      </c>
      <c r="F27" t="inlineStr">
        <is>
          <t>Unisex</t>
        </is>
      </c>
      <c r="G27" t="inlineStr">
        <is>
          <t>Wool Blend</t>
        </is>
      </c>
      <c r="H27" t="inlineStr">
        <is>
          <t>Navy</t>
        </is>
      </c>
      <c r="I27" t="inlineStr">
        <is>
          <t>S/M/L/XL</t>
        </is>
      </c>
      <c r="J27" s="6" t="n">
        <v>93</v>
      </c>
      <c r="K27" s="6" t="n">
        <v>45</v>
      </c>
      <c r="L27" s="5" t="n">
        <v>45689</v>
      </c>
      <c r="M27" t="inlineStr">
        <is>
          <t>Atelier 2025</t>
        </is>
      </c>
      <c r="N27" t="inlineStr">
        <is>
          <t>Fall/Winter</t>
        </is>
      </c>
      <c r="O27" t="inlineStr">
        <is>
          <t>Classic</t>
        </is>
      </c>
      <c r="P27" t="n">
        <v>5</v>
      </c>
      <c r="Q27" t="n">
        <v>2</v>
      </c>
      <c r="R27" t="inlineStr">
        <is>
          <t>S04</t>
        </is>
      </c>
      <c r="S27" t="n">
        <v>18</v>
      </c>
      <c r="T27" t="n">
        <v>21</v>
      </c>
      <c r="U27" t="inlineStr">
        <is>
          <t>Active</t>
        </is>
      </c>
    </row>
    <row r="28">
      <c r="A28" s="4" t="inlineStr">
        <is>
          <t>P027</t>
        </is>
      </c>
      <c r="B28" t="inlineStr">
        <is>
          <t>OF-BL-1WH</t>
        </is>
      </c>
      <c r="C28" t="inlineStr">
        <is>
          <t>White Tailored Blazer</t>
        </is>
      </c>
      <c r="D28" t="inlineStr">
        <is>
          <t>Blazers</t>
        </is>
      </c>
      <c r="E28" t="inlineStr">
        <is>
          <t>Tailored Blazer</t>
        </is>
      </c>
      <c r="F28" t="inlineStr">
        <is>
          <t>Unisex</t>
        </is>
      </c>
      <c r="G28" t="inlineStr">
        <is>
          <t>Wool Blend</t>
        </is>
      </c>
      <c r="H28" t="inlineStr">
        <is>
          <t>White</t>
        </is>
      </c>
      <c r="I28" t="inlineStr">
        <is>
          <t>S/M/L/XL</t>
        </is>
      </c>
      <c r="J28" s="6" t="n">
        <v>93</v>
      </c>
      <c r="K28" s="6" t="n">
        <v>45</v>
      </c>
      <c r="L28" s="5" t="n">
        <v>45828</v>
      </c>
      <c r="M28" t="inlineStr">
        <is>
          <t>Atelier 2025</t>
        </is>
      </c>
      <c r="N28" t="inlineStr">
        <is>
          <t>Fall/Winter</t>
        </is>
      </c>
      <c r="O28" t="inlineStr">
        <is>
          <t>Casual Old Fashion</t>
        </is>
      </c>
      <c r="P28" t="n">
        <v>4</v>
      </c>
      <c r="Q28" t="n">
        <v>3</v>
      </c>
      <c r="R28" t="inlineStr">
        <is>
          <t>S02</t>
        </is>
      </c>
      <c r="S28" t="n">
        <v>30</v>
      </c>
      <c r="T28" t="n">
        <v>21</v>
      </c>
      <c r="U28" t="inlineStr">
        <is>
          <t>Active</t>
        </is>
      </c>
    </row>
    <row r="29">
      <c r="A29" s="4" t="inlineStr">
        <is>
          <t>P028</t>
        </is>
      </c>
      <c r="B29" t="inlineStr">
        <is>
          <t>OF-BL-1OL</t>
        </is>
      </c>
      <c r="C29" t="inlineStr">
        <is>
          <t>Olive Tailored Blazer</t>
        </is>
      </c>
      <c r="D29" t="inlineStr">
        <is>
          <t>Blazers</t>
        </is>
      </c>
      <c r="E29" t="inlineStr">
        <is>
          <t>Tailored Blazer</t>
        </is>
      </c>
      <c r="F29" t="inlineStr">
        <is>
          <t>Unisex</t>
        </is>
      </c>
      <c r="G29" t="inlineStr">
        <is>
          <t>Wool Blend</t>
        </is>
      </c>
      <c r="H29" t="inlineStr">
        <is>
          <t>Olive</t>
        </is>
      </c>
      <c r="I29" t="inlineStr">
        <is>
          <t>S/M/L/XL</t>
        </is>
      </c>
      <c r="J29" s="6" t="n">
        <v>97</v>
      </c>
      <c r="K29" s="6" t="n">
        <v>48</v>
      </c>
      <c r="L29" s="5" t="n">
        <v>45698</v>
      </c>
      <c r="M29" t="inlineStr">
        <is>
          <t>Foundations 2025</t>
        </is>
      </c>
      <c r="N29" t="inlineStr">
        <is>
          <t>Fall/Winter</t>
        </is>
      </c>
      <c r="O29" t="inlineStr">
        <is>
          <t>Minimal</t>
        </is>
      </c>
      <c r="P29" t="n">
        <v>3</v>
      </c>
      <c r="Q29" t="n">
        <v>1</v>
      </c>
      <c r="R29" t="inlineStr">
        <is>
          <t>S04</t>
        </is>
      </c>
      <c r="S29" t="n">
        <v>18</v>
      </c>
      <c r="T29" t="n">
        <v>14</v>
      </c>
      <c r="U29" t="inlineStr">
        <is>
          <t>Active</t>
        </is>
      </c>
    </row>
    <row r="30">
      <c r="A30" s="4" t="inlineStr">
        <is>
          <t>P029</t>
        </is>
      </c>
      <c r="B30" t="inlineStr">
        <is>
          <t>OF-BL-2BE</t>
        </is>
      </c>
      <c r="C30" t="inlineStr">
        <is>
          <t>Beige Double-Breasted Blazer</t>
        </is>
      </c>
      <c r="D30" t="inlineStr">
        <is>
          <t>Blazers</t>
        </is>
      </c>
      <c r="E30" t="inlineStr">
        <is>
          <t>Double-Breasted Blazer</t>
        </is>
      </c>
      <c r="F30" t="inlineStr">
        <is>
          <t>Women</t>
        </is>
      </c>
      <c r="G30" t="inlineStr">
        <is>
          <t>Wool Blend</t>
        </is>
      </c>
      <c r="H30" t="inlineStr">
        <is>
          <t>Beige</t>
        </is>
      </c>
      <c r="I30" t="inlineStr">
        <is>
          <t>XS/S/M/L/XL</t>
        </is>
      </c>
      <c r="J30" s="6" t="n">
        <v>110</v>
      </c>
      <c r="K30" s="6" t="n">
        <v>56</v>
      </c>
      <c r="L30" s="5" t="n">
        <v>45698</v>
      </c>
      <c r="M30" t="inlineStr">
        <is>
          <t>Heritage 2025</t>
        </is>
      </c>
      <c r="N30" t="inlineStr">
        <is>
          <t>Fall/Winter</t>
        </is>
      </c>
      <c r="O30" t="inlineStr">
        <is>
          <t>Vintage</t>
        </is>
      </c>
      <c r="P30" t="n">
        <v>4</v>
      </c>
      <c r="Q30" t="n">
        <v>3</v>
      </c>
      <c r="R30" t="inlineStr">
        <is>
          <t>S02</t>
        </is>
      </c>
      <c r="S30" t="n">
        <v>36</v>
      </c>
      <c r="T30" t="n">
        <v>28</v>
      </c>
      <c r="U30" t="inlineStr">
        <is>
          <t>Active</t>
        </is>
      </c>
    </row>
    <row r="31">
      <c r="A31" s="4" t="inlineStr">
        <is>
          <t>P030</t>
        </is>
      </c>
      <c r="B31" t="inlineStr">
        <is>
          <t>OF-BL-2NA</t>
        </is>
      </c>
      <c r="C31" t="inlineStr">
        <is>
          <t>Navy Double-Breasted Blazer</t>
        </is>
      </c>
      <c r="D31" t="inlineStr">
        <is>
          <t>Blazers</t>
        </is>
      </c>
      <c r="E31" t="inlineStr">
        <is>
          <t>Double-Breasted Blazer</t>
        </is>
      </c>
      <c r="F31" t="inlineStr">
        <is>
          <t>Women</t>
        </is>
      </c>
      <c r="G31" t="inlineStr">
        <is>
          <t>Wool Blend</t>
        </is>
      </c>
      <c r="H31" t="inlineStr">
        <is>
          <t>Navy</t>
        </is>
      </c>
      <c r="I31" t="inlineStr">
        <is>
          <t>XS/S/M/L/XL</t>
        </is>
      </c>
      <c r="J31" s="6" t="n">
        <v>108</v>
      </c>
      <c r="K31" s="6" t="n">
        <v>56</v>
      </c>
      <c r="L31" s="5" t="n">
        <v>45901</v>
      </c>
      <c r="M31" t="inlineStr">
        <is>
          <t>Heritage 2025</t>
        </is>
      </c>
      <c r="N31" t="inlineStr">
        <is>
          <t>Fall/Winter</t>
        </is>
      </c>
      <c r="O31" t="inlineStr">
        <is>
          <t>Minimal</t>
        </is>
      </c>
      <c r="P31" t="n">
        <v>3</v>
      </c>
      <c r="Q31" t="n">
        <v>1</v>
      </c>
      <c r="R31" t="inlineStr">
        <is>
          <t>S06</t>
        </is>
      </c>
      <c r="S31" t="n">
        <v>24</v>
      </c>
      <c r="T31" t="n">
        <v>28</v>
      </c>
      <c r="U31" t="inlineStr">
        <is>
          <t>Active</t>
        </is>
      </c>
    </row>
    <row r="32">
      <c r="A32" s="4" t="inlineStr">
        <is>
          <t>P031</t>
        </is>
      </c>
      <c r="B32" t="inlineStr">
        <is>
          <t>OF-BL-2WH</t>
        </is>
      </c>
      <c r="C32" t="inlineStr">
        <is>
          <t>White Double-Breasted Blazer</t>
        </is>
      </c>
      <c r="D32" t="inlineStr">
        <is>
          <t>Blazers</t>
        </is>
      </c>
      <c r="E32" t="inlineStr">
        <is>
          <t>Double-Breasted Blazer</t>
        </is>
      </c>
      <c r="F32" t="inlineStr">
        <is>
          <t>Women</t>
        </is>
      </c>
      <c r="G32" t="inlineStr">
        <is>
          <t>Wool Blend</t>
        </is>
      </c>
      <c r="H32" t="inlineStr">
        <is>
          <t>White</t>
        </is>
      </c>
      <c r="I32" t="inlineStr">
        <is>
          <t>XS/S/M/L/XL</t>
        </is>
      </c>
      <c r="J32" s="6" t="n">
        <v>112</v>
      </c>
      <c r="K32" s="6" t="n">
        <v>55</v>
      </c>
      <c r="L32" s="5" t="n">
        <v>45910</v>
      </c>
      <c r="M32" t="inlineStr">
        <is>
          <t>Heritage 2025</t>
        </is>
      </c>
      <c r="N32" t="inlineStr">
        <is>
          <t>Fall/Winter</t>
        </is>
      </c>
      <c r="O32" t="inlineStr">
        <is>
          <t>Minimal</t>
        </is>
      </c>
      <c r="P32" t="n">
        <v>5</v>
      </c>
      <c r="Q32" t="n">
        <v>4</v>
      </c>
      <c r="R32" t="inlineStr">
        <is>
          <t>S03</t>
        </is>
      </c>
      <c r="S32" t="n">
        <v>18</v>
      </c>
      <c r="T32" t="n">
        <v>14</v>
      </c>
      <c r="U32" t="inlineStr">
        <is>
          <t>Active</t>
        </is>
      </c>
    </row>
    <row r="33">
      <c r="A33" s="4" t="inlineStr">
        <is>
          <t>P032</t>
        </is>
      </c>
      <c r="B33" t="inlineStr">
        <is>
          <t>OF-BL-2OL</t>
        </is>
      </c>
      <c r="C33" t="inlineStr">
        <is>
          <t>Olive Double-Breasted Blazer</t>
        </is>
      </c>
      <c r="D33" t="inlineStr">
        <is>
          <t>Blazers</t>
        </is>
      </c>
      <c r="E33" t="inlineStr">
        <is>
          <t>Double-Breasted Blazer</t>
        </is>
      </c>
      <c r="F33" t="inlineStr">
        <is>
          <t>Women</t>
        </is>
      </c>
      <c r="G33" t="inlineStr">
        <is>
          <t>Wool Blend</t>
        </is>
      </c>
      <c r="H33" t="inlineStr">
        <is>
          <t>Olive</t>
        </is>
      </c>
      <c r="I33" t="inlineStr">
        <is>
          <t>XS/S/M/L/XL</t>
        </is>
      </c>
      <c r="J33" s="6" t="n">
        <v>114</v>
      </c>
      <c r="K33" s="6" t="n">
        <v>56</v>
      </c>
      <c r="L33" s="5" t="n">
        <v>45658</v>
      </c>
      <c r="M33" t="inlineStr">
        <is>
          <t>Foundations 2025</t>
        </is>
      </c>
      <c r="N33" t="inlineStr">
        <is>
          <t>Fall/Winter</t>
        </is>
      </c>
      <c r="O33" t="inlineStr">
        <is>
          <t>Vintage</t>
        </is>
      </c>
      <c r="P33" t="n">
        <v>5</v>
      </c>
      <c r="Q33" t="n">
        <v>3</v>
      </c>
      <c r="R33" t="inlineStr">
        <is>
          <t>S02</t>
        </is>
      </c>
      <c r="S33" t="n">
        <v>36</v>
      </c>
      <c r="T33" t="n">
        <v>35</v>
      </c>
      <c r="U33" t="inlineStr">
        <is>
          <t>Active</t>
        </is>
      </c>
    </row>
    <row r="34">
      <c r="A34" s="4" t="inlineStr">
        <is>
          <t>P033</t>
        </is>
      </c>
      <c r="B34" t="inlineStr">
        <is>
          <t>OF-BL-3BE</t>
        </is>
      </c>
      <c r="C34" t="inlineStr">
        <is>
          <t>Beige Casual Blazer</t>
        </is>
      </c>
      <c r="D34" t="inlineStr">
        <is>
          <t>Blazers</t>
        </is>
      </c>
      <c r="E34" t="inlineStr">
        <is>
          <t>Casual Blazer</t>
        </is>
      </c>
      <c r="F34" t="inlineStr">
        <is>
          <t>Men</t>
        </is>
      </c>
      <c r="G34" t="inlineStr">
        <is>
          <t>Cotton Blend</t>
        </is>
      </c>
      <c r="H34" t="inlineStr">
        <is>
          <t>Beige</t>
        </is>
      </c>
      <c r="I34" t="inlineStr">
        <is>
          <t>S/M/L/XL/XXL</t>
        </is>
      </c>
      <c r="J34" s="6" t="n">
        <v>86</v>
      </c>
      <c r="K34" s="6" t="n">
        <v>42</v>
      </c>
      <c r="L34" s="5" t="n">
        <v>45662</v>
      </c>
      <c r="M34" t="inlineStr">
        <is>
          <t>Atelier 2025</t>
        </is>
      </c>
      <c r="N34" t="inlineStr">
        <is>
          <t>All Season</t>
        </is>
      </c>
      <c r="O34" t="inlineStr">
        <is>
          <t>Classic</t>
        </is>
      </c>
      <c r="P34" t="n">
        <v>4</v>
      </c>
      <c r="Q34" t="n">
        <v>2</v>
      </c>
      <c r="R34" t="inlineStr">
        <is>
          <t>S04</t>
        </is>
      </c>
      <c r="S34" t="n">
        <v>24</v>
      </c>
      <c r="T34" t="n">
        <v>14</v>
      </c>
      <c r="U34" t="inlineStr">
        <is>
          <t>Active</t>
        </is>
      </c>
    </row>
    <row r="35">
      <c r="A35" s="4" t="inlineStr">
        <is>
          <t>P034</t>
        </is>
      </c>
      <c r="B35" t="inlineStr">
        <is>
          <t>OF-BL-3NA</t>
        </is>
      </c>
      <c r="C35" t="inlineStr">
        <is>
          <t>Navy Casual Blazer</t>
        </is>
      </c>
      <c r="D35" t="inlineStr">
        <is>
          <t>Blazers</t>
        </is>
      </c>
      <c r="E35" t="inlineStr">
        <is>
          <t>Casual Blazer</t>
        </is>
      </c>
      <c r="F35" t="inlineStr">
        <is>
          <t>Men</t>
        </is>
      </c>
      <c r="G35" t="inlineStr">
        <is>
          <t>Cotton Blend</t>
        </is>
      </c>
      <c r="H35" t="inlineStr">
        <is>
          <t>Navy</t>
        </is>
      </c>
      <c r="I35" t="inlineStr">
        <is>
          <t>S/M/L/XL/XXL</t>
        </is>
      </c>
      <c r="J35" s="6" t="n">
        <v>90</v>
      </c>
      <c r="K35" s="6" t="n">
        <v>44</v>
      </c>
      <c r="L35" s="5" t="n">
        <v>45667</v>
      </c>
      <c r="M35" t="inlineStr">
        <is>
          <t>Heritage 2025</t>
        </is>
      </c>
      <c r="N35" t="inlineStr">
        <is>
          <t>All Season</t>
        </is>
      </c>
      <c r="O35" t="inlineStr">
        <is>
          <t>Vintage</t>
        </is>
      </c>
      <c r="P35" t="n">
        <v>5</v>
      </c>
      <c r="Q35" t="n">
        <v>1</v>
      </c>
      <c r="R35" t="inlineStr">
        <is>
          <t>S03</t>
        </is>
      </c>
      <c r="S35" t="n">
        <v>36</v>
      </c>
      <c r="T35" t="n">
        <v>21</v>
      </c>
      <c r="U35" t="inlineStr">
        <is>
          <t>Active</t>
        </is>
      </c>
    </row>
    <row r="36">
      <c r="A36" s="4" t="inlineStr">
        <is>
          <t>P035</t>
        </is>
      </c>
      <c r="B36" t="inlineStr">
        <is>
          <t>OF-BL-3WH</t>
        </is>
      </c>
      <c r="C36" t="inlineStr">
        <is>
          <t>White Casual Blazer</t>
        </is>
      </c>
      <c r="D36" t="inlineStr">
        <is>
          <t>Blazers</t>
        </is>
      </c>
      <c r="E36" t="inlineStr">
        <is>
          <t>Casual Blazer</t>
        </is>
      </c>
      <c r="F36" t="inlineStr">
        <is>
          <t>Men</t>
        </is>
      </c>
      <c r="G36" t="inlineStr">
        <is>
          <t>Cotton Blend</t>
        </is>
      </c>
      <c r="H36" t="inlineStr">
        <is>
          <t>White</t>
        </is>
      </c>
      <c r="I36" t="inlineStr">
        <is>
          <t>S/M/L/XL/XXL</t>
        </is>
      </c>
      <c r="J36" s="6" t="n">
        <v>88</v>
      </c>
      <c r="K36" s="6" t="n">
        <v>43</v>
      </c>
      <c r="L36" s="5" t="n">
        <v>45703</v>
      </c>
      <c r="M36" t="inlineStr">
        <is>
          <t>Heritage 2025</t>
        </is>
      </c>
      <c r="N36" t="inlineStr">
        <is>
          <t>All Season</t>
        </is>
      </c>
      <c r="O36" t="inlineStr">
        <is>
          <t>Vintage</t>
        </is>
      </c>
      <c r="P36" t="n">
        <v>5</v>
      </c>
      <c r="Q36" t="n">
        <v>3</v>
      </c>
      <c r="R36" t="inlineStr">
        <is>
          <t>S04</t>
        </is>
      </c>
      <c r="S36" t="n">
        <v>24</v>
      </c>
      <c r="T36" t="n">
        <v>28</v>
      </c>
      <c r="U36" t="inlineStr">
        <is>
          <t>Active</t>
        </is>
      </c>
    </row>
    <row r="37">
      <c r="A37" s="4" t="inlineStr">
        <is>
          <t>P036</t>
        </is>
      </c>
      <c r="B37" t="inlineStr">
        <is>
          <t>OF-BL-3OL</t>
        </is>
      </c>
      <c r="C37" t="inlineStr">
        <is>
          <t>Olive Casual Blazer</t>
        </is>
      </c>
      <c r="D37" t="inlineStr">
        <is>
          <t>Blazers</t>
        </is>
      </c>
      <c r="E37" t="inlineStr">
        <is>
          <t>Casual Blazer</t>
        </is>
      </c>
      <c r="F37" t="inlineStr">
        <is>
          <t>Men</t>
        </is>
      </c>
      <c r="G37" t="inlineStr">
        <is>
          <t>Cotton Blend</t>
        </is>
      </c>
      <c r="H37" t="inlineStr">
        <is>
          <t>Olive</t>
        </is>
      </c>
      <c r="I37" t="inlineStr">
        <is>
          <t>S/M/L/XL/XXL</t>
        </is>
      </c>
      <c r="J37" s="6" t="n">
        <v>88</v>
      </c>
      <c r="K37" s="6" t="n">
        <v>42</v>
      </c>
      <c r="L37" s="5" t="n">
        <v>45809</v>
      </c>
      <c r="M37" t="inlineStr">
        <is>
          <t>Foundations 2025</t>
        </is>
      </c>
      <c r="N37" t="inlineStr">
        <is>
          <t>All Season</t>
        </is>
      </c>
      <c r="O37" t="inlineStr">
        <is>
          <t>Vintage</t>
        </is>
      </c>
      <c r="P37" t="n">
        <v>3</v>
      </c>
      <c r="Q37" t="n">
        <v>4</v>
      </c>
      <c r="R37" t="inlineStr">
        <is>
          <t>S03</t>
        </is>
      </c>
      <c r="S37" t="n">
        <v>30</v>
      </c>
      <c r="T37" t="n">
        <v>21</v>
      </c>
      <c r="U37" t="inlineStr">
        <is>
          <t>Active</t>
        </is>
      </c>
    </row>
    <row r="38">
      <c r="A38" s="4" t="inlineStr">
        <is>
          <t>P037</t>
        </is>
      </c>
      <c r="B38" t="inlineStr">
        <is>
          <t>OF-DR-1BE</t>
        </is>
      </c>
      <c r="C38" t="inlineStr">
        <is>
          <t>Beige Midi Dress</t>
        </is>
      </c>
      <c r="D38" t="inlineStr">
        <is>
          <t>Dresses</t>
        </is>
      </c>
      <c r="E38" t="inlineStr">
        <is>
          <t>Midi Dress</t>
        </is>
      </c>
      <c r="F38" t="inlineStr">
        <is>
          <t>Women</t>
        </is>
      </c>
      <c r="G38" t="inlineStr">
        <is>
          <t>Cotton</t>
        </is>
      </c>
      <c r="H38" t="inlineStr">
        <is>
          <t>Beige</t>
        </is>
      </c>
      <c r="I38" t="inlineStr">
        <is>
          <t>XS/S/M/L/XL</t>
        </is>
      </c>
      <c r="J38" s="6" t="n">
        <v>72</v>
      </c>
      <c r="K38" s="6" t="n">
        <v>33</v>
      </c>
      <c r="L38" s="5" t="n">
        <v>45905</v>
      </c>
      <c r="M38" t="inlineStr">
        <is>
          <t>Foundations 2025</t>
        </is>
      </c>
      <c r="N38" t="inlineStr">
        <is>
          <t>Spring/Summer</t>
        </is>
      </c>
      <c r="O38" t="inlineStr">
        <is>
          <t>Minimal</t>
        </is>
      </c>
      <c r="P38" t="n">
        <v>4</v>
      </c>
      <c r="Q38" t="n">
        <v>1</v>
      </c>
      <c r="R38" t="inlineStr">
        <is>
          <t>S03</t>
        </is>
      </c>
      <c r="S38" t="n">
        <v>30</v>
      </c>
      <c r="T38" t="n">
        <v>35</v>
      </c>
      <c r="U38" t="inlineStr">
        <is>
          <t>Active</t>
        </is>
      </c>
    </row>
    <row r="39">
      <c r="A39" s="4" t="inlineStr">
        <is>
          <t>P038</t>
        </is>
      </c>
      <c r="B39" t="inlineStr">
        <is>
          <t>OF-DR-1NA</t>
        </is>
      </c>
      <c r="C39" t="inlineStr">
        <is>
          <t>Navy Midi Dress</t>
        </is>
      </c>
      <c r="D39" t="inlineStr">
        <is>
          <t>Dresses</t>
        </is>
      </c>
      <c r="E39" t="inlineStr">
        <is>
          <t>Midi Dress</t>
        </is>
      </c>
      <c r="F39" t="inlineStr">
        <is>
          <t>Women</t>
        </is>
      </c>
      <c r="G39" t="inlineStr">
        <is>
          <t>Cotton</t>
        </is>
      </c>
      <c r="H39" t="inlineStr">
        <is>
          <t>Navy</t>
        </is>
      </c>
      <c r="I39" t="inlineStr">
        <is>
          <t>XS/S/M/L/XL</t>
        </is>
      </c>
      <c r="J39" s="6" t="n">
        <v>74</v>
      </c>
      <c r="K39" s="6" t="n">
        <v>33</v>
      </c>
      <c r="L39" s="5" t="n">
        <v>45667</v>
      </c>
      <c r="M39" t="inlineStr">
        <is>
          <t>Heritage 2025</t>
        </is>
      </c>
      <c r="N39" t="inlineStr">
        <is>
          <t>Spring/Summer</t>
        </is>
      </c>
      <c r="O39" t="inlineStr">
        <is>
          <t>Casual Old Fashion</t>
        </is>
      </c>
      <c r="P39" t="n">
        <v>4</v>
      </c>
      <c r="Q39" t="n">
        <v>1</v>
      </c>
      <c r="R39" t="inlineStr">
        <is>
          <t>S01</t>
        </is>
      </c>
      <c r="S39" t="n">
        <v>36</v>
      </c>
      <c r="T39" t="n">
        <v>28</v>
      </c>
      <c r="U39" t="inlineStr">
        <is>
          <t>Active</t>
        </is>
      </c>
    </row>
    <row r="40">
      <c r="A40" s="4" t="inlineStr">
        <is>
          <t>P039</t>
        </is>
      </c>
      <c r="B40" t="inlineStr">
        <is>
          <t>OF-DR-1WH</t>
        </is>
      </c>
      <c r="C40" t="inlineStr">
        <is>
          <t>White Midi Dress</t>
        </is>
      </c>
      <c r="D40" t="inlineStr">
        <is>
          <t>Dresses</t>
        </is>
      </c>
      <c r="E40" t="inlineStr">
        <is>
          <t>Midi Dress</t>
        </is>
      </c>
      <c r="F40" t="inlineStr">
        <is>
          <t>Women</t>
        </is>
      </c>
      <c r="G40" t="inlineStr">
        <is>
          <t>Cotton</t>
        </is>
      </c>
      <c r="H40" t="inlineStr">
        <is>
          <t>White</t>
        </is>
      </c>
      <c r="I40" t="inlineStr">
        <is>
          <t>XS/S/M/L/XL</t>
        </is>
      </c>
      <c r="J40" s="6" t="n">
        <v>74</v>
      </c>
      <c r="K40" s="6" t="n">
        <v>36</v>
      </c>
      <c r="L40" s="5" t="n">
        <v>45889</v>
      </c>
      <c r="M40" t="inlineStr">
        <is>
          <t>Heritage 2025</t>
        </is>
      </c>
      <c r="N40" t="inlineStr">
        <is>
          <t>Spring/Summer</t>
        </is>
      </c>
      <c r="O40" t="inlineStr">
        <is>
          <t>Formal</t>
        </is>
      </c>
      <c r="P40" t="n">
        <v>5</v>
      </c>
      <c r="Q40" t="n">
        <v>2</v>
      </c>
      <c r="R40" t="inlineStr">
        <is>
          <t>S03</t>
        </is>
      </c>
      <c r="S40" t="n">
        <v>18</v>
      </c>
      <c r="T40" t="n">
        <v>35</v>
      </c>
      <c r="U40" t="inlineStr">
        <is>
          <t>Active</t>
        </is>
      </c>
    </row>
    <row r="41">
      <c r="A41" s="4" t="inlineStr">
        <is>
          <t>P040</t>
        </is>
      </c>
      <c r="B41" t="inlineStr">
        <is>
          <t>OF-DR-1OL</t>
        </is>
      </c>
      <c r="C41" t="inlineStr">
        <is>
          <t>Olive Midi Dress</t>
        </is>
      </c>
      <c r="D41" t="inlineStr">
        <is>
          <t>Dresses</t>
        </is>
      </c>
      <c r="E41" t="inlineStr">
        <is>
          <t>Midi Dress</t>
        </is>
      </c>
      <c r="F41" t="inlineStr">
        <is>
          <t>Women</t>
        </is>
      </c>
      <c r="G41" t="inlineStr">
        <is>
          <t>Cotton</t>
        </is>
      </c>
      <c r="H41" t="inlineStr">
        <is>
          <t>Olive</t>
        </is>
      </c>
      <c r="I41" t="inlineStr">
        <is>
          <t>XS/S/M/L/XL</t>
        </is>
      </c>
      <c r="J41" s="6" t="n">
        <v>70</v>
      </c>
      <c r="K41" s="6" t="n">
        <v>34</v>
      </c>
      <c r="L41" s="5" t="n">
        <v>45731</v>
      </c>
      <c r="M41" t="inlineStr">
        <is>
          <t>Heritage 2025</t>
        </is>
      </c>
      <c r="N41" t="inlineStr">
        <is>
          <t>Spring/Summer</t>
        </is>
      </c>
      <c r="O41" t="inlineStr">
        <is>
          <t>Minimal</t>
        </is>
      </c>
      <c r="P41" t="n">
        <v>5</v>
      </c>
      <c r="Q41" t="n">
        <v>3</v>
      </c>
      <c r="R41" t="inlineStr">
        <is>
          <t>S06</t>
        </is>
      </c>
      <c r="S41" t="n">
        <v>18</v>
      </c>
      <c r="T41" t="n">
        <v>28</v>
      </c>
      <c r="U41" t="inlineStr">
        <is>
          <t>Active</t>
        </is>
      </c>
    </row>
    <row r="42">
      <c r="A42" s="4" t="inlineStr">
        <is>
          <t>P041</t>
        </is>
      </c>
      <c r="B42" t="inlineStr">
        <is>
          <t>OF-DR-2BE</t>
        </is>
      </c>
      <c r="C42" t="inlineStr">
        <is>
          <t>Beige Shirt Dress</t>
        </is>
      </c>
      <c r="D42" t="inlineStr">
        <is>
          <t>Dresses</t>
        </is>
      </c>
      <c r="E42" t="inlineStr">
        <is>
          <t>Shirt Dress</t>
        </is>
      </c>
      <c r="F42" t="inlineStr">
        <is>
          <t>Women</t>
        </is>
      </c>
      <c r="G42" t="inlineStr">
        <is>
          <t>Cotton Poplin</t>
        </is>
      </c>
      <c r="H42" t="inlineStr">
        <is>
          <t>Beige</t>
        </is>
      </c>
      <c r="I42" t="inlineStr">
        <is>
          <t>XS/S/M/L/XL</t>
        </is>
      </c>
      <c r="J42" s="6" t="n">
        <v>78</v>
      </c>
      <c r="K42" s="6" t="n">
        <v>38</v>
      </c>
      <c r="L42" s="5" t="n">
        <v>45731</v>
      </c>
      <c r="M42" t="inlineStr">
        <is>
          <t>Atelier 2025</t>
        </is>
      </c>
      <c r="N42" t="inlineStr">
        <is>
          <t>All Season</t>
        </is>
      </c>
      <c r="O42" t="inlineStr">
        <is>
          <t>Minimal</t>
        </is>
      </c>
      <c r="P42" t="n">
        <v>5</v>
      </c>
      <c r="Q42" t="n">
        <v>2</v>
      </c>
      <c r="R42" t="inlineStr">
        <is>
          <t>S02</t>
        </is>
      </c>
      <c r="S42" t="n">
        <v>36</v>
      </c>
      <c r="T42" t="n">
        <v>35</v>
      </c>
      <c r="U42" t="inlineStr">
        <is>
          <t>Active</t>
        </is>
      </c>
    </row>
    <row r="43">
      <c r="A43" s="4" t="inlineStr">
        <is>
          <t>P042</t>
        </is>
      </c>
      <c r="B43" t="inlineStr">
        <is>
          <t>OF-DR-2NA</t>
        </is>
      </c>
      <c r="C43" t="inlineStr">
        <is>
          <t>Navy Shirt Dress</t>
        </is>
      </c>
      <c r="D43" t="inlineStr">
        <is>
          <t>Dresses</t>
        </is>
      </c>
      <c r="E43" t="inlineStr">
        <is>
          <t>Shirt Dress</t>
        </is>
      </c>
      <c r="F43" t="inlineStr">
        <is>
          <t>Women</t>
        </is>
      </c>
      <c r="G43" t="inlineStr">
        <is>
          <t>Cotton Poplin</t>
        </is>
      </c>
      <c r="H43" t="inlineStr">
        <is>
          <t>Navy</t>
        </is>
      </c>
      <c r="I43" t="inlineStr">
        <is>
          <t>XS/S/M/L/XL</t>
        </is>
      </c>
      <c r="J43" s="6" t="n">
        <v>76</v>
      </c>
      <c r="K43" s="6" t="n">
        <v>37</v>
      </c>
      <c r="L43" s="5" t="n">
        <v>45828</v>
      </c>
      <c r="M43" t="inlineStr">
        <is>
          <t>Heritage 2025</t>
        </is>
      </c>
      <c r="N43" t="inlineStr">
        <is>
          <t>All Season</t>
        </is>
      </c>
      <c r="O43" t="inlineStr">
        <is>
          <t>Minimal</t>
        </is>
      </c>
      <c r="P43" t="n">
        <v>4</v>
      </c>
      <c r="Q43" t="n">
        <v>2</v>
      </c>
      <c r="R43" t="inlineStr">
        <is>
          <t>S04</t>
        </is>
      </c>
      <c r="S43" t="n">
        <v>30</v>
      </c>
      <c r="T43" t="n">
        <v>35</v>
      </c>
      <c r="U43" t="inlineStr">
        <is>
          <t>Active</t>
        </is>
      </c>
    </row>
    <row r="44">
      <c r="A44" s="4" t="inlineStr">
        <is>
          <t>P043</t>
        </is>
      </c>
      <c r="B44" t="inlineStr">
        <is>
          <t>OF-DR-2WH</t>
        </is>
      </c>
      <c r="C44" t="inlineStr">
        <is>
          <t>White Shirt Dress</t>
        </is>
      </c>
      <c r="D44" t="inlineStr">
        <is>
          <t>Dresses</t>
        </is>
      </c>
      <c r="E44" t="inlineStr">
        <is>
          <t>Shirt Dress</t>
        </is>
      </c>
      <c r="F44" t="inlineStr">
        <is>
          <t>Women</t>
        </is>
      </c>
      <c r="G44" t="inlineStr">
        <is>
          <t>Cotton Poplin</t>
        </is>
      </c>
      <c r="H44" t="inlineStr">
        <is>
          <t>White</t>
        </is>
      </c>
      <c r="I44" t="inlineStr">
        <is>
          <t>XS/S/M/L/XL</t>
        </is>
      </c>
      <c r="J44" s="6" t="n">
        <v>80</v>
      </c>
      <c r="K44" s="6" t="n">
        <v>38</v>
      </c>
      <c r="L44" s="5" t="n">
        <v>45905</v>
      </c>
      <c r="M44" t="inlineStr">
        <is>
          <t>Atelier 2025</t>
        </is>
      </c>
      <c r="N44" t="inlineStr">
        <is>
          <t>All Season</t>
        </is>
      </c>
      <c r="O44" t="inlineStr">
        <is>
          <t>Formal</t>
        </is>
      </c>
      <c r="P44" t="n">
        <v>5</v>
      </c>
      <c r="Q44" t="n">
        <v>2</v>
      </c>
      <c r="R44" t="inlineStr">
        <is>
          <t>S06</t>
        </is>
      </c>
      <c r="S44" t="n">
        <v>18</v>
      </c>
      <c r="T44" t="n">
        <v>28</v>
      </c>
      <c r="U44" t="inlineStr">
        <is>
          <t>Active</t>
        </is>
      </c>
    </row>
    <row r="45">
      <c r="A45" s="4" t="inlineStr">
        <is>
          <t>P044</t>
        </is>
      </c>
      <c r="B45" t="inlineStr">
        <is>
          <t>OF-DR-2OL</t>
        </is>
      </c>
      <c r="C45" t="inlineStr">
        <is>
          <t>Olive Shirt Dress</t>
        </is>
      </c>
      <c r="D45" t="inlineStr">
        <is>
          <t>Dresses</t>
        </is>
      </c>
      <c r="E45" t="inlineStr">
        <is>
          <t>Shirt Dress</t>
        </is>
      </c>
      <c r="F45" t="inlineStr">
        <is>
          <t>Women</t>
        </is>
      </c>
      <c r="G45" t="inlineStr">
        <is>
          <t>Cotton Poplin</t>
        </is>
      </c>
      <c r="H45" t="inlineStr">
        <is>
          <t>Olive</t>
        </is>
      </c>
      <c r="I45" t="inlineStr">
        <is>
          <t>XS/S/M/L/XL</t>
        </is>
      </c>
      <c r="J45" s="6" t="n">
        <v>78</v>
      </c>
      <c r="K45" s="6" t="n">
        <v>35</v>
      </c>
      <c r="L45" s="5" t="n">
        <v>45698</v>
      </c>
      <c r="M45" t="inlineStr">
        <is>
          <t>Heritage 2025</t>
        </is>
      </c>
      <c r="N45" t="inlineStr">
        <is>
          <t>All Season</t>
        </is>
      </c>
      <c r="O45" t="inlineStr">
        <is>
          <t>Vintage</t>
        </is>
      </c>
      <c r="P45" t="n">
        <v>3</v>
      </c>
      <c r="Q45" t="n">
        <v>1</v>
      </c>
      <c r="R45" t="inlineStr">
        <is>
          <t>S01</t>
        </is>
      </c>
      <c r="S45" t="n">
        <v>24</v>
      </c>
      <c r="T45" t="n">
        <v>35</v>
      </c>
      <c r="U45" t="inlineStr">
        <is>
          <t>Active</t>
        </is>
      </c>
    </row>
    <row r="46">
      <c r="A46" s="4" t="inlineStr">
        <is>
          <t>P045</t>
        </is>
      </c>
      <c r="B46" t="inlineStr">
        <is>
          <t>OF-DR-3BE</t>
        </is>
      </c>
      <c r="C46" t="inlineStr">
        <is>
          <t>Beige A-Line Dress</t>
        </is>
      </c>
      <c r="D46" t="inlineStr">
        <is>
          <t>Dresses</t>
        </is>
      </c>
      <c r="E46" t="inlineStr">
        <is>
          <t>A-Line Dress</t>
        </is>
      </c>
      <c r="F46" t="inlineStr">
        <is>
          <t>Women</t>
        </is>
      </c>
      <c r="G46" t="inlineStr">
        <is>
          <t>Linen Blend</t>
        </is>
      </c>
      <c r="H46" t="inlineStr">
        <is>
          <t>Beige</t>
        </is>
      </c>
      <c r="I46" t="inlineStr">
        <is>
          <t>XS/S/M/L/XL</t>
        </is>
      </c>
      <c r="J46" s="6" t="n">
        <v>66</v>
      </c>
      <c r="K46" s="6" t="n">
        <v>33</v>
      </c>
      <c r="L46" s="5" t="n">
        <v>45828</v>
      </c>
      <c r="M46" t="inlineStr">
        <is>
          <t>Heritage 2025</t>
        </is>
      </c>
      <c r="N46" t="inlineStr">
        <is>
          <t>Spring/Summer</t>
        </is>
      </c>
      <c r="O46" t="inlineStr">
        <is>
          <t>Formal</t>
        </is>
      </c>
      <c r="P46" t="n">
        <v>4</v>
      </c>
      <c r="Q46" t="n">
        <v>4</v>
      </c>
      <c r="R46" t="inlineStr">
        <is>
          <t>S02</t>
        </is>
      </c>
      <c r="S46" t="n">
        <v>24</v>
      </c>
      <c r="T46" t="n">
        <v>14</v>
      </c>
      <c r="U46" t="inlineStr">
        <is>
          <t>Active</t>
        </is>
      </c>
    </row>
    <row r="47">
      <c r="A47" s="4" t="inlineStr">
        <is>
          <t>P046</t>
        </is>
      </c>
      <c r="B47" t="inlineStr">
        <is>
          <t>OF-DR-3NA</t>
        </is>
      </c>
      <c r="C47" t="inlineStr">
        <is>
          <t>Navy A-Line Dress</t>
        </is>
      </c>
      <c r="D47" t="inlineStr">
        <is>
          <t>Dresses</t>
        </is>
      </c>
      <c r="E47" t="inlineStr">
        <is>
          <t>A-Line Dress</t>
        </is>
      </c>
      <c r="F47" t="inlineStr">
        <is>
          <t>Women</t>
        </is>
      </c>
      <c r="G47" t="inlineStr">
        <is>
          <t>Linen Blend</t>
        </is>
      </c>
      <c r="H47" t="inlineStr">
        <is>
          <t>Navy</t>
        </is>
      </c>
      <c r="I47" t="inlineStr">
        <is>
          <t>XS/S/M/L/XL</t>
        </is>
      </c>
      <c r="J47" s="6" t="n">
        <v>66</v>
      </c>
      <c r="K47" s="6" t="n">
        <v>33</v>
      </c>
      <c r="L47" s="5" t="n">
        <v>45693</v>
      </c>
      <c r="M47" t="inlineStr">
        <is>
          <t>Atelier 2025</t>
        </is>
      </c>
      <c r="N47" t="inlineStr">
        <is>
          <t>Spring/Summer</t>
        </is>
      </c>
      <c r="O47" t="inlineStr">
        <is>
          <t>Casual Old Fashion</t>
        </is>
      </c>
      <c r="P47" t="n">
        <v>4</v>
      </c>
      <c r="Q47" t="n">
        <v>1</v>
      </c>
      <c r="R47" t="inlineStr">
        <is>
          <t>S05</t>
        </is>
      </c>
      <c r="S47" t="n">
        <v>24</v>
      </c>
      <c r="T47" t="n">
        <v>14</v>
      </c>
      <c r="U47" t="inlineStr">
        <is>
          <t>Active</t>
        </is>
      </c>
    </row>
    <row r="48">
      <c r="A48" s="4" t="inlineStr">
        <is>
          <t>P047</t>
        </is>
      </c>
      <c r="B48" t="inlineStr">
        <is>
          <t>OF-DR-3WH</t>
        </is>
      </c>
      <c r="C48" t="inlineStr">
        <is>
          <t>White A-Line Dress</t>
        </is>
      </c>
      <c r="D48" t="inlineStr">
        <is>
          <t>Dresses</t>
        </is>
      </c>
      <c r="E48" t="inlineStr">
        <is>
          <t>A-Line Dress</t>
        </is>
      </c>
      <c r="F48" t="inlineStr">
        <is>
          <t>Women</t>
        </is>
      </c>
      <c r="G48" t="inlineStr">
        <is>
          <t>Linen Blend</t>
        </is>
      </c>
      <c r="H48" t="inlineStr">
        <is>
          <t>White</t>
        </is>
      </c>
      <c r="I48" t="inlineStr">
        <is>
          <t>XS/S/M/L/XL</t>
        </is>
      </c>
      <c r="J48" s="6" t="n">
        <v>72</v>
      </c>
      <c r="K48" s="6" t="n">
        <v>31</v>
      </c>
      <c r="L48" s="5" t="n">
        <v>45828</v>
      </c>
      <c r="M48" t="inlineStr">
        <is>
          <t>Atelier 2025</t>
        </is>
      </c>
      <c r="N48" t="inlineStr">
        <is>
          <t>Spring/Summer</t>
        </is>
      </c>
      <c r="O48" t="inlineStr">
        <is>
          <t>Casual Old Fashion</t>
        </is>
      </c>
      <c r="P48" t="n">
        <v>4</v>
      </c>
      <c r="Q48" t="n">
        <v>4</v>
      </c>
      <c r="R48" t="inlineStr">
        <is>
          <t>S05</t>
        </is>
      </c>
      <c r="S48" t="n">
        <v>36</v>
      </c>
      <c r="T48" t="n">
        <v>35</v>
      </c>
      <c r="U48" t="inlineStr">
        <is>
          <t>Active</t>
        </is>
      </c>
    </row>
    <row r="49">
      <c r="A49" s="4" t="inlineStr">
        <is>
          <t>P048</t>
        </is>
      </c>
      <c r="B49" t="inlineStr">
        <is>
          <t>OF-DR-3OL</t>
        </is>
      </c>
      <c r="C49" t="inlineStr">
        <is>
          <t>Olive A-Line Dress</t>
        </is>
      </c>
      <c r="D49" t="inlineStr">
        <is>
          <t>Dresses</t>
        </is>
      </c>
      <c r="E49" t="inlineStr">
        <is>
          <t>A-Line Dress</t>
        </is>
      </c>
      <c r="F49" t="inlineStr">
        <is>
          <t>Women</t>
        </is>
      </c>
      <c r="G49" t="inlineStr">
        <is>
          <t>Linen Blend</t>
        </is>
      </c>
      <c r="H49" t="inlineStr">
        <is>
          <t>Olive</t>
        </is>
      </c>
      <c r="I49" t="inlineStr">
        <is>
          <t>XS/S/M/L/XL</t>
        </is>
      </c>
      <c r="J49" s="6" t="n">
        <v>68</v>
      </c>
      <c r="K49" s="6" t="n">
        <v>33</v>
      </c>
      <c r="L49" s="5" t="n">
        <v>45818</v>
      </c>
      <c r="M49" t="inlineStr">
        <is>
          <t>Heritage 2025</t>
        </is>
      </c>
      <c r="N49" t="inlineStr">
        <is>
          <t>Spring/Summer</t>
        </is>
      </c>
      <c r="O49" t="inlineStr">
        <is>
          <t>Minimal</t>
        </is>
      </c>
      <c r="P49" t="n">
        <v>5</v>
      </c>
      <c r="Q49" t="n">
        <v>4</v>
      </c>
      <c r="R49" t="inlineStr">
        <is>
          <t>S06</t>
        </is>
      </c>
      <c r="S49" t="n">
        <v>24</v>
      </c>
      <c r="T49" t="n">
        <v>28</v>
      </c>
      <c r="U49" t="inlineStr">
        <is>
          <t>Active</t>
        </is>
      </c>
    </row>
    <row r="50">
      <c r="A50" s="4" t="inlineStr">
        <is>
          <t>P049</t>
        </is>
      </c>
      <c r="B50" t="inlineStr">
        <is>
          <t>OF-KN-1BE</t>
        </is>
      </c>
      <c r="C50" t="inlineStr">
        <is>
          <t>Beige Crewneck Sweater</t>
        </is>
      </c>
      <c r="D50" t="inlineStr">
        <is>
          <t>Knitwear</t>
        </is>
      </c>
      <c r="E50" t="inlineStr">
        <is>
          <t>Crewneck Sweater</t>
        </is>
      </c>
      <c r="F50" t="inlineStr">
        <is>
          <t>Unisex</t>
        </is>
      </c>
      <c r="G50" t="inlineStr">
        <is>
          <t>Merino Wool</t>
        </is>
      </c>
      <c r="H50" t="inlineStr">
        <is>
          <t>Beige</t>
        </is>
      </c>
      <c r="I50" t="inlineStr">
        <is>
          <t>S/M/L/XL</t>
        </is>
      </c>
      <c r="J50" s="6" t="n">
        <v>70</v>
      </c>
      <c r="K50" s="6" t="n">
        <v>29</v>
      </c>
      <c r="L50" s="5" t="n">
        <v>45910</v>
      </c>
      <c r="M50" t="inlineStr">
        <is>
          <t>Heritage 2025</t>
        </is>
      </c>
      <c r="N50" t="inlineStr">
        <is>
          <t>Fall/Winter</t>
        </is>
      </c>
      <c r="O50" t="inlineStr">
        <is>
          <t>Minimal</t>
        </is>
      </c>
      <c r="P50" t="n">
        <v>4</v>
      </c>
      <c r="Q50" t="n">
        <v>3</v>
      </c>
      <c r="R50" t="inlineStr">
        <is>
          <t>S05</t>
        </is>
      </c>
      <c r="S50" t="n">
        <v>18</v>
      </c>
      <c r="T50" t="n">
        <v>21</v>
      </c>
      <c r="U50" t="inlineStr">
        <is>
          <t>Active</t>
        </is>
      </c>
    </row>
    <row r="51">
      <c r="A51" s="4" t="inlineStr">
        <is>
          <t>P050</t>
        </is>
      </c>
      <c r="B51" t="inlineStr">
        <is>
          <t>OF-KN-1NA</t>
        </is>
      </c>
      <c r="C51" t="inlineStr">
        <is>
          <t>Navy Crewneck Sweater</t>
        </is>
      </c>
      <c r="D51" t="inlineStr">
        <is>
          <t>Knitwear</t>
        </is>
      </c>
      <c r="E51" t="inlineStr">
        <is>
          <t>Crewneck Sweater</t>
        </is>
      </c>
      <c r="F51" t="inlineStr">
        <is>
          <t>Unisex</t>
        </is>
      </c>
      <c r="G51" t="inlineStr">
        <is>
          <t>Merino Wool</t>
        </is>
      </c>
      <c r="H51" t="inlineStr">
        <is>
          <t>Navy</t>
        </is>
      </c>
      <c r="I51" t="inlineStr">
        <is>
          <t>S/M/L/XL</t>
        </is>
      </c>
      <c r="J51" s="6" t="n">
        <v>66</v>
      </c>
      <c r="K51" s="6" t="n">
        <v>30</v>
      </c>
      <c r="L51" s="5" t="n">
        <v>45813</v>
      </c>
      <c r="M51" t="inlineStr">
        <is>
          <t>Atelier 2025</t>
        </is>
      </c>
      <c r="N51" t="inlineStr">
        <is>
          <t>Fall/Winter</t>
        </is>
      </c>
      <c r="O51" t="inlineStr">
        <is>
          <t>Vintage</t>
        </is>
      </c>
      <c r="P51" t="n">
        <v>3</v>
      </c>
      <c r="Q51" t="n">
        <v>4</v>
      </c>
      <c r="R51" t="inlineStr">
        <is>
          <t>S04</t>
        </is>
      </c>
      <c r="S51" t="n">
        <v>30</v>
      </c>
      <c r="T51" t="n">
        <v>35</v>
      </c>
      <c r="U51" t="inlineStr">
        <is>
          <t>Active</t>
        </is>
      </c>
    </row>
    <row r="52">
      <c r="A52" s="4" t="inlineStr">
        <is>
          <t>P051</t>
        </is>
      </c>
      <c r="B52" t="inlineStr">
        <is>
          <t>OF-KN-1WH</t>
        </is>
      </c>
      <c r="C52" t="inlineStr">
        <is>
          <t>White Crewneck Sweater</t>
        </is>
      </c>
      <c r="D52" t="inlineStr">
        <is>
          <t>Knitwear</t>
        </is>
      </c>
      <c r="E52" t="inlineStr">
        <is>
          <t>Crewneck Sweater</t>
        </is>
      </c>
      <c r="F52" t="inlineStr">
        <is>
          <t>Unisex</t>
        </is>
      </c>
      <c r="G52" t="inlineStr">
        <is>
          <t>Merino Wool</t>
        </is>
      </c>
      <c r="H52" t="inlineStr">
        <is>
          <t>White</t>
        </is>
      </c>
      <c r="I52" t="inlineStr">
        <is>
          <t>S/M/L/XL</t>
        </is>
      </c>
      <c r="J52" s="6" t="n">
        <v>70</v>
      </c>
      <c r="K52" s="6" t="n">
        <v>29</v>
      </c>
      <c r="L52" s="5" t="n">
        <v>45703</v>
      </c>
      <c r="M52" t="inlineStr">
        <is>
          <t>Foundations 2025</t>
        </is>
      </c>
      <c r="N52" t="inlineStr">
        <is>
          <t>Fall/Winter</t>
        </is>
      </c>
      <c r="O52" t="inlineStr">
        <is>
          <t>Casual Old Fashion</t>
        </is>
      </c>
      <c r="P52" t="n">
        <v>5</v>
      </c>
      <c r="Q52" t="n">
        <v>1</v>
      </c>
      <c r="R52" t="inlineStr">
        <is>
          <t>S05</t>
        </is>
      </c>
      <c r="S52" t="n">
        <v>36</v>
      </c>
      <c r="T52" t="n">
        <v>35</v>
      </c>
      <c r="U52" t="inlineStr">
        <is>
          <t>Active</t>
        </is>
      </c>
    </row>
    <row r="53">
      <c r="A53" s="4" t="inlineStr">
        <is>
          <t>P052</t>
        </is>
      </c>
      <c r="B53" t="inlineStr">
        <is>
          <t>OF-KN-1OL</t>
        </is>
      </c>
      <c r="C53" t="inlineStr">
        <is>
          <t>Olive Crewneck Sweater</t>
        </is>
      </c>
      <c r="D53" t="inlineStr">
        <is>
          <t>Knitwear</t>
        </is>
      </c>
      <c r="E53" t="inlineStr">
        <is>
          <t>Crewneck Sweater</t>
        </is>
      </c>
      <c r="F53" t="inlineStr">
        <is>
          <t>Unisex</t>
        </is>
      </c>
      <c r="G53" t="inlineStr">
        <is>
          <t>Merino Wool</t>
        </is>
      </c>
      <c r="H53" t="inlineStr">
        <is>
          <t>Olive</t>
        </is>
      </c>
      <c r="I53" t="inlineStr">
        <is>
          <t>S/M/L/XL</t>
        </is>
      </c>
      <c r="J53" s="6" t="n">
        <v>64</v>
      </c>
      <c r="K53" s="6" t="n">
        <v>31</v>
      </c>
      <c r="L53" s="5" t="n">
        <v>45731</v>
      </c>
      <c r="M53" t="inlineStr">
        <is>
          <t>Foundations 2025</t>
        </is>
      </c>
      <c r="N53" t="inlineStr">
        <is>
          <t>Fall/Winter</t>
        </is>
      </c>
      <c r="O53" t="inlineStr">
        <is>
          <t>Casual Old Fashion</t>
        </is>
      </c>
      <c r="P53" t="n">
        <v>5</v>
      </c>
      <c r="Q53" t="n">
        <v>2</v>
      </c>
      <c r="R53" t="inlineStr">
        <is>
          <t>S04</t>
        </is>
      </c>
      <c r="S53" t="n">
        <v>24</v>
      </c>
      <c r="T53" t="n">
        <v>28</v>
      </c>
      <c r="U53" t="inlineStr">
        <is>
          <t>Active</t>
        </is>
      </c>
    </row>
    <row r="54">
      <c r="A54" s="4" t="inlineStr">
        <is>
          <t>P053</t>
        </is>
      </c>
      <c r="B54" t="inlineStr">
        <is>
          <t>OF-KN-2BE</t>
        </is>
      </c>
      <c r="C54" t="inlineStr">
        <is>
          <t>Beige Cardigan</t>
        </is>
      </c>
      <c r="D54" t="inlineStr">
        <is>
          <t>Knitwear</t>
        </is>
      </c>
      <c r="E54" t="inlineStr">
        <is>
          <t>Cardigan</t>
        </is>
      </c>
      <c r="F54" t="inlineStr">
        <is>
          <t>Women</t>
        </is>
      </c>
      <c r="G54" t="inlineStr">
        <is>
          <t>Cotton Knit</t>
        </is>
      </c>
      <c r="H54" t="inlineStr">
        <is>
          <t>Beige</t>
        </is>
      </c>
      <c r="I54" t="inlineStr">
        <is>
          <t>XS/S/M/L/XL</t>
        </is>
      </c>
      <c r="J54" s="6" t="n">
        <v>74</v>
      </c>
      <c r="K54" s="6" t="n">
        <v>34</v>
      </c>
      <c r="L54" s="5" t="n">
        <v>45672</v>
      </c>
      <c r="M54" t="inlineStr">
        <is>
          <t>Foundations 2025</t>
        </is>
      </c>
      <c r="N54" t="inlineStr">
        <is>
          <t>Fall/Winter</t>
        </is>
      </c>
      <c r="O54" t="inlineStr">
        <is>
          <t>Formal</t>
        </is>
      </c>
      <c r="P54" t="n">
        <v>5</v>
      </c>
      <c r="Q54" t="n">
        <v>2</v>
      </c>
      <c r="R54" t="inlineStr">
        <is>
          <t>S04</t>
        </is>
      </c>
      <c r="S54" t="n">
        <v>24</v>
      </c>
      <c r="T54" t="n">
        <v>14</v>
      </c>
      <c r="U54" t="inlineStr">
        <is>
          <t>Active</t>
        </is>
      </c>
    </row>
    <row r="55">
      <c r="A55" s="4" t="inlineStr">
        <is>
          <t>P054</t>
        </is>
      </c>
      <c r="B55" t="inlineStr">
        <is>
          <t>OF-KN-2NA</t>
        </is>
      </c>
      <c r="C55" t="inlineStr">
        <is>
          <t>Navy Cardigan</t>
        </is>
      </c>
      <c r="D55" t="inlineStr">
        <is>
          <t>Knitwear</t>
        </is>
      </c>
      <c r="E55" t="inlineStr">
        <is>
          <t>Cardigan</t>
        </is>
      </c>
      <c r="F55" t="inlineStr">
        <is>
          <t>Women</t>
        </is>
      </c>
      <c r="G55" t="inlineStr">
        <is>
          <t>Cotton Knit</t>
        </is>
      </c>
      <c r="H55" t="inlineStr">
        <is>
          <t>Navy</t>
        </is>
      </c>
      <c r="I55" t="inlineStr">
        <is>
          <t>XS/S/M/L/XL</t>
        </is>
      </c>
      <c r="J55" s="6" t="n">
        <v>74</v>
      </c>
      <c r="K55" s="6" t="n">
        <v>31</v>
      </c>
      <c r="L55" s="5" t="n">
        <v>45672</v>
      </c>
      <c r="M55" t="inlineStr">
        <is>
          <t>Heritage 2025</t>
        </is>
      </c>
      <c r="N55" t="inlineStr">
        <is>
          <t>Fall/Winter</t>
        </is>
      </c>
      <c r="O55" t="inlineStr">
        <is>
          <t>Formal</t>
        </is>
      </c>
      <c r="P55" t="n">
        <v>3</v>
      </c>
      <c r="Q55" t="n">
        <v>1</v>
      </c>
      <c r="R55" t="inlineStr">
        <is>
          <t>S03</t>
        </is>
      </c>
      <c r="S55" t="n">
        <v>36</v>
      </c>
      <c r="T55" t="n">
        <v>28</v>
      </c>
      <c r="U55" t="inlineStr">
        <is>
          <t>Active</t>
        </is>
      </c>
    </row>
    <row r="56">
      <c r="A56" s="4" t="inlineStr">
        <is>
          <t>P055</t>
        </is>
      </c>
      <c r="B56" t="inlineStr">
        <is>
          <t>OF-KN-2WH</t>
        </is>
      </c>
      <c r="C56" t="inlineStr">
        <is>
          <t>White Cardigan</t>
        </is>
      </c>
      <c r="D56" t="inlineStr">
        <is>
          <t>Knitwear</t>
        </is>
      </c>
      <c r="E56" t="inlineStr">
        <is>
          <t>Cardigan</t>
        </is>
      </c>
      <c r="F56" t="inlineStr">
        <is>
          <t>Women</t>
        </is>
      </c>
      <c r="G56" t="inlineStr">
        <is>
          <t>Cotton Knit</t>
        </is>
      </c>
      <c r="H56" t="inlineStr">
        <is>
          <t>White</t>
        </is>
      </c>
      <c r="I56" t="inlineStr">
        <is>
          <t>XS/S/M/L/XL</t>
        </is>
      </c>
      <c r="J56" s="6" t="n">
        <v>70</v>
      </c>
      <c r="K56" s="6" t="n">
        <v>34</v>
      </c>
      <c r="L56" s="5" t="n">
        <v>45726</v>
      </c>
      <c r="M56" t="inlineStr">
        <is>
          <t>Foundations 2025</t>
        </is>
      </c>
      <c r="N56" t="inlineStr">
        <is>
          <t>Fall/Winter</t>
        </is>
      </c>
      <c r="O56" t="inlineStr">
        <is>
          <t>Minimal</t>
        </is>
      </c>
      <c r="P56" t="n">
        <v>4</v>
      </c>
      <c r="Q56" t="n">
        <v>3</v>
      </c>
      <c r="R56" t="inlineStr">
        <is>
          <t>S01</t>
        </is>
      </c>
      <c r="S56" t="n">
        <v>36</v>
      </c>
      <c r="T56" t="n">
        <v>14</v>
      </c>
      <c r="U56" t="inlineStr">
        <is>
          <t>Active</t>
        </is>
      </c>
    </row>
    <row r="57">
      <c r="A57" s="4" t="inlineStr">
        <is>
          <t>P056</t>
        </is>
      </c>
      <c r="B57" t="inlineStr">
        <is>
          <t>OF-KN-2OL</t>
        </is>
      </c>
      <c r="C57" t="inlineStr">
        <is>
          <t>Olive Cardigan</t>
        </is>
      </c>
      <c r="D57" t="inlineStr">
        <is>
          <t>Knitwear</t>
        </is>
      </c>
      <c r="E57" t="inlineStr">
        <is>
          <t>Cardigan</t>
        </is>
      </c>
      <c r="F57" t="inlineStr">
        <is>
          <t>Women</t>
        </is>
      </c>
      <c r="G57" t="inlineStr">
        <is>
          <t>Cotton Knit</t>
        </is>
      </c>
      <c r="H57" t="inlineStr">
        <is>
          <t>Olive</t>
        </is>
      </c>
      <c r="I57" t="inlineStr">
        <is>
          <t>XS/S/M/L/XL</t>
        </is>
      </c>
      <c r="J57" s="6" t="n">
        <v>68</v>
      </c>
      <c r="K57" s="6" t="n">
        <v>33</v>
      </c>
      <c r="L57" s="5" t="n">
        <v>45689</v>
      </c>
      <c r="M57" t="inlineStr">
        <is>
          <t>Atelier 2025</t>
        </is>
      </c>
      <c r="N57" t="inlineStr">
        <is>
          <t>Fall/Winter</t>
        </is>
      </c>
      <c r="O57" t="inlineStr">
        <is>
          <t>Classic</t>
        </is>
      </c>
      <c r="P57" t="n">
        <v>3</v>
      </c>
      <c r="Q57" t="n">
        <v>2</v>
      </c>
      <c r="R57" t="inlineStr">
        <is>
          <t>S02</t>
        </is>
      </c>
      <c r="S57" t="n">
        <v>18</v>
      </c>
      <c r="T57" t="n">
        <v>21</v>
      </c>
      <c r="U57" t="inlineStr">
        <is>
          <t>Active</t>
        </is>
      </c>
    </row>
    <row r="58">
      <c r="A58" s="4" t="inlineStr">
        <is>
          <t>P057</t>
        </is>
      </c>
      <c r="B58" t="inlineStr">
        <is>
          <t>OF-KN-3BE</t>
        </is>
      </c>
      <c r="C58" t="inlineStr">
        <is>
          <t>Beige Turtleneck</t>
        </is>
      </c>
      <c r="D58" t="inlineStr">
        <is>
          <t>Knitwear</t>
        </is>
      </c>
      <c r="E58" t="inlineStr">
        <is>
          <t>Turtleneck</t>
        </is>
      </c>
      <c r="F58" t="inlineStr">
        <is>
          <t>Unisex</t>
        </is>
      </c>
      <c r="G58" t="inlineStr">
        <is>
          <t>Merino Wool</t>
        </is>
      </c>
      <c r="H58" t="inlineStr">
        <is>
          <t>Beige</t>
        </is>
      </c>
      <c r="I58" t="inlineStr">
        <is>
          <t>S/M/L/XL</t>
        </is>
      </c>
      <c r="J58" s="6" t="n">
        <v>74</v>
      </c>
      <c r="K58" s="6" t="n">
        <v>35</v>
      </c>
      <c r="L58" s="5" t="n">
        <v>45809</v>
      </c>
      <c r="M58" t="inlineStr">
        <is>
          <t>Atelier 2025</t>
        </is>
      </c>
      <c r="N58" t="inlineStr">
        <is>
          <t>Fall/Winter</t>
        </is>
      </c>
      <c r="O58" t="inlineStr">
        <is>
          <t>Vintage</t>
        </is>
      </c>
      <c r="P58" t="n">
        <v>4</v>
      </c>
      <c r="Q58" t="n">
        <v>3</v>
      </c>
      <c r="R58" t="inlineStr">
        <is>
          <t>S03</t>
        </is>
      </c>
      <c r="S58" t="n">
        <v>24</v>
      </c>
      <c r="T58" t="n">
        <v>14</v>
      </c>
      <c r="U58" t="inlineStr">
        <is>
          <t>Active</t>
        </is>
      </c>
    </row>
    <row r="59">
      <c r="A59" s="4" t="inlineStr">
        <is>
          <t>P058</t>
        </is>
      </c>
      <c r="B59" t="inlineStr">
        <is>
          <t>OF-KN-3NA</t>
        </is>
      </c>
      <c r="C59" t="inlineStr">
        <is>
          <t>Navy Turtleneck</t>
        </is>
      </c>
      <c r="D59" t="inlineStr">
        <is>
          <t>Knitwear</t>
        </is>
      </c>
      <c r="E59" t="inlineStr">
        <is>
          <t>Turtleneck</t>
        </is>
      </c>
      <c r="F59" t="inlineStr">
        <is>
          <t>Unisex</t>
        </is>
      </c>
      <c r="G59" t="inlineStr">
        <is>
          <t>Merino Wool</t>
        </is>
      </c>
      <c r="H59" t="inlineStr">
        <is>
          <t>Navy</t>
        </is>
      </c>
      <c r="I59" t="inlineStr">
        <is>
          <t>S/M/L/XL</t>
        </is>
      </c>
      <c r="J59" s="6" t="n">
        <v>74</v>
      </c>
      <c r="K59" s="6" t="n">
        <v>36</v>
      </c>
      <c r="L59" s="5" t="n">
        <v>45677</v>
      </c>
      <c r="M59" t="inlineStr">
        <is>
          <t>Heritage 2025</t>
        </is>
      </c>
      <c r="N59" t="inlineStr">
        <is>
          <t>Fall/Winter</t>
        </is>
      </c>
      <c r="O59" t="inlineStr">
        <is>
          <t>Minimal</t>
        </is>
      </c>
      <c r="P59" t="n">
        <v>5</v>
      </c>
      <c r="Q59" t="n">
        <v>4</v>
      </c>
      <c r="R59" t="inlineStr">
        <is>
          <t>S04</t>
        </is>
      </c>
      <c r="S59" t="n">
        <v>24</v>
      </c>
      <c r="T59" t="n">
        <v>14</v>
      </c>
      <c r="U59" t="inlineStr">
        <is>
          <t>Active</t>
        </is>
      </c>
    </row>
    <row r="60">
      <c r="A60" s="4" t="inlineStr">
        <is>
          <t>P059</t>
        </is>
      </c>
      <c r="B60" t="inlineStr">
        <is>
          <t>OF-KN-3WH</t>
        </is>
      </c>
      <c r="C60" t="inlineStr">
        <is>
          <t>White Turtleneck</t>
        </is>
      </c>
      <c r="D60" t="inlineStr">
        <is>
          <t>Knitwear</t>
        </is>
      </c>
      <c r="E60" t="inlineStr">
        <is>
          <t>Turtleneck</t>
        </is>
      </c>
      <c r="F60" t="inlineStr">
        <is>
          <t>Unisex</t>
        </is>
      </c>
      <c r="G60" t="inlineStr">
        <is>
          <t>Merino Wool</t>
        </is>
      </c>
      <c r="H60" t="inlineStr">
        <is>
          <t>White</t>
        </is>
      </c>
      <c r="I60" t="inlineStr">
        <is>
          <t>S/M/L/XL</t>
        </is>
      </c>
      <c r="J60" s="6" t="n">
        <v>74</v>
      </c>
      <c r="K60" s="6" t="n">
        <v>34</v>
      </c>
      <c r="L60" s="5" t="n">
        <v>45910</v>
      </c>
      <c r="M60" t="inlineStr">
        <is>
          <t>Atelier 2025</t>
        </is>
      </c>
      <c r="N60" t="inlineStr">
        <is>
          <t>Fall/Winter</t>
        </is>
      </c>
      <c r="O60" t="inlineStr">
        <is>
          <t>Casual Old Fashion</t>
        </is>
      </c>
      <c r="P60" t="n">
        <v>3</v>
      </c>
      <c r="Q60" t="n">
        <v>1</v>
      </c>
      <c r="R60" t="inlineStr">
        <is>
          <t>S03</t>
        </is>
      </c>
      <c r="S60" t="n">
        <v>36</v>
      </c>
      <c r="T60" t="n">
        <v>28</v>
      </c>
      <c r="U60" t="inlineStr">
        <is>
          <t>Active</t>
        </is>
      </c>
    </row>
    <row r="61">
      <c r="A61" s="4" t="inlineStr">
        <is>
          <t>P060</t>
        </is>
      </c>
      <c r="B61" t="inlineStr">
        <is>
          <t>OF-KN-3OL</t>
        </is>
      </c>
      <c r="C61" t="inlineStr">
        <is>
          <t>Olive Turtleneck</t>
        </is>
      </c>
      <c r="D61" t="inlineStr">
        <is>
          <t>Knitwear</t>
        </is>
      </c>
      <c r="E61" t="inlineStr">
        <is>
          <t>Turtleneck</t>
        </is>
      </c>
      <c r="F61" t="inlineStr">
        <is>
          <t>Unisex</t>
        </is>
      </c>
      <c r="G61" t="inlineStr">
        <is>
          <t>Merino Wool</t>
        </is>
      </c>
      <c r="H61" t="inlineStr">
        <is>
          <t>Olive</t>
        </is>
      </c>
      <c r="I61" t="inlineStr">
        <is>
          <t>S/M/L/XL</t>
        </is>
      </c>
      <c r="J61" s="6" t="n">
        <v>72</v>
      </c>
      <c r="K61" s="6" t="n">
        <v>36</v>
      </c>
      <c r="L61" s="5" t="n">
        <v>45672</v>
      </c>
      <c r="M61" t="inlineStr">
        <is>
          <t>Foundations 2025</t>
        </is>
      </c>
      <c r="N61" t="inlineStr">
        <is>
          <t>Fall/Winter</t>
        </is>
      </c>
      <c r="O61" t="inlineStr">
        <is>
          <t>Classic</t>
        </is>
      </c>
      <c r="P61" t="n">
        <v>4</v>
      </c>
      <c r="Q61" t="n">
        <v>3</v>
      </c>
      <c r="R61" t="inlineStr">
        <is>
          <t>S06</t>
        </is>
      </c>
      <c r="S61" t="n">
        <v>36</v>
      </c>
      <c r="T61" t="n">
        <v>21</v>
      </c>
      <c r="U61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4" customWidth="1" min="5" max="5"/>
    <col width="19" customWidth="1" min="6" max="6"/>
    <col width="19" customWidth="1" min="7" max="7"/>
    <col width="22" customWidth="1" min="8" max="8"/>
    <col width="16" customWidth="1" min="9" max="9"/>
  </cols>
  <sheetData>
    <row r="1">
      <c r="A1" s="3" t="inlineStr">
        <is>
          <t>Customer_ID</t>
        </is>
      </c>
      <c r="B1" s="3" t="inlineStr">
        <is>
          <t>Gender</t>
        </is>
      </c>
      <c r="C1" s="3" t="inlineStr">
        <is>
          <t>Age</t>
        </is>
      </c>
      <c r="D1" s="3" t="inlineStr">
        <is>
          <t>City</t>
        </is>
      </c>
      <c r="E1" s="3" t="inlineStr">
        <is>
          <t>Country</t>
        </is>
      </c>
      <c r="F1" s="3" t="inlineStr">
        <is>
          <t>Customer_Segment</t>
        </is>
      </c>
      <c r="G1" s="3" t="inlineStr">
        <is>
          <t>Registration_Date</t>
        </is>
      </c>
      <c r="H1" s="3" t="inlineStr">
        <is>
          <t>Preferred_Channel_ID</t>
        </is>
      </c>
      <c r="I1" s="3" t="inlineStr">
        <is>
          <t>Loyalty_Status</t>
        </is>
      </c>
    </row>
    <row r="2">
      <c r="A2" s="4" t="inlineStr">
        <is>
          <t>C001</t>
        </is>
      </c>
      <c r="B2" t="inlineStr">
        <is>
          <t>Men</t>
        </is>
      </c>
      <c r="C2" t="n">
        <v>31</v>
      </c>
      <c r="D2" t="inlineStr">
        <is>
          <t>Kuwait City</t>
        </is>
      </c>
      <c r="E2" t="inlineStr">
        <is>
          <t>Jordan</t>
        </is>
      </c>
      <c r="F2" t="inlineStr">
        <is>
          <t>Premium Tailoring</t>
        </is>
      </c>
      <c r="G2" s="5" t="n">
        <v>45432</v>
      </c>
      <c r="H2" s="4" t="inlineStr">
        <is>
          <t>CH04</t>
        </is>
      </c>
      <c r="I2" t="inlineStr">
        <is>
          <t>Bronze</t>
        </is>
      </c>
    </row>
    <row r="3">
      <c r="A3" s="4" t="inlineStr">
        <is>
          <t>C002</t>
        </is>
      </c>
      <c r="B3" t="inlineStr">
        <is>
          <t>Men</t>
        </is>
      </c>
      <c r="C3" t="n">
        <v>40</v>
      </c>
      <c r="D3" t="inlineStr">
        <is>
          <t>Amman</t>
        </is>
      </c>
      <c r="E3" t="inlineStr">
        <is>
          <t>UAE</t>
        </is>
      </c>
      <c r="F3" t="inlineStr">
        <is>
          <t>Digital Native</t>
        </is>
      </c>
      <c r="G3" s="5" t="n">
        <v>45331</v>
      </c>
      <c r="H3" s="4" t="inlineStr">
        <is>
          <t>CH03</t>
        </is>
      </c>
      <c r="I3" t="inlineStr">
        <is>
          <t>Silver</t>
        </is>
      </c>
    </row>
    <row r="4">
      <c r="A4" s="4" t="inlineStr">
        <is>
          <t>C003</t>
        </is>
      </c>
      <c r="B4" t="inlineStr">
        <is>
          <t>Men</t>
        </is>
      </c>
      <c r="C4" t="n">
        <v>41</v>
      </c>
      <c r="D4" t="inlineStr">
        <is>
          <t>Mansoura</t>
        </is>
      </c>
      <c r="E4" t="inlineStr">
        <is>
          <t>Saudi Arabia</t>
        </is>
      </c>
      <c r="F4" t="inlineStr">
        <is>
          <t>Classic Loyalist</t>
        </is>
      </c>
      <c r="G4" s="5" t="n">
        <v>45367</v>
      </c>
      <c r="H4" s="4" t="inlineStr">
        <is>
          <t>CH04</t>
        </is>
      </c>
      <c r="I4" t="inlineStr">
        <is>
          <t>Silver</t>
        </is>
      </c>
    </row>
    <row r="5">
      <c r="A5" s="4" t="inlineStr">
        <is>
          <t>C004</t>
        </is>
      </c>
      <c r="B5" t="inlineStr">
        <is>
          <t>Men</t>
        </is>
      </c>
      <c r="C5" t="n">
        <v>37</v>
      </c>
      <c r="D5" t="inlineStr">
        <is>
          <t>Cairo</t>
        </is>
      </c>
      <c r="E5" t="inlineStr">
        <is>
          <t>Kuwait</t>
        </is>
      </c>
      <c r="F5" t="inlineStr">
        <is>
          <t>Digital Native</t>
        </is>
      </c>
      <c r="G5" s="5" t="n">
        <v>45430</v>
      </c>
      <c r="H5" s="4" t="inlineStr">
        <is>
          <t>CH03</t>
        </is>
      </c>
      <c r="I5" t="inlineStr">
        <is>
          <t>Gold</t>
        </is>
      </c>
    </row>
    <row r="6">
      <c r="A6" s="4" t="inlineStr">
        <is>
          <t>C005</t>
        </is>
      </c>
      <c r="B6" t="inlineStr">
        <is>
          <t>Women</t>
        </is>
      </c>
      <c r="C6" t="n">
        <v>35</v>
      </c>
      <c r="D6" t="inlineStr">
        <is>
          <t>Amman</t>
        </is>
      </c>
      <c r="E6" t="inlineStr">
        <is>
          <t>Qatar</t>
        </is>
      </c>
      <c r="F6" t="inlineStr">
        <is>
          <t>Premium Tailoring</t>
        </is>
      </c>
      <c r="G6" s="5" t="n">
        <v>45405</v>
      </c>
      <c r="H6" s="4" t="inlineStr">
        <is>
          <t>CH02</t>
        </is>
      </c>
      <c r="I6" t="inlineStr">
        <is>
          <t>Silver</t>
        </is>
      </c>
    </row>
    <row r="7">
      <c r="A7" s="4" t="inlineStr">
        <is>
          <t>C006</t>
        </is>
      </c>
      <c r="B7" t="inlineStr">
        <is>
          <t>Men</t>
        </is>
      </c>
      <c r="C7" t="n">
        <v>21</v>
      </c>
      <c r="D7" t="inlineStr">
        <is>
          <t>Dubai</t>
        </is>
      </c>
      <c r="E7" t="inlineStr">
        <is>
          <t>Qatar</t>
        </is>
      </c>
      <c r="F7" t="inlineStr">
        <is>
          <t>Classic Loyalist</t>
        </is>
      </c>
      <c r="G7" s="5" t="n">
        <v>45634</v>
      </c>
      <c r="H7" s="4" t="inlineStr">
        <is>
          <t>CH01</t>
        </is>
      </c>
      <c r="I7" t="inlineStr">
        <is>
          <t>Silver</t>
        </is>
      </c>
    </row>
    <row r="8">
      <c r="A8" s="4" t="inlineStr">
        <is>
          <t>C007</t>
        </is>
      </c>
      <c r="B8" t="inlineStr">
        <is>
          <t>Men</t>
        </is>
      </c>
      <c r="C8" t="n">
        <v>55</v>
      </c>
      <c r="D8" t="inlineStr">
        <is>
          <t>Riyadh</t>
        </is>
      </c>
      <c r="E8" t="inlineStr">
        <is>
          <t>Saudi Arabia</t>
        </is>
      </c>
      <c r="F8" t="inlineStr">
        <is>
          <t>Occasional Buyer</t>
        </is>
      </c>
      <c r="G8" s="5" t="n">
        <v>45644</v>
      </c>
      <c r="H8" s="4" t="inlineStr">
        <is>
          <t>CH01</t>
        </is>
      </c>
      <c r="I8" t="inlineStr">
        <is>
          <t>Silver</t>
        </is>
      </c>
    </row>
    <row r="9">
      <c r="A9" s="4" t="inlineStr">
        <is>
          <t>C008</t>
        </is>
      </c>
      <c r="B9" t="inlineStr">
        <is>
          <t>Men</t>
        </is>
      </c>
      <c r="C9" t="n">
        <v>39</v>
      </c>
      <c r="D9" t="inlineStr">
        <is>
          <t>Alexandria</t>
        </is>
      </c>
      <c r="E9" t="inlineStr">
        <is>
          <t>Qatar</t>
        </is>
      </c>
      <c r="F9" t="inlineStr">
        <is>
          <t>Value Seeker</t>
        </is>
      </c>
      <c r="G9" s="5" t="n">
        <v>45393</v>
      </c>
      <c r="H9" s="4" t="inlineStr">
        <is>
          <t>CH01</t>
        </is>
      </c>
      <c r="I9" t="inlineStr">
        <is>
          <t>Bronze</t>
        </is>
      </c>
    </row>
    <row r="10">
      <c r="A10" s="4" t="inlineStr">
        <is>
          <t>C009</t>
        </is>
      </c>
      <c r="B10" t="inlineStr">
        <is>
          <t>Women</t>
        </is>
      </c>
      <c r="C10" t="n">
        <v>32</v>
      </c>
      <c r="D10" t="inlineStr">
        <is>
          <t>Kuwait City</t>
        </is>
      </c>
      <c r="E10" t="inlineStr">
        <is>
          <t>Kuwait</t>
        </is>
      </c>
      <c r="F10" t="inlineStr">
        <is>
          <t>Classic Loyalist</t>
        </is>
      </c>
      <c r="G10" s="5" t="n">
        <v>45645</v>
      </c>
      <c r="H10" s="4" t="inlineStr">
        <is>
          <t>CH02</t>
        </is>
      </c>
      <c r="I10" t="inlineStr">
        <is>
          <t>Bronze</t>
        </is>
      </c>
    </row>
    <row r="11">
      <c r="A11" s="4" t="inlineStr">
        <is>
          <t>C010</t>
        </is>
      </c>
      <c r="B11" t="inlineStr">
        <is>
          <t>Women</t>
        </is>
      </c>
      <c r="C11" t="n">
        <v>32</v>
      </c>
      <c r="D11" t="inlineStr">
        <is>
          <t>Kuwait City</t>
        </is>
      </c>
      <c r="E11" t="inlineStr">
        <is>
          <t>UAE</t>
        </is>
      </c>
      <c r="F11" t="inlineStr">
        <is>
          <t>Value Seeker</t>
        </is>
      </c>
      <c r="G11" s="5" t="n">
        <v>45413</v>
      </c>
      <c r="H11" s="4" t="inlineStr">
        <is>
          <t>CH01</t>
        </is>
      </c>
      <c r="I11" t="inlineStr">
        <is>
          <t>Bronze</t>
        </is>
      </c>
    </row>
    <row r="12">
      <c r="A12" s="4" t="inlineStr">
        <is>
          <t>C011</t>
        </is>
      </c>
      <c r="B12" t="inlineStr">
        <is>
          <t>Women</t>
        </is>
      </c>
      <c r="C12" t="n">
        <v>55</v>
      </c>
      <c r="D12" t="inlineStr">
        <is>
          <t>Amman</t>
        </is>
      </c>
      <c r="E12" t="inlineStr">
        <is>
          <t>Egypt</t>
        </is>
      </c>
      <c r="F12" t="inlineStr">
        <is>
          <t>Value Seeker</t>
        </is>
      </c>
      <c r="G12" s="5" t="n">
        <v>45624</v>
      </c>
      <c r="H12" s="4" t="inlineStr">
        <is>
          <t>CH04</t>
        </is>
      </c>
      <c r="I12" t="inlineStr">
        <is>
          <t>Gold</t>
        </is>
      </c>
    </row>
    <row r="13">
      <c r="A13" s="4" t="inlineStr">
        <is>
          <t>C012</t>
        </is>
      </c>
      <c r="B13" t="inlineStr">
        <is>
          <t>Men</t>
        </is>
      </c>
      <c r="C13" t="n">
        <v>50</v>
      </c>
      <c r="D13" t="inlineStr">
        <is>
          <t>Amman</t>
        </is>
      </c>
      <c r="E13" t="inlineStr">
        <is>
          <t>Egypt</t>
        </is>
      </c>
      <c r="F13" t="inlineStr">
        <is>
          <t>Value Seeker</t>
        </is>
      </c>
      <c r="G13" s="5" t="n">
        <v>45300</v>
      </c>
      <c r="H13" s="4" t="inlineStr">
        <is>
          <t>CH01</t>
        </is>
      </c>
      <c r="I13" t="inlineStr">
        <is>
          <t>Silver</t>
        </is>
      </c>
    </row>
    <row r="14">
      <c r="A14" s="4" t="inlineStr">
        <is>
          <t>C013</t>
        </is>
      </c>
      <c r="B14" t="inlineStr">
        <is>
          <t>Men</t>
        </is>
      </c>
      <c r="C14" t="n">
        <v>51</v>
      </c>
      <c r="D14" t="inlineStr">
        <is>
          <t>Giza</t>
        </is>
      </c>
      <c r="E14" t="inlineStr">
        <is>
          <t>Kuwait</t>
        </is>
      </c>
      <c r="F14" t="inlineStr">
        <is>
          <t>Classic Loyalist</t>
        </is>
      </c>
      <c r="G14" s="5" t="n">
        <v>45296</v>
      </c>
      <c r="H14" s="4" t="inlineStr">
        <is>
          <t>CH02</t>
        </is>
      </c>
      <c r="I14" t="inlineStr">
        <is>
          <t>Gold</t>
        </is>
      </c>
    </row>
    <row r="15">
      <c r="A15" s="4" t="inlineStr">
        <is>
          <t>C014</t>
        </is>
      </c>
      <c r="B15" t="inlineStr">
        <is>
          <t>Women</t>
        </is>
      </c>
      <c r="C15" t="n">
        <v>35</v>
      </c>
      <c r="D15" t="inlineStr">
        <is>
          <t>Doha</t>
        </is>
      </c>
      <c r="E15" t="inlineStr">
        <is>
          <t>UAE</t>
        </is>
      </c>
      <c r="F15" t="inlineStr">
        <is>
          <t>Classic Loyalist</t>
        </is>
      </c>
      <c r="G15" s="5" t="n">
        <v>45585</v>
      </c>
      <c r="H15" s="4" t="inlineStr">
        <is>
          <t>CH03</t>
        </is>
      </c>
      <c r="I15" t="inlineStr">
        <is>
          <t>Silver</t>
        </is>
      </c>
    </row>
    <row r="16">
      <c r="A16" s="4" t="inlineStr">
        <is>
          <t>C015</t>
        </is>
      </c>
      <c r="B16" t="inlineStr">
        <is>
          <t>Men</t>
        </is>
      </c>
      <c r="C16" t="n">
        <v>48</v>
      </c>
      <c r="D16" t="inlineStr">
        <is>
          <t>Dubai</t>
        </is>
      </c>
      <c r="E16" t="inlineStr">
        <is>
          <t>Kuwait</t>
        </is>
      </c>
      <c r="F16" t="inlineStr">
        <is>
          <t>Digital Native</t>
        </is>
      </c>
      <c r="G16" s="5" t="n">
        <v>45579</v>
      </c>
      <c r="H16" s="4" t="inlineStr">
        <is>
          <t>CH01</t>
        </is>
      </c>
      <c r="I16" t="inlineStr">
        <is>
          <t>Silver</t>
        </is>
      </c>
    </row>
    <row r="17">
      <c r="A17" s="4" t="inlineStr">
        <is>
          <t>C016</t>
        </is>
      </c>
      <c r="B17" t="inlineStr">
        <is>
          <t>Women</t>
        </is>
      </c>
      <c r="C17" t="n">
        <v>33</v>
      </c>
      <c r="D17" t="inlineStr">
        <is>
          <t>Mansoura</t>
        </is>
      </c>
      <c r="E17" t="inlineStr">
        <is>
          <t>UAE</t>
        </is>
      </c>
      <c r="F17" t="inlineStr">
        <is>
          <t>Occasional Buyer</t>
        </is>
      </c>
      <c r="G17" s="5" t="n">
        <v>45328</v>
      </c>
      <c r="H17" s="4" t="inlineStr">
        <is>
          <t>CH01</t>
        </is>
      </c>
      <c r="I17" t="inlineStr">
        <is>
          <t>Silver</t>
        </is>
      </c>
    </row>
    <row r="18">
      <c r="A18" s="4" t="inlineStr">
        <is>
          <t>C017</t>
        </is>
      </c>
      <c r="B18" t="inlineStr">
        <is>
          <t>Women</t>
        </is>
      </c>
      <c r="C18" t="n">
        <v>20</v>
      </c>
      <c r="D18" t="inlineStr">
        <is>
          <t>Cairo</t>
        </is>
      </c>
      <c r="E18" t="inlineStr">
        <is>
          <t>UAE</t>
        </is>
      </c>
      <c r="F18" t="inlineStr">
        <is>
          <t>Value Seeker</t>
        </is>
      </c>
      <c r="G18" s="5" t="n">
        <v>45514</v>
      </c>
      <c r="H18" s="4" t="inlineStr">
        <is>
          <t>CH02</t>
        </is>
      </c>
      <c r="I18" t="inlineStr">
        <is>
          <t>Bronze</t>
        </is>
      </c>
    </row>
    <row r="19">
      <c r="A19" s="4" t="inlineStr">
        <is>
          <t>C018</t>
        </is>
      </c>
      <c r="B19" t="inlineStr">
        <is>
          <t>Men</t>
        </is>
      </c>
      <c r="C19" t="n">
        <v>49</v>
      </c>
      <c r="D19" t="inlineStr">
        <is>
          <t>Doha</t>
        </is>
      </c>
      <c r="E19" t="inlineStr">
        <is>
          <t>Qatar</t>
        </is>
      </c>
      <c r="F19" t="inlineStr">
        <is>
          <t>Classic Loyalist</t>
        </is>
      </c>
      <c r="G19" s="5" t="n">
        <v>45438</v>
      </c>
      <c r="H19" s="4" t="inlineStr">
        <is>
          <t>CH01</t>
        </is>
      </c>
      <c r="I19" t="inlineStr">
        <is>
          <t>Silver</t>
        </is>
      </c>
    </row>
    <row r="20">
      <c r="A20" s="4" t="inlineStr">
        <is>
          <t>C019</t>
        </is>
      </c>
      <c r="B20" t="inlineStr">
        <is>
          <t>Women</t>
        </is>
      </c>
      <c r="C20" t="n">
        <v>47</v>
      </c>
      <c r="D20" t="inlineStr">
        <is>
          <t>Giza</t>
        </is>
      </c>
      <c r="E20" t="inlineStr">
        <is>
          <t>Egypt</t>
        </is>
      </c>
      <c r="F20" t="inlineStr">
        <is>
          <t>Classic Loyalist</t>
        </is>
      </c>
      <c r="G20" s="5" t="n">
        <v>45360</v>
      </c>
      <c r="H20" s="4" t="inlineStr">
        <is>
          <t>CH01</t>
        </is>
      </c>
      <c r="I20" t="inlineStr">
        <is>
          <t>Bronze</t>
        </is>
      </c>
    </row>
    <row r="21">
      <c r="A21" s="4" t="inlineStr">
        <is>
          <t>C020</t>
        </is>
      </c>
      <c r="B21" t="inlineStr">
        <is>
          <t>Men</t>
        </is>
      </c>
      <c r="C21" t="n">
        <v>38</v>
      </c>
      <c r="D21" t="inlineStr">
        <is>
          <t>Jeddah</t>
        </is>
      </c>
      <c r="E21" t="inlineStr">
        <is>
          <t>Saudi Arabia</t>
        </is>
      </c>
      <c r="F21" t="inlineStr">
        <is>
          <t>Value Seeker</t>
        </is>
      </c>
      <c r="G21" s="5" t="n">
        <v>45435</v>
      </c>
      <c r="H21" s="4" t="inlineStr">
        <is>
          <t>CH02</t>
        </is>
      </c>
      <c r="I21" t="inlineStr">
        <is>
          <t>Bronze</t>
        </is>
      </c>
    </row>
    <row r="22">
      <c r="A22" s="4" t="inlineStr">
        <is>
          <t>C021</t>
        </is>
      </c>
      <c r="B22" t="inlineStr">
        <is>
          <t>Men</t>
        </is>
      </c>
      <c r="C22" t="n">
        <v>48</v>
      </c>
      <c r="D22" t="inlineStr">
        <is>
          <t>Riyadh</t>
        </is>
      </c>
      <c r="E22" t="inlineStr">
        <is>
          <t>Kuwait</t>
        </is>
      </c>
      <c r="F22" t="inlineStr">
        <is>
          <t>Classic Loyalist</t>
        </is>
      </c>
      <c r="G22" s="5" t="n">
        <v>45497</v>
      </c>
      <c r="H22" s="4" t="inlineStr">
        <is>
          <t>CH01</t>
        </is>
      </c>
      <c r="I22" t="inlineStr">
        <is>
          <t>Bronze</t>
        </is>
      </c>
    </row>
    <row r="23">
      <c r="A23" s="4" t="inlineStr">
        <is>
          <t>C022</t>
        </is>
      </c>
      <c r="B23" t="inlineStr">
        <is>
          <t>Women</t>
        </is>
      </c>
      <c r="C23" t="n">
        <v>34</v>
      </c>
      <c r="D23" t="inlineStr">
        <is>
          <t>Cairo</t>
        </is>
      </c>
      <c r="E23" t="inlineStr">
        <is>
          <t>Qatar</t>
        </is>
      </c>
      <c r="F23" t="inlineStr">
        <is>
          <t>Digital Native</t>
        </is>
      </c>
      <c r="G23" s="5" t="n">
        <v>45584</v>
      </c>
      <c r="H23" s="4" t="inlineStr">
        <is>
          <t>CH03</t>
        </is>
      </c>
      <c r="I23" t="inlineStr">
        <is>
          <t>Silver</t>
        </is>
      </c>
    </row>
    <row r="24">
      <c r="A24" s="4" t="inlineStr">
        <is>
          <t>C023</t>
        </is>
      </c>
      <c r="B24" t="inlineStr">
        <is>
          <t>Women</t>
        </is>
      </c>
      <c r="C24" t="n">
        <v>31</v>
      </c>
      <c r="D24" t="inlineStr">
        <is>
          <t>Doha</t>
        </is>
      </c>
      <c r="E24" t="inlineStr">
        <is>
          <t>Jordan</t>
        </is>
      </c>
      <c r="F24" t="inlineStr">
        <is>
          <t>Value Seeker</t>
        </is>
      </c>
      <c r="G24" s="5" t="n">
        <v>45418</v>
      </c>
      <c r="H24" s="4" t="inlineStr">
        <is>
          <t>CH02</t>
        </is>
      </c>
      <c r="I24" t="inlineStr">
        <is>
          <t>Silver</t>
        </is>
      </c>
    </row>
    <row r="25">
      <c r="A25" s="4" t="inlineStr">
        <is>
          <t>C024</t>
        </is>
      </c>
      <c r="B25" t="inlineStr">
        <is>
          <t>Men</t>
        </is>
      </c>
      <c r="C25" t="n">
        <v>25</v>
      </c>
      <c r="D25" t="inlineStr">
        <is>
          <t>Alexandria</t>
        </is>
      </c>
      <c r="E25" t="inlineStr">
        <is>
          <t>UAE</t>
        </is>
      </c>
      <c r="F25" t="inlineStr">
        <is>
          <t>Value Seeker</t>
        </is>
      </c>
      <c r="G25" s="5" t="n">
        <v>45465</v>
      </c>
      <c r="H25" s="4" t="inlineStr">
        <is>
          <t>CH01</t>
        </is>
      </c>
      <c r="I25" t="inlineStr">
        <is>
          <t>Bronze</t>
        </is>
      </c>
    </row>
    <row r="26">
      <c r="A26" s="4" t="inlineStr">
        <is>
          <t>C025</t>
        </is>
      </c>
      <c r="B26" t="inlineStr">
        <is>
          <t>Men</t>
        </is>
      </c>
      <c r="C26" t="n">
        <v>38</v>
      </c>
      <c r="D26" t="inlineStr">
        <is>
          <t>Amman</t>
        </is>
      </c>
      <c r="E26" t="inlineStr">
        <is>
          <t>Egypt</t>
        </is>
      </c>
      <c r="F26" t="inlineStr">
        <is>
          <t>Occasional Buyer</t>
        </is>
      </c>
      <c r="G26" s="5" t="n">
        <v>45537</v>
      </c>
      <c r="H26" s="4" t="inlineStr">
        <is>
          <t>CH01</t>
        </is>
      </c>
      <c r="I26" t="inlineStr">
        <is>
          <t>Bronze</t>
        </is>
      </c>
    </row>
    <row r="27">
      <c r="A27" s="4" t="inlineStr">
        <is>
          <t>C026</t>
        </is>
      </c>
      <c r="B27" t="inlineStr">
        <is>
          <t>Men</t>
        </is>
      </c>
      <c r="C27" t="n">
        <v>27</v>
      </c>
      <c r="D27" t="inlineStr">
        <is>
          <t>Cairo</t>
        </is>
      </c>
      <c r="E27" t="inlineStr">
        <is>
          <t>Qatar</t>
        </is>
      </c>
      <c r="F27" t="inlineStr">
        <is>
          <t>Digital Native</t>
        </is>
      </c>
      <c r="G27" s="5" t="n">
        <v>45562</v>
      </c>
      <c r="H27" s="4" t="inlineStr">
        <is>
          <t>CH01</t>
        </is>
      </c>
      <c r="I27" t="inlineStr">
        <is>
          <t>Gold</t>
        </is>
      </c>
    </row>
    <row r="28">
      <c r="A28" s="4" t="inlineStr">
        <is>
          <t>C027</t>
        </is>
      </c>
      <c r="B28" t="inlineStr">
        <is>
          <t>Men</t>
        </is>
      </c>
      <c r="C28" t="n">
        <v>46</v>
      </c>
      <c r="D28" t="inlineStr">
        <is>
          <t>Amman</t>
        </is>
      </c>
      <c r="E28" t="inlineStr">
        <is>
          <t>Qatar</t>
        </is>
      </c>
      <c r="F28" t="inlineStr">
        <is>
          <t>Classic Loyalist</t>
        </is>
      </c>
      <c r="G28" s="5" t="n">
        <v>45590</v>
      </c>
      <c r="H28" s="4" t="inlineStr">
        <is>
          <t>CH02</t>
        </is>
      </c>
      <c r="I28" t="inlineStr">
        <is>
          <t>Bronze</t>
        </is>
      </c>
    </row>
    <row r="29">
      <c r="A29" s="4" t="inlineStr">
        <is>
          <t>C028</t>
        </is>
      </c>
      <c r="B29" t="inlineStr">
        <is>
          <t>Women</t>
        </is>
      </c>
      <c r="C29" t="n">
        <v>33</v>
      </c>
      <c r="D29" t="inlineStr">
        <is>
          <t>Amman</t>
        </is>
      </c>
      <c r="E29" t="inlineStr">
        <is>
          <t>Egypt</t>
        </is>
      </c>
      <c r="F29" t="inlineStr">
        <is>
          <t>Value Seeker</t>
        </is>
      </c>
      <c r="G29" s="5" t="n">
        <v>45427</v>
      </c>
      <c r="H29" s="4" t="inlineStr">
        <is>
          <t>CH01</t>
        </is>
      </c>
      <c r="I29" t="inlineStr">
        <is>
          <t>Bronze</t>
        </is>
      </c>
    </row>
    <row r="30">
      <c r="A30" s="4" t="inlineStr">
        <is>
          <t>C029</t>
        </is>
      </c>
      <c r="B30" t="inlineStr">
        <is>
          <t>Women</t>
        </is>
      </c>
      <c r="C30" t="n">
        <v>30</v>
      </c>
      <c r="D30" t="inlineStr">
        <is>
          <t>Mansoura</t>
        </is>
      </c>
      <c r="E30" t="inlineStr">
        <is>
          <t>Egypt</t>
        </is>
      </c>
      <c r="F30" t="inlineStr">
        <is>
          <t>Value Seeker</t>
        </is>
      </c>
      <c r="G30" s="5" t="n">
        <v>45476</v>
      </c>
      <c r="H30" s="4" t="inlineStr">
        <is>
          <t>CH01</t>
        </is>
      </c>
      <c r="I30" t="inlineStr">
        <is>
          <t>Bronze</t>
        </is>
      </c>
    </row>
    <row r="31">
      <c r="A31" s="4" t="inlineStr">
        <is>
          <t>C030</t>
        </is>
      </c>
      <c r="B31" t="inlineStr">
        <is>
          <t>Women</t>
        </is>
      </c>
      <c r="C31" t="n">
        <v>29</v>
      </c>
      <c r="D31" t="inlineStr">
        <is>
          <t>Dubai</t>
        </is>
      </c>
      <c r="E31" t="inlineStr">
        <is>
          <t>Jordan</t>
        </is>
      </c>
      <c r="F31" t="inlineStr">
        <is>
          <t>Occasional Buyer</t>
        </is>
      </c>
      <c r="G31" s="5" t="n">
        <v>45558</v>
      </c>
      <c r="H31" s="4" t="inlineStr">
        <is>
          <t>CH03</t>
        </is>
      </c>
      <c r="I31" t="inlineStr">
        <is>
          <t>Silver</t>
        </is>
      </c>
    </row>
    <row r="32">
      <c r="A32" s="4" t="inlineStr">
        <is>
          <t>C031</t>
        </is>
      </c>
      <c r="B32" t="inlineStr">
        <is>
          <t>Men</t>
        </is>
      </c>
      <c r="C32" t="n">
        <v>35</v>
      </c>
      <c r="D32" t="inlineStr">
        <is>
          <t>Kuwait City</t>
        </is>
      </c>
      <c r="E32" t="inlineStr">
        <is>
          <t>Qatar</t>
        </is>
      </c>
      <c r="F32" t="inlineStr">
        <is>
          <t>Value Seeker</t>
        </is>
      </c>
      <c r="G32" s="5" t="n">
        <v>45402</v>
      </c>
      <c r="H32" s="4" t="inlineStr">
        <is>
          <t>CH01</t>
        </is>
      </c>
      <c r="I32" t="inlineStr">
        <is>
          <t>Gold</t>
        </is>
      </c>
    </row>
    <row r="33">
      <c r="A33" s="4" t="inlineStr">
        <is>
          <t>C032</t>
        </is>
      </c>
      <c r="B33" t="inlineStr">
        <is>
          <t>Women</t>
        </is>
      </c>
      <c r="C33" t="n">
        <v>37</v>
      </c>
      <c r="D33" t="inlineStr">
        <is>
          <t>Kuwait City</t>
        </is>
      </c>
      <c r="E33" t="inlineStr">
        <is>
          <t>Saudi Arabia</t>
        </is>
      </c>
      <c r="F33" t="inlineStr">
        <is>
          <t>Premium Tailoring</t>
        </is>
      </c>
      <c r="G33" s="5" t="n">
        <v>45469</v>
      </c>
      <c r="H33" s="4" t="inlineStr">
        <is>
          <t>CH04</t>
        </is>
      </c>
      <c r="I33" t="inlineStr">
        <is>
          <t>Silver</t>
        </is>
      </c>
    </row>
    <row r="34">
      <c r="A34" s="4" t="inlineStr">
        <is>
          <t>C033</t>
        </is>
      </c>
      <c r="B34" t="inlineStr">
        <is>
          <t>Men</t>
        </is>
      </c>
      <c r="C34" t="n">
        <v>39</v>
      </c>
      <c r="D34" t="inlineStr">
        <is>
          <t>Giza</t>
        </is>
      </c>
      <c r="E34" t="inlineStr">
        <is>
          <t>Jordan</t>
        </is>
      </c>
      <c r="F34" t="inlineStr">
        <is>
          <t>Premium Tailoring</t>
        </is>
      </c>
      <c r="G34" s="5" t="n">
        <v>45612</v>
      </c>
      <c r="H34" s="4" t="inlineStr">
        <is>
          <t>CH02</t>
        </is>
      </c>
      <c r="I34" t="inlineStr">
        <is>
          <t>Bronze</t>
        </is>
      </c>
    </row>
    <row r="35">
      <c r="A35" s="4" t="inlineStr">
        <is>
          <t>C034</t>
        </is>
      </c>
      <c r="B35" t="inlineStr">
        <is>
          <t>Men</t>
        </is>
      </c>
      <c r="C35" t="n">
        <v>41</v>
      </c>
      <c r="D35" t="inlineStr">
        <is>
          <t>Mansoura</t>
        </is>
      </c>
      <c r="E35" t="inlineStr">
        <is>
          <t>Qatar</t>
        </is>
      </c>
      <c r="F35" t="inlineStr">
        <is>
          <t>Occasional Buyer</t>
        </is>
      </c>
      <c r="G35" s="5" t="n">
        <v>45515</v>
      </c>
      <c r="H35" s="4" t="inlineStr">
        <is>
          <t>CH02</t>
        </is>
      </c>
      <c r="I35" t="inlineStr">
        <is>
          <t>Bronze</t>
        </is>
      </c>
    </row>
    <row r="36">
      <c r="A36" s="4" t="inlineStr">
        <is>
          <t>C035</t>
        </is>
      </c>
      <c r="B36" t="inlineStr">
        <is>
          <t>Men</t>
        </is>
      </c>
      <c r="C36" t="n">
        <v>34</v>
      </c>
      <c r="D36" t="inlineStr">
        <is>
          <t>Amman</t>
        </is>
      </c>
      <c r="E36" t="inlineStr">
        <is>
          <t>Qatar</t>
        </is>
      </c>
      <c r="F36" t="inlineStr">
        <is>
          <t>Digital Native</t>
        </is>
      </c>
      <c r="G36" s="5" t="n">
        <v>45467</v>
      </c>
      <c r="H36" s="4" t="inlineStr">
        <is>
          <t>CH01</t>
        </is>
      </c>
      <c r="I36" t="inlineStr">
        <is>
          <t>Gold</t>
        </is>
      </c>
    </row>
    <row r="37">
      <c r="A37" s="4" t="inlineStr">
        <is>
          <t>C036</t>
        </is>
      </c>
      <c r="B37" t="inlineStr">
        <is>
          <t>Men</t>
        </is>
      </c>
      <c r="C37" t="n">
        <v>44</v>
      </c>
      <c r="D37" t="inlineStr">
        <is>
          <t>Amman</t>
        </is>
      </c>
      <c r="E37" t="inlineStr">
        <is>
          <t>Egypt</t>
        </is>
      </c>
      <c r="F37" t="inlineStr">
        <is>
          <t>Digital Native</t>
        </is>
      </c>
      <c r="G37" s="5" t="n">
        <v>45601</v>
      </c>
      <c r="H37" s="4" t="inlineStr">
        <is>
          <t>CH03</t>
        </is>
      </c>
      <c r="I37" t="inlineStr">
        <is>
          <t>Bronze</t>
        </is>
      </c>
    </row>
    <row r="38">
      <c r="A38" s="4" t="inlineStr">
        <is>
          <t>C037</t>
        </is>
      </c>
      <c r="B38" t="inlineStr">
        <is>
          <t>Men</t>
        </is>
      </c>
      <c r="C38" t="n">
        <v>26</v>
      </c>
      <c r="D38" t="inlineStr">
        <is>
          <t>Cairo</t>
        </is>
      </c>
      <c r="E38" t="inlineStr">
        <is>
          <t>Qatar</t>
        </is>
      </c>
      <c r="F38" t="inlineStr">
        <is>
          <t>Digital Native</t>
        </is>
      </c>
      <c r="G38" s="5" t="n">
        <v>45550</v>
      </c>
      <c r="H38" s="4" t="inlineStr">
        <is>
          <t>CH01</t>
        </is>
      </c>
      <c r="I38" t="inlineStr">
        <is>
          <t>Bronze</t>
        </is>
      </c>
    </row>
    <row r="39">
      <c r="A39" s="4" t="inlineStr">
        <is>
          <t>C038</t>
        </is>
      </c>
      <c r="B39" t="inlineStr">
        <is>
          <t>Women</t>
        </is>
      </c>
      <c r="C39" t="n">
        <v>24</v>
      </c>
      <c r="D39" t="inlineStr">
        <is>
          <t>Jeddah</t>
        </is>
      </c>
      <c r="E39" t="inlineStr">
        <is>
          <t>Qatar</t>
        </is>
      </c>
      <c r="F39" t="inlineStr">
        <is>
          <t>Value Seeker</t>
        </is>
      </c>
      <c r="G39" s="5" t="n">
        <v>45463</v>
      </c>
      <c r="H39" s="4" t="inlineStr">
        <is>
          <t>CH04</t>
        </is>
      </c>
      <c r="I39" t="inlineStr">
        <is>
          <t>Bronze</t>
        </is>
      </c>
    </row>
    <row r="40">
      <c r="A40" s="4" t="inlineStr">
        <is>
          <t>C039</t>
        </is>
      </c>
      <c r="B40" t="inlineStr">
        <is>
          <t>Men</t>
        </is>
      </c>
      <c r="C40" t="n">
        <v>54</v>
      </c>
      <c r="D40" t="inlineStr">
        <is>
          <t>Amman</t>
        </is>
      </c>
      <c r="E40" t="inlineStr">
        <is>
          <t>Kuwait</t>
        </is>
      </c>
      <c r="F40" t="inlineStr">
        <is>
          <t>Value Seeker</t>
        </is>
      </c>
      <c r="G40" s="5" t="n">
        <v>45651</v>
      </c>
      <c r="H40" s="4" t="inlineStr">
        <is>
          <t>CH01</t>
        </is>
      </c>
      <c r="I40" t="inlineStr">
        <is>
          <t>Bronze</t>
        </is>
      </c>
    </row>
    <row r="41">
      <c r="A41" s="4" t="inlineStr">
        <is>
          <t>C040</t>
        </is>
      </c>
      <c r="B41" t="inlineStr">
        <is>
          <t>Women</t>
        </is>
      </c>
      <c r="C41" t="n">
        <v>35</v>
      </c>
      <c r="D41" t="inlineStr">
        <is>
          <t>Alexandria</t>
        </is>
      </c>
      <c r="E41" t="inlineStr">
        <is>
          <t>Jordan</t>
        </is>
      </c>
      <c r="F41" t="inlineStr">
        <is>
          <t>Occasional Buyer</t>
        </is>
      </c>
      <c r="G41" s="5" t="n">
        <v>45406</v>
      </c>
      <c r="H41" s="4" t="inlineStr">
        <is>
          <t>CH04</t>
        </is>
      </c>
      <c r="I41" t="inlineStr">
        <is>
          <t>Gold</t>
        </is>
      </c>
    </row>
    <row r="42">
      <c r="A42" s="4" t="inlineStr">
        <is>
          <t>C041</t>
        </is>
      </c>
      <c r="B42" t="inlineStr">
        <is>
          <t>Women</t>
        </is>
      </c>
      <c r="C42" t="n">
        <v>48</v>
      </c>
      <c r="D42" t="inlineStr">
        <is>
          <t>Riyadh</t>
        </is>
      </c>
      <c r="E42" t="inlineStr">
        <is>
          <t>Egypt</t>
        </is>
      </c>
      <c r="F42" t="inlineStr">
        <is>
          <t>Classic Loyalist</t>
        </is>
      </c>
      <c r="G42" s="5" t="n">
        <v>45293</v>
      </c>
      <c r="H42" s="4" t="inlineStr">
        <is>
          <t>CH01</t>
        </is>
      </c>
      <c r="I42" t="inlineStr">
        <is>
          <t>Bronze</t>
        </is>
      </c>
    </row>
    <row r="43">
      <c r="A43" s="4" t="inlineStr">
        <is>
          <t>C042</t>
        </is>
      </c>
      <c r="B43" t="inlineStr">
        <is>
          <t>Men</t>
        </is>
      </c>
      <c r="C43" t="n">
        <v>47</v>
      </c>
      <c r="D43" t="inlineStr">
        <is>
          <t>Giza</t>
        </is>
      </c>
      <c r="E43" t="inlineStr">
        <is>
          <t>UAE</t>
        </is>
      </c>
      <c r="F43" t="inlineStr">
        <is>
          <t>Classic Loyalist</t>
        </is>
      </c>
      <c r="G43" s="5" t="n">
        <v>45587</v>
      </c>
      <c r="H43" s="4" t="inlineStr">
        <is>
          <t>CH02</t>
        </is>
      </c>
      <c r="I43" t="inlineStr">
        <is>
          <t>Bronze</t>
        </is>
      </c>
    </row>
    <row r="44">
      <c r="A44" s="4" t="inlineStr">
        <is>
          <t>C043</t>
        </is>
      </c>
      <c r="B44" t="inlineStr">
        <is>
          <t>Men</t>
        </is>
      </c>
      <c r="C44" t="n">
        <v>35</v>
      </c>
      <c r="D44" t="inlineStr">
        <is>
          <t>Dubai</t>
        </is>
      </c>
      <c r="E44" t="inlineStr">
        <is>
          <t>Jordan</t>
        </is>
      </c>
      <c r="F44" t="inlineStr">
        <is>
          <t>Occasional Buyer</t>
        </is>
      </c>
      <c r="G44" s="5" t="n">
        <v>45397</v>
      </c>
      <c r="H44" s="4" t="inlineStr">
        <is>
          <t>CH02</t>
        </is>
      </c>
      <c r="I44" t="inlineStr">
        <is>
          <t>Bronze</t>
        </is>
      </c>
    </row>
    <row r="45">
      <c r="A45" s="4" t="inlineStr">
        <is>
          <t>C044</t>
        </is>
      </c>
      <c r="B45" t="inlineStr">
        <is>
          <t>Women</t>
        </is>
      </c>
      <c r="C45" t="n">
        <v>49</v>
      </c>
      <c r="D45" t="inlineStr">
        <is>
          <t>Amman</t>
        </is>
      </c>
      <c r="E45" t="inlineStr">
        <is>
          <t>Saudi Arabia</t>
        </is>
      </c>
      <c r="F45" t="inlineStr">
        <is>
          <t>Digital Native</t>
        </is>
      </c>
      <c r="G45" s="5" t="n">
        <v>45354</v>
      </c>
      <c r="H45" s="4" t="inlineStr">
        <is>
          <t>CH02</t>
        </is>
      </c>
      <c r="I45" t="inlineStr">
        <is>
          <t>Gold</t>
        </is>
      </c>
    </row>
    <row r="46">
      <c r="A46" s="4" t="inlineStr">
        <is>
          <t>C045</t>
        </is>
      </c>
      <c r="B46" t="inlineStr">
        <is>
          <t>Men</t>
        </is>
      </c>
      <c r="C46" t="n">
        <v>47</v>
      </c>
      <c r="D46" t="inlineStr">
        <is>
          <t>Jeddah</t>
        </is>
      </c>
      <c r="E46" t="inlineStr">
        <is>
          <t>Jordan</t>
        </is>
      </c>
      <c r="F46" t="inlineStr">
        <is>
          <t>Occasional Buyer</t>
        </is>
      </c>
      <c r="G46" s="5" t="n">
        <v>45419</v>
      </c>
      <c r="H46" s="4" t="inlineStr">
        <is>
          <t>CH02</t>
        </is>
      </c>
      <c r="I46" t="inlineStr">
        <is>
          <t>Bronze</t>
        </is>
      </c>
    </row>
    <row r="47">
      <c r="A47" s="4" t="inlineStr">
        <is>
          <t>C046</t>
        </is>
      </c>
      <c r="B47" t="inlineStr">
        <is>
          <t>Men</t>
        </is>
      </c>
      <c r="C47" t="n">
        <v>42</v>
      </c>
      <c r="D47" t="inlineStr">
        <is>
          <t>Jeddah</t>
        </is>
      </c>
      <c r="E47" t="inlineStr">
        <is>
          <t>Saudi Arabia</t>
        </is>
      </c>
      <c r="F47" t="inlineStr">
        <is>
          <t>Occasional Buyer</t>
        </is>
      </c>
      <c r="G47" s="5" t="n">
        <v>45413</v>
      </c>
      <c r="H47" s="4" t="inlineStr">
        <is>
          <t>CH04</t>
        </is>
      </c>
      <c r="I47" t="inlineStr">
        <is>
          <t>Bronze</t>
        </is>
      </c>
    </row>
    <row r="48">
      <c r="A48" s="4" t="inlineStr">
        <is>
          <t>C047</t>
        </is>
      </c>
      <c r="B48" t="inlineStr">
        <is>
          <t>Women</t>
        </is>
      </c>
      <c r="C48" t="n">
        <v>51</v>
      </c>
      <c r="D48" t="inlineStr">
        <is>
          <t>Riyadh</t>
        </is>
      </c>
      <c r="E48" t="inlineStr">
        <is>
          <t>UAE</t>
        </is>
      </c>
      <c r="F48" t="inlineStr">
        <is>
          <t>Premium Tailoring</t>
        </is>
      </c>
      <c r="G48" s="5" t="n">
        <v>45402</v>
      </c>
      <c r="H48" s="4" t="inlineStr">
        <is>
          <t>CH04</t>
        </is>
      </c>
      <c r="I48" t="inlineStr">
        <is>
          <t>Silver</t>
        </is>
      </c>
    </row>
    <row r="49">
      <c r="A49" s="4" t="inlineStr">
        <is>
          <t>C048</t>
        </is>
      </c>
      <c r="B49" t="inlineStr">
        <is>
          <t>Men</t>
        </is>
      </c>
      <c r="C49" t="n">
        <v>28</v>
      </c>
      <c r="D49" t="inlineStr">
        <is>
          <t>Dubai</t>
        </is>
      </c>
      <c r="E49" t="inlineStr">
        <is>
          <t>Jordan</t>
        </is>
      </c>
      <c r="F49" t="inlineStr">
        <is>
          <t>Occasional Buyer</t>
        </is>
      </c>
      <c r="G49" s="5" t="n">
        <v>45598</v>
      </c>
      <c r="H49" s="4" t="inlineStr">
        <is>
          <t>CH04</t>
        </is>
      </c>
      <c r="I49" t="inlineStr">
        <is>
          <t>Bronze</t>
        </is>
      </c>
    </row>
    <row r="50">
      <c r="A50" s="4" t="inlineStr">
        <is>
          <t>C049</t>
        </is>
      </c>
      <c r="B50" t="inlineStr">
        <is>
          <t>Men</t>
        </is>
      </c>
      <c r="C50" t="n">
        <v>28</v>
      </c>
      <c r="D50" t="inlineStr">
        <is>
          <t>Giza</t>
        </is>
      </c>
      <c r="E50" t="inlineStr">
        <is>
          <t>UAE</t>
        </is>
      </c>
      <c r="F50" t="inlineStr">
        <is>
          <t>Classic Loyalist</t>
        </is>
      </c>
      <c r="G50" s="5" t="n">
        <v>45640</v>
      </c>
      <c r="H50" s="4" t="inlineStr">
        <is>
          <t>CH01</t>
        </is>
      </c>
      <c r="I50" t="inlineStr">
        <is>
          <t>Bronze</t>
        </is>
      </c>
    </row>
    <row r="51">
      <c r="A51" s="4" t="inlineStr">
        <is>
          <t>C050</t>
        </is>
      </c>
      <c r="B51" t="inlineStr">
        <is>
          <t>Men</t>
        </is>
      </c>
      <c r="C51" t="n">
        <v>53</v>
      </c>
      <c r="D51" t="inlineStr">
        <is>
          <t>Amman</t>
        </is>
      </c>
      <c r="E51" t="inlineStr">
        <is>
          <t>Saudi Arabia</t>
        </is>
      </c>
      <c r="F51" t="inlineStr">
        <is>
          <t>Occasional Buyer</t>
        </is>
      </c>
      <c r="G51" s="5" t="n">
        <v>45360</v>
      </c>
      <c r="H51" s="4" t="inlineStr">
        <is>
          <t>CH01</t>
        </is>
      </c>
      <c r="I51" t="inlineStr">
        <is>
          <t>Silver</t>
        </is>
      </c>
    </row>
    <row r="52">
      <c r="A52" s="4" t="inlineStr">
        <is>
          <t>C051</t>
        </is>
      </c>
      <c r="B52" t="inlineStr">
        <is>
          <t>Men</t>
        </is>
      </c>
      <c r="C52" t="n">
        <v>27</v>
      </c>
      <c r="D52" t="inlineStr">
        <is>
          <t>Jeddah</t>
        </is>
      </c>
      <c r="E52" t="inlineStr">
        <is>
          <t>Kuwait</t>
        </is>
      </c>
      <c r="F52" t="inlineStr">
        <is>
          <t>Value Seeker</t>
        </is>
      </c>
      <c r="G52" s="5" t="n">
        <v>45410</v>
      </c>
      <c r="H52" s="4" t="inlineStr">
        <is>
          <t>CH01</t>
        </is>
      </c>
      <c r="I52" t="inlineStr">
        <is>
          <t>Bronze</t>
        </is>
      </c>
    </row>
    <row r="53">
      <c r="A53" s="4" t="inlineStr">
        <is>
          <t>C052</t>
        </is>
      </c>
      <c r="B53" t="inlineStr">
        <is>
          <t>Men</t>
        </is>
      </c>
      <c r="C53" t="n">
        <v>20</v>
      </c>
      <c r="D53" t="inlineStr">
        <is>
          <t>Dubai</t>
        </is>
      </c>
      <c r="E53" t="inlineStr">
        <is>
          <t>Kuwait</t>
        </is>
      </c>
      <c r="F53" t="inlineStr">
        <is>
          <t>Value Seeker</t>
        </is>
      </c>
      <c r="G53" s="5" t="n">
        <v>45465</v>
      </c>
      <c r="H53" s="4" t="inlineStr">
        <is>
          <t>CH01</t>
        </is>
      </c>
      <c r="I53" t="inlineStr">
        <is>
          <t>Bronze</t>
        </is>
      </c>
    </row>
    <row r="54">
      <c r="A54" s="4" t="inlineStr">
        <is>
          <t>C053</t>
        </is>
      </c>
      <c r="B54" t="inlineStr">
        <is>
          <t>Men</t>
        </is>
      </c>
      <c r="C54" t="n">
        <v>26</v>
      </c>
      <c r="D54" t="inlineStr">
        <is>
          <t>Riyadh</t>
        </is>
      </c>
      <c r="E54" t="inlineStr">
        <is>
          <t>Kuwait</t>
        </is>
      </c>
      <c r="F54" t="inlineStr">
        <is>
          <t>Occasional Buyer</t>
        </is>
      </c>
      <c r="G54" s="5" t="n">
        <v>45583</v>
      </c>
      <c r="H54" s="4" t="inlineStr">
        <is>
          <t>CH02</t>
        </is>
      </c>
      <c r="I54" t="inlineStr">
        <is>
          <t>Bronze</t>
        </is>
      </c>
    </row>
    <row r="55">
      <c r="A55" s="4" t="inlineStr">
        <is>
          <t>C054</t>
        </is>
      </c>
      <c r="B55" t="inlineStr">
        <is>
          <t>Women</t>
        </is>
      </c>
      <c r="C55" t="n">
        <v>49</v>
      </c>
      <c r="D55" t="inlineStr">
        <is>
          <t>Giza</t>
        </is>
      </c>
      <c r="E55" t="inlineStr">
        <is>
          <t>Egypt</t>
        </is>
      </c>
      <c r="F55" t="inlineStr">
        <is>
          <t>Digital Native</t>
        </is>
      </c>
      <c r="G55" s="5" t="n">
        <v>45477</v>
      </c>
      <c r="H55" s="4" t="inlineStr">
        <is>
          <t>CH01</t>
        </is>
      </c>
      <c r="I55" t="inlineStr">
        <is>
          <t>Gold</t>
        </is>
      </c>
    </row>
    <row r="56">
      <c r="A56" s="4" t="inlineStr">
        <is>
          <t>C055</t>
        </is>
      </c>
      <c r="B56" t="inlineStr">
        <is>
          <t>Men</t>
        </is>
      </c>
      <c r="C56" t="n">
        <v>51</v>
      </c>
      <c r="D56" t="inlineStr">
        <is>
          <t>Jeddah</t>
        </is>
      </c>
      <c r="E56" t="inlineStr">
        <is>
          <t>Jordan</t>
        </is>
      </c>
      <c r="F56" t="inlineStr">
        <is>
          <t>Classic Loyalist</t>
        </is>
      </c>
      <c r="G56" s="5" t="n">
        <v>45540</v>
      </c>
      <c r="H56" s="4" t="inlineStr">
        <is>
          <t>CH01</t>
        </is>
      </c>
      <c r="I56" t="inlineStr">
        <is>
          <t>Bronze</t>
        </is>
      </c>
    </row>
    <row r="57">
      <c r="A57" s="4" t="inlineStr">
        <is>
          <t>C056</t>
        </is>
      </c>
      <c r="B57" t="inlineStr">
        <is>
          <t>Men</t>
        </is>
      </c>
      <c r="C57" t="n">
        <v>29</v>
      </c>
      <c r="D57" t="inlineStr">
        <is>
          <t>Jeddah</t>
        </is>
      </c>
      <c r="E57" t="inlineStr">
        <is>
          <t>Saudi Arabia</t>
        </is>
      </c>
      <c r="F57" t="inlineStr">
        <is>
          <t>Digital Native</t>
        </is>
      </c>
      <c r="G57" s="5" t="n">
        <v>45524</v>
      </c>
      <c r="H57" s="4" t="inlineStr">
        <is>
          <t>CH02</t>
        </is>
      </c>
      <c r="I57" t="inlineStr">
        <is>
          <t>Bronze</t>
        </is>
      </c>
    </row>
    <row r="58">
      <c r="A58" s="4" t="inlineStr">
        <is>
          <t>C057</t>
        </is>
      </c>
      <c r="B58" t="inlineStr">
        <is>
          <t>Men</t>
        </is>
      </c>
      <c r="C58" t="n">
        <v>33</v>
      </c>
      <c r="D58" t="inlineStr">
        <is>
          <t>Riyadh</t>
        </is>
      </c>
      <c r="E58" t="inlineStr">
        <is>
          <t>Kuwait</t>
        </is>
      </c>
      <c r="F58" t="inlineStr">
        <is>
          <t>Value Seeker</t>
        </is>
      </c>
      <c r="G58" s="5" t="n">
        <v>45447</v>
      </c>
      <c r="H58" s="4" t="inlineStr">
        <is>
          <t>CH04</t>
        </is>
      </c>
      <c r="I58" t="inlineStr">
        <is>
          <t>Gold</t>
        </is>
      </c>
    </row>
    <row r="59">
      <c r="A59" s="4" t="inlineStr">
        <is>
          <t>C058</t>
        </is>
      </c>
      <c r="B59" t="inlineStr">
        <is>
          <t>Men</t>
        </is>
      </c>
      <c r="C59" t="n">
        <v>23</v>
      </c>
      <c r="D59" t="inlineStr">
        <is>
          <t>Amman</t>
        </is>
      </c>
      <c r="E59" t="inlineStr">
        <is>
          <t>Egypt</t>
        </is>
      </c>
      <c r="F59" t="inlineStr">
        <is>
          <t>Value Seeker</t>
        </is>
      </c>
      <c r="G59" s="5" t="n">
        <v>45350</v>
      </c>
      <c r="H59" s="4" t="inlineStr">
        <is>
          <t>CH01</t>
        </is>
      </c>
      <c r="I59" t="inlineStr">
        <is>
          <t>Silver</t>
        </is>
      </c>
    </row>
    <row r="60">
      <c r="A60" s="4" t="inlineStr">
        <is>
          <t>C059</t>
        </is>
      </c>
      <c r="B60" t="inlineStr">
        <is>
          <t>Women</t>
        </is>
      </c>
      <c r="C60" t="n">
        <v>23</v>
      </c>
      <c r="D60" t="inlineStr">
        <is>
          <t>Doha</t>
        </is>
      </c>
      <c r="E60" t="inlineStr">
        <is>
          <t>UAE</t>
        </is>
      </c>
      <c r="F60" t="inlineStr">
        <is>
          <t>Premium Tailoring</t>
        </is>
      </c>
      <c r="G60" s="5" t="n">
        <v>45377</v>
      </c>
      <c r="H60" s="4" t="inlineStr">
        <is>
          <t>CH01</t>
        </is>
      </c>
      <c r="I60" t="inlineStr">
        <is>
          <t>Bronze</t>
        </is>
      </c>
    </row>
    <row r="61">
      <c r="A61" s="4" t="inlineStr">
        <is>
          <t>C060</t>
        </is>
      </c>
      <c r="B61" t="inlineStr">
        <is>
          <t>Women</t>
        </is>
      </c>
      <c r="C61" t="n">
        <v>33</v>
      </c>
      <c r="D61" t="inlineStr">
        <is>
          <t>Doha</t>
        </is>
      </c>
      <c r="E61" t="inlineStr">
        <is>
          <t>Egypt</t>
        </is>
      </c>
      <c r="F61" t="inlineStr">
        <is>
          <t>Premium Tailoring</t>
        </is>
      </c>
      <c r="G61" s="5" t="n">
        <v>45377</v>
      </c>
      <c r="H61" s="4" t="inlineStr">
        <is>
          <t>CH01</t>
        </is>
      </c>
      <c r="I61" t="inlineStr">
        <is>
          <t>Bronze</t>
        </is>
      </c>
    </row>
    <row r="62">
      <c r="A62" s="4" t="inlineStr">
        <is>
          <t>C061</t>
        </is>
      </c>
      <c r="B62" t="inlineStr">
        <is>
          <t>Women</t>
        </is>
      </c>
      <c r="C62" t="n">
        <v>28</v>
      </c>
      <c r="D62" t="inlineStr">
        <is>
          <t>Cairo</t>
        </is>
      </c>
      <c r="E62" t="inlineStr">
        <is>
          <t>UAE</t>
        </is>
      </c>
      <c r="F62" t="inlineStr">
        <is>
          <t>Occasional Buyer</t>
        </is>
      </c>
      <c r="G62" s="5" t="n">
        <v>45344</v>
      </c>
      <c r="H62" s="4" t="inlineStr">
        <is>
          <t>CH03</t>
        </is>
      </c>
      <c r="I62" t="inlineStr">
        <is>
          <t>Bronze</t>
        </is>
      </c>
    </row>
    <row r="63">
      <c r="A63" s="4" t="inlineStr">
        <is>
          <t>C062</t>
        </is>
      </c>
      <c r="B63" t="inlineStr">
        <is>
          <t>Women</t>
        </is>
      </c>
      <c r="C63" t="n">
        <v>40</v>
      </c>
      <c r="D63" t="inlineStr">
        <is>
          <t>Jeddah</t>
        </is>
      </c>
      <c r="E63" t="inlineStr">
        <is>
          <t>Kuwait</t>
        </is>
      </c>
      <c r="F63" t="inlineStr">
        <is>
          <t>Classic Loyalist</t>
        </is>
      </c>
      <c r="G63" s="5" t="n">
        <v>45375</v>
      </c>
      <c r="H63" s="4" t="inlineStr">
        <is>
          <t>CH01</t>
        </is>
      </c>
      <c r="I63" t="inlineStr">
        <is>
          <t>Bronze</t>
        </is>
      </c>
    </row>
    <row r="64">
      <c r="A64" s="4" t="inlineStr">
        <is>
          <t>C063</t>
        </is>
      </c>
      <c r="B64" t="inlineStr">
        <is>
          <t>Women</t>
        </is>
      </c>
      <c r="C64" t="n">
        <v>50</v>
      </c>
      <c r="D64" t="inlineStr">
        <is>
          <t>Amman</t>
        </is>
      </c>
      <c r="E64" t="inlineStr">
        <is>
          <t>Kuwait</t>
        </is>
      </c>
      <c r="F64" t="inlineStr">
        <is>
          <t>Value Seeker</t>
        </is>
      </c>
      <c r="G64" s="5" t="n">
        <v>45569</v>
      </c>
      <c r="H64" s="4" t="inlineStr">
        <is>
          <t>CH01</t>
        </is>
      </c>
      <c r="I64" t="inlineStr">
        <is>
          <t>Bronze</t>
        </is>
      </c>
    </row>
    <row r="65">
      <c r="A65" s="4" t="inlineStr">
        <is>
          <t>C064</t>
        </is>
      </c>
      <c r="B65" t="inlineStr">
        <is>
          <t>Women</t>
        </is>
      </c>
      <c r="C65" t="n">
        <v>53</v>
      </c>
      <c r="D65" t="inlineStr">
        <is>
          <t>Amman</t>
        </is>
      </c>
      <c r="E65" t="inlineStr">
        <is>
          <t>Jordan</t>
        </is>
      </c>
      <c r="F65" t="inlineStr">
        <is>
          <t>Value Seeker</t>
        </is>
      </c>
      <c r="G65" s="5" t="n">
        <v>45293</v>
      </c>
      <c r="H65" s="4" t="inlineStr">
        <is>
          <t>CH02</t>
        </is>
      </c>
      <c r="I65" t="inlineStr">
        <is>
          <t>Bronze</t>
        </is>
      </c>
    </row>
    <row r="66">
      <c r="A66" s="4" t="inlineStr">
        <is>
          <t>C065</t>
        </is>
      </c>
      <c r="B66" t="inlineStr">
        <is>
          <t>Women</t>
        </is>
      </c>
      <c r="C66" t="n">
        <v>51</v>
      </c>
      <c r="D66" t="inlineStr">
        <is>
          <t>Doha</t>
        </is>
      </c>
      <c r="E66" t="inlineStr">
        <is>
          <t>UAE</t>
        </is>
      </c>
      <c r="F66" t="inlineStr">
        <is>
          <t>Premium Tailoring</t>
        </is>
      </c>
      <c r="G66" s="5" t="n">
        <v>45333</v>
      </c>
      <c r="H66" s="4" t="inlineStr">
        <is>
          <t>CH01</t>
        </is>
      </c>
      <c r="I66" t="inlineStr">
        <is>
          <t>Bronze</t>
        </is>
      </c>
    </row>
    <row r="67">
      <c r="A67" s="4" t="inlineStr">
        <is>
          <t>C066</t>
        </is>
      </c>
      <c r="B67" t="inlineStr">
        <is>
          <t>Men</t>
        </is>
      </c>
      <c r="C67" t="n">
        <v>55</v>
      </c>
      <c r="D67" t="inlineStr">
        <is>
          <t>Dubai</t>
        </is>
      </c>
      <c r="E67" t="inlineStr">
        <is>
          <t>Jordan</t>
        </is>
      </c>
      <c r="F67" t="inlineStr">
        <is>
          <t>Premium Tailoring</t>
        </is>
      </c>
      <c r="G67" s="5" t="n">
        <v>45582</v>
      </c>
      <c r="H67" s="4" t="inlineStr">
        <is>
          <t>CH01</t>
        </is>
      </c>
      <c r="I67" t="inlineStr">
        <is>
          <t>Bronze</t>
        </is>
      </c>
    </row>
    <row r="68">
      <c r="A68" s="4" t="inlineStr">
        <is>
          <t>C067</t>
        </is>
      </c>
      <c r="B68" t="inlineStr">
        <is>
          <t>Men</t>
        </is>
      </c>
      <c r="C68" t="n">
        <v>26</v>
      </c>
      <c r="D68" t="inlineStr">
        <is>
          <t>Kuwait City</t>
        </is>
      </c>
      <c r="E68" t="inlineStr">
        <is>
          <t>Qatar</t>
        </is>
      </c>
      <c r="F68" t="inlineStr">
        <is>
          <t>Premium Tailoring</t>
        </is>
      </c>
      <c r="G68" s="5" t="n">
        <v>45617</v>
      </c>
      <c r="H68" s="4" t="inlineStr">
        <is>
          <t>CH01</t>
        </is>
      </c>
      <c r="I68" t="inlineStr">
        <is>
          <t>Gold</t>
        </is>
      </c>
    </row>
    <row r="69">
      <c r="A69" s="4" t="inlineStr">
        <is>
          <t>C068</t>
        </is>
      </c>
      <c r="B69" t="inlineStr">
        <is>
          <t>Men</t>
        </is>
      </c>
      <c r="C69" t="n">
        <v>48</v>
      </c>
      <c r="D69" t="inlineStr">
        <is>
          <t>Jeddah</t>
        </is>
      </c>
      <c r="E69" t="inlineStr">
        <is>
          <t>Qatar</t>
        </is>
      </c>
      <c r="F69" t="inlineStr">
        <is>
          <t>Digital Native</t>
        </is>
      </c>
      <c r="G69" s="5" t="n">
        <v>45517</v>
      </c>
      <c r="H69" s="4" t="inlineStr">
        <is>
          <t>CH01</t>
        </is>
      </c>
      <c r="I69" t="inlineStr">
        <is>
          <t>Bronze</t>
        </is>
      </c>
    </row>
    <row r="70">
      <c r="A70" s="4" t="inlineStr">
        <is>
          <t>C069</t>
        </is>
      </c>
      <c r="B70" t="inlineStr">
        <is>
          <t>Men</t>
        </is>
      </c>
      <c r="C70" t="n">
        <v>40</v>
      </c>
      <c r="D70" t="inlineStr">
        <is>
          <t>Amman</t>
        </is>
      </c>
      <c r="E70" t="inlineStr">
        <is>
          <t>Egypt</t>
        </is>
      </c>
      <c r="F70" t="inlineStr">
        <is>
          <t>Occasional Buyer</t>
        </is>
      </c>
      <c r="G70" s="5" t="n">
        <v>45373</v>
      </c>
      <c r="H70" s="4" t="inlineStr">
        <is>
          <t>CH01</t>
        </is>
      </c>
      <c r="I70" t="inlineStr">
        <is>
          <t>Bronze</t>
        </is>
      </c>
    </row>
    <row r="71">
      <c r="A71" s="4" t="inlineStr">
        <is>
          <t>C070</t>
        </is>
      </c>
      <c r="B71" t="inlineStr">
        <is>
          <t>Women</t>
        </is>
      </c>
      <c r="C71" t="n">
        <v>25</v>
      </c>
      <c r="D71" t="inlineStr">
        <is>
          <t>Giza</t>
        </is>
      </c>
      <c r="E71" t="inlineStr">
        <is>
          <t>Kuwait</t>
        </is>
      </c>
      <c r="F71" t="inlineStr">
        <is>
          <t>Value Seeker</t>
        </is>
      </c>
      <c r="G71" s="5" t="n">
        <v>45469</v>
      </c>
      <c r="H71" s="4" t="inlineStr">
        <is>
          <t>CH03</t>
        </is>
      </c>
      <c r="I71" t="inlineStr">
        <is>
          <t>Bronze</t>
        </is>
      </c>
    </row>
    <row r="72">
      <c r="A72" s="4" t="inlineStr">
        <is>
          <t>C071</t>
        </is>
      </c>
      <c r="B72" t="inlineStr">
        <is>
          <t>Men</t>
        </is>
      </c>
      <c r="C72" t="n">
        <v>27</v>
      </c>
      <c r="D72" t="inlineStr">
        <is>
          <t>Cairo</t>
        </is>
      </c>
      <c r="E72" t="inlineStr">
        <is>
          <t>Saudi Arabia</t>
        </is>
      </c>
      <c r="F72" t="inlineStr">
        <is>
          <t>Value Seeker</t>
        </is>
      </c>
      <c r="G72" s="5" t="n">
        <v>45501</v>
      </c>
      <c r="H72" s="4" t="inlineStr">
        <is>
          <t>CH04</t>
        </is>
      </c>
      <c r="I72" t="inlineStr">
        <is>
          <t>Silver</t>
        </is>
      </c>
    </row>
    <row r="73">
      <c r="A73" s="4" t="inlineStr">
        <is>
          <t>C072</t>
        </is>
      </c>
      <c r="B73" t="inlineStr">
        <is>
          <t>Men</t>
        </is>
      </c>
      <c r="C73" t="n">
        <v>26</v>
      </c>
      <c r="D73" t="inlineStr">
        <is>
          <t>Mansoura</t>
        </is>
      </c>
      <c r="E73" t="inlineStr">
        <is>
          <t>Egypt</t>
        </is>
      </c>
      <c r="F73" t="inlineStr">
        <is>
          <t>Occasional Buyer</t>
        </is>
      </c>
      <c r="G73" s="5" t="n">
        <v>45612</v>
      </c>
      <c r="H73" s="4" t="inlineStr">
        <is>
          <t>CH01</t>
        </is>
      </c>
      <c r="I73" t="inlineStr">
        <is>
          <t>Bronze</t>
        </is>
      </c>
    </row>
    <row r="74">
      <c r="A74" s="4" t="inlineStr">
        <is>
          <t>C073</t>
        </is>
      </c>
      <c r="B74" t="inlineStr">
        <is>
          <t>Men</t>
        </is>
      </c>
      <c r="C74" t="n">
        <v>27</v>
      </c>
      <c r="D74" t="inlineStr">
        <is>
          <t>Kuwait City</t>
        </is>
      </c>
      <c r="E74" t="inlineStr">
        <is>
          <t>Kuwait</t>
        </is>
      </c>
      <c r="F74" t="inlineStr">
        <is>
          <t>Premium Tailoring</t>
        </is>
      </c>
      <c r="G74" s="5" t="n">
        <v>45501</v>
      </c>
      <c r="H74" s="4" t="inlineStr">
        <is>
          <t>CH02</t>
        </is>
      </c>
      <c r="I74" t="inlineStr">
        <is>
          <t>Silver</t>
        </is>
      </c>
    </row>
    <row r="75">
      <c r="A75" s="4" t="inlineStr">
        <is>
          <t>C074</t>
        </is>
      </c>
      <c r="B75" t="inlineStr">
        <is>
          <t>Women</t>
        </is>
      </c>
      <c r="C75" t="n">
        <v>37</v>
      </c>
      <c r="D75" t="inlineStr">
        <is>
          <t>Riyadh</t>
        </is>
      </c>
      <c r="E75" t="inlineStr">
        <is>
          <t>Egypt</t>
        </is>
      </c>
      <c r="F75" t="inlineStr">
        <is>
          <t>Classic Loyalist</t>
        </is>
      </c>
      <c r="G75" s="5" t="n">
        <v>45423</v>
      </c>
      <c r="H75" s="4" t="inlineStr">
        <is>
          <t>CH01</t>
        </is>
      </c>
      <c r="I75" t="inlineStr">
        <is>
          <t>Bronze</t>
        </is>
      </c>
    </row>
    <row r="76">
      <c r="A76" s="4" t="inlineStr">
        <is>
          <t>C075</t>
        </is>
      </c>
      <c r="B76" t="inlineStr">
        <is>
          <t>Women</t>
        </is>
      </c>
      <c r="C76" t="n">
        <v>45</v>
      </c>
      <c r="D76" t="inlineStr">
        <is>
          <t>Kuwait City</t>
        </is>
      </c>
      <c r="E76" t="inlineStr">
        <is>
          <t>UAE</t>
        </is>
      </c>
      <c r="F76" t="inlineStr">
        <is>
          <t>Classic Loyalist</t>
        </is>
      </c>
      <c r="G76" s="5" t="n">
        <v>45294</v>
      </c>
      <c r="H76" s="4" t="inlineStr">
        <is>
          <t>CH03</t>
        </is>
      </c>
      <c r="I76" t="inlineStr">
        <is>
          <t>Bronze</t>
        </is>
      </c>
    </row>
    <row r="77">
      <c r="A77" s="4" t="inlineStr">
        <is>
          <t>C076</t>
        </is>
      </c>
      <c r="B77" t="inlineStr">
        <is>
          <t>Men</t>
        </is>
      </c>
      <c r="C77" t="n">
        <v>41</v>
      </c>
      <c r="D77" t="inlineStr">
        <is>
          <t>Doha</t>
        </is>
      </c>
      <c r="E77" t="inlineStr">
        <is>
          <t>Kuwait</t>
        </is>
      </c>
      <c r="F77" t="inlineStr">
        <is>
          <t>Classic Loyalist</t>
        </is>
      </c>
      <c r="G77" s="5" t="n">
        <v>45468</v>
      </c>
      <c r="H77" s="4" t="inlineStr">
        <is>
          <t>CH01</t>
        </is>
      </c>
      <c r="I77" t="inlineStr">
        <is>
          <t>Bronze</t>
        </is>
      </c>
    </row>
    <row r="78">
      <c r="A78" s="4" t="inlineStr">
        <is>
          <t>C077</t>
        </is>
      </c>
      <c r="B78" t="inlineStr">
        <is>
          <t>Women</t>
        </is>
      </c>
      <c r="C78" t="n">
        <v>29</v>
      </c>
      <c r="D78" t="inlineStr">
        <is>
          <t>Dubai</t>
        </is>
      </c>
      <c r="E78" t="inlineStr">
        <is>
          <t>Jordan</t>
        </is>
      </c>
      <c r="F78" t="inlineStr">
        <is>
          <t>Classic Loyalist</t>
        </is>
      </c>
      <c r="G78" s="5" t="n">
        <v>45599</v>
      </c>
      <c r="H78" s="4" t="inlineStr">
        <is>
          <t>CH02</t>
        </is>
      </c>
      <c r="I78" t="inlineStr">
        <is>
          <t>Silver</t>
        </is>
      </c>
    </row>
    <row r="79">
      <c r="A79" s="4" t="inlineStr">
        <is>
          <t>C078</t>
        </is>
      </c>
      <c r="B79" t="inlineStr">
        <is>
          <t>Men</t>
        </is>
      </c>
      <c r="C79" t="n">
        <v>48</v>
      </c>
      <c r="D79" t="inlineStr">
        <is>
          <t>Riyadh</t>
        </is>
      </c>
      <c r="E79" t="inlineStr">
        <is>
          <t>Jordan</t>
        </is>
      </c>
      <c r="F79" t="inlineStr">
        <is>
          <t>Value Seeker</t>
        </is>
      </c>
      <c r="G79" s="5" t="n">
        <v>45539</v>
      </c>
      <c r="H79" s="4" t="inlineStr">
        <is>
          <t>CH01</t>
        </is>
      </c>
      <c r="I79" t="inlineStr">
        <is>
          <t>Bronze</t>
        </is>
      </c>
    </row>
    <row r="80">
      <c r="A80" s="4" t="inlineStr">
        <is>
          <t>C079</t>
        </is>
      </c>
      <c r="B80" t="inlineStr">
        <is>
          <t>Men</t>
        </is>
      </c>
      <c r="C80" t="n">
        <v>53</v>
      </c>
      <c r="D80" t="inlineStr">
        <is>
          <t>Cairo</t>
        </is>
      </c>
      <c r="E80" t="inlineStr">
        <is>
          <t>Egypt</t>
        </is>
      </c>
      <c r="F80" t="inlineStr">
        <is>
          <t>Occasional Buyer</t>
        </is>
      </c>
      <c r="G80" s="5" t="n">
        <v>45493</v>
      </c>
      <c r="H80" s="4" t="inlineStr">
        <is>
          <t>CH01</t>
        </is>
      </c>
      <c r="I80" t="inlineStr">
        <is>
          <t>Bronze</t>
        </is>
      </c>
    </row>
    <row r="81">
      <c r="A81" s="4" t="inlineStr">
        <is>
          <t>C080</t>
        </is>
      </c>
      <c r="B81" t="inlineStr">
        <is>
          <t>Women</t>
        </is>
      </c>
      <c r="C81" t="n">
        <v>28</v>
      </c>
      <c r="D81" t="inlineStr">
        <is>
          <t>Amman</t>
        </is>
      </c>
      <c r="E81" t="inlineStr">
        <is>
          <t>Qatar</t>
        </is>
      </c>
      <c r="F81" t="inlineStr">
        <is>
          <t>Premium Tailoring</t>
        </is>
      </c>
      <c r="G81" s="5" t="n">
        <v>45323</v>
      </c>
      <c r="H81" s="4" t="inlineStr">
        <is>
          <t>CH01</t>
        </is>
      </c>
      <c r="I81" t="inlineStr">
        <is>
          <t>Bronze</t>
        </is>
      </c>
    </row>
    <row r="82">
      <c r="A82" s="4" t="inlineStr">
        <is>
          <t>C081</t>
        </is>
      </c>
      <c r="B82" t="inlineStr">
        <is>
          <t>Women</t>
        </is>
      </c>
      <c r="C82" t="n">
        <v>44</v>
      </c>
      <c r="D82" t="inlineStr">
        <is>
          <t>Riyadh</t>
        </is>
      </c>
      <c r="E82" t="inlineStr">
        <is>
          <t>Egypt</t>
        </is>
      </c>
      <c r="F82" t="inlineStr">
        <is>
          <t>Occasional Buyer</t>
        </is>
      </c>
      <c r="G82" s="5" t="n">
        <v>45562</v>
      </c>
      <c r="H82" s="4" t="inlineStr">
        <is>
          <t>CH01</t>
        </is>
      </c>
      <c r="I82" t="inlineStr">
        <is>
          <t>Bronze</t>
        </is>
      </c>
    </row>
    <row r="83">
      <c r="A83" s="4" t="inlineStr">
        <is>
          <t>C082</t>
        </is>
      </c>
      <c r="B83" t="inlineStr">
        <is>
          <t>Women</t>
        </is>
      </c>
      <c r="C83" t="n">
        <v>47</v>
      </c>
      <c r="D83" t="inlineStr">
        <is>
          <t>Jeddah</t>
        </is>
      </c>
      <c r="E83" t="inlineStr">
        <is>
          <t>Kuwait</t>
        </is>
      </c>
      <c r="F83" t="inlineStr">
        <is>
          <t>Classic Loyalist</t>
        </is>
      </c>
      <c r="G83" s="5" t="n">
        <v>45462</v>
      </c>
      <c r="H83" s="4" t="inlineStr">
        <is>
          <t>CH04</t>
        </is>
      </c>
      <c r="I83" t="inlineStr">
        <is>
          <t>Bronze</t>
        </is>
      </c>
    </row>
    <row r="84">
      <c r="A84" s="4" t="inlineStr">
        <is>
          <t>C083</t>
        </is>
      </c>
      <c r="B84" t="inlineStr">
        <is>
          <t>Men</t>
        </is>
      </c>
      <c r="C84" t="n">
        <v>38</v>
      </c>
      <c r="D84" t="inlineStr">
        <is>
          <t>Doha</t>
        </is>
      </c>
      <c r="E84" t="inlineStr">
        <is>
          <t>Jordan</t>
        </is>
      </c>
      <c r="F84" t="inlineStr">
        <is>
          <t>Classic Loyalist</t>
        </is>
      </c>
      <c r="G84" s="5" t="n">
        <v>45449</v>
      </c>
      <c r="H84" s="4" t="inlineStr">
        <is>
          <t>CH01</t>
        </is>
      </c>
      <c r="I84" t="inlineStr">
        <is>
          <t>Silver</t>
        </is>
      </c>
    </row>
    <row r="85">
      <c r="A85" s="4" t="inlineStr">
        <is>
          <t>C084</t>
        </is>
      </c>
      <c r="B85" t="inlineStr">
        <is>
          <t>Men</t>
        </is>
      </c>
      <c r="C85" t="n">
        <v>25</v>
      </c>
      <c r="D85" t="inlineStr">
        <is>
          <t>Jeddah</t>
        </is>
      </c>
      <c r="E85" t="inlineStr">
        <is>
          <t>Kuwait</t>
        </is>
      </c>
      <c r="F85" t="inlineStr">
        <is>
          <t>Value Seeker</t>
        </is>
      </c>
      <c r="G85" s="5" t="n">
        <v>45492</v>
      </c>
      <c r="H85" s="4" t="inlineStr">
        <is>
          <t>CH01</t>
        </is>
      </c>
      <c r="I85" t="inlineStr">
        <is>
          <t>Bronze</t>
        </is>
      </c>
    </row>
    <row r="86">
      <c r="A86" s="4" t="inlineStr">
        <is>
          <t>C085</t>
        </is>
      </c>
      <c r="B86" t="inlineStr">
        <is>
          <t>Men</t>
        </is>
      </c>
      <c r="C86" t="n">
        <v>41</v>
      </c>
      <c r="D86" t="inlineStr">
        <is>
          <t>Alexandria</t>
        </is>
      </c>
      <c r="E86" t="inlineStr">
        <is>
          <t>Kuwait</t>
        </is>
      </c>
      <c r="F86" t="inlineStr">
        <is>
          <t>Classic Loyalist</t>
        </is>
      </c>
      <c r="G86" s="5" t="n">
        <v>45339</v>
      </c>
      <c r="H86" s="4" t="inlineStr">
        <is>
          <t>CH03</t>
        </is>
      </c>
      <c r="I86" t="inlineStr">
        <is>
          <t>Bronze</t>
        </is>
      </c>
    </row>
    <row r="87">
      <c r="A87" s="4" t="inlineStr">
        <is>
          <t>C086</t>
        </is>
      </c>
      <c r="B87" t="inlineStr">
        <is>
          <t>Men</t>
        </is>
      </c>
      <c r="C87" t="n">
        <v>42</v>
      </c>
      <c r="D87" t="inlineStr">
        <is>
          <t>Alexandria</t>
        </is>
      </c>
      <c r="E87" t="inlineStr">
        <is>
          <t>UAE</t>
        </is>
      </c>
      <c r="F87" t="inlineStr">
        <is>
          <t>Premium Tailoring</t>
        </is>
      </c>
      <c r="G87" s="5" t="n">
        <v>45359</v>
      </c>
      <c r="H87" s="4" t="inlineStr">
        <is>
          <t>CH03</t>
        </is>
      </c>
      <c r="I87" t="inlineStr">
        <is>
          <t>Bronze</t>
        </is>
      </c>
    </row>
    <row r="88">
      <c r="A88" s="4" t="inlineStr">
        <is>
          <t>C087</t>
        </is>
      </c>
      <c r="B88" t="inlineStr">
        <is>
          <t>Women</t>
        </is>
      </c>
      <c r="C88" t="n">
        <v>29</v>
      </c>
      <c r="D88" t="inlineStr">
        <is>
          <t>Amman</t>
        </is>
      </c>
      <c r="E88" t="inlineStr">
        <is>
          <t>Jordan</t>
        </is>
      </c>
      <c r="F88" t="inlineStr">
        <is>
          <t>Premium Tailoring</t>
        </is>
      </c>
      <c r="G88" s="5" t="n">
        <v>45376</v>
      </c>
      <c r="H88" s="4" t="inlineStr">
        <is>
          <t>CH02</t>
        </is>
      </c>
      <c r="I88" t="inlineStr">
        <is>
          <t>Silver</t>
        </is>
      </c>
    </row>
    <row r="89">
      <c r="A89" s="4" t="inlineStr">
        <is>
          <t>C088</t>
        </is>
      </c>
      <c r="B89" t="inlineStr">
        <is>
          <t>Men</t>
        </is>
      </c>
      <c r="C89" t="n">
        <v>40</v>
      </c>
      <c r="D89" t="inlineStr">
        <is>
          <t>Alexandria</t>
        </is>
      </c>
      <c r="E89" t="inlineStr">
        <is>
          <t>Jordan</t>
        </is>
      </c>
      <c r="F89" t="inlineStr">
        <is>
          <t>Digital Native</t>
        </is>
      </c>
      <c r="G89" s="5" t="n">
        <v>45366</v>
      </c>
      <c r="H89" s="4" t="inlineStr">
        <is>
          <t>CH02</t>
        </is>
      </c>
      <c r="I89" t="inlineStr">
        <is>
          <t>Bronze</t>
        </is>
      </c>
    </row>
    <row r="90">
      <c r="A90" s="4" t="inlineStr">
        <is>
          <t>C089</t>
        </is>
      </c>
      <c r="B90" t="inlineStr">
        <is>
          <t>Men</t>
        </is>
      </c>
      <c r="C90" t="n">
        <v>37</v>
      </c>
      <c r="D90" t="inlineStr">
        <is>
          <t>Amman</t>
        </is>
      </c>
      <c r="E90" t="inlineStr">
        <is>
          <t>Jordan</t>
        </is>
      </c>
      <c r="F90" t="inlineStr">
        <is>
          <t>Occasional Buyer</t>
        </is>
      </c>
      <c r="G90" s="5" t="n">
        <v>45332</v>
      </c>
      <c r="H90" s="4" t="inlineStr">
        <is>
          <t>CH01</t>
        </is>
      </c>
      <c r="I90" t="inlineStr">
        <is>
          <t>Bronze</t>
        </is>
      </c>
    </row>
    <row r="91">
      <c r="A91" s="4" t="inlineStr">
        <is>
          <t>C090</t>
        </is>
      </c>
      <c r="B91" t="inlineStr">
        <is>
          <t>Men</t>
        </is>
      </c>
      <c r="C91" t="n">
        <v>38</v>
      </c>
      <c r="D91" t="inlineStr">
        <is>
          <t>Doha</t>
        </is>
      </c>
      <c r="E91" t="inlineStr">
        <is>
          <t>Kuwait</t>
        </is>
      </c>
      <c r="F91" t="inlineStr">
        <is>
          <t>Classic Loyalist</t>
        </is>
      </c>
      <c r="G91" s="5" t="n">
        <v>45342</v>
      </c>
      <c r="H91" s="4" t="inlineStr">
        <is>
          <t>CH04</t>
        </is>
      </c>
      <c r="I91" t="inlineStr">
        <is>
          <t>Bronze</t>
        </is>
      </c>
    </row>
    <row r="92">
      <c r="A92" s="4" t="inlineStr">
        <is>
          <t>C091</t>
        </is>
      </c>
      <c r="B92" t="inlineStr">
        <is>
          <t>Women</t>
        </is>
      </c>
      <c r="C92" t="n">
        <v>48</v>
      </c>
      <c r="D92" t="inlineStr">
        <is>
          <t>Doha</t>
        </is>
      </c>
      <c r="E92" t="inlineStr">
        <is>
          <t>Jordan</t>
        </is>
      </c>
      <c r="F92" t="inlineStr">
        <is>
          <t>Digital Native</t>
        </is>
      </c>
      <c r="G92" s="5" t="n">
        <v>45393</v>
      </c>
      <c r="H92" s="4" t="inlineStr">
        <is>
          <t>CH02</t>
        </is>
      </c>
      <c r="I92" t="inlineStr">
        <is>
          <t>Bronze</t>
        </is>
      </c>
    </row>
    <row r="93">
      <c r="A93" s="4" t="inlineStr">
        <is>
          <t>C092</t>
        </is>
      </c>
      <c r="B93" t="inlineStr">
        <is>
          <t>Women</t>
        </is>
      </c>
      <c r="C93" t="n">
        <v>48</v>
      </c>
      <c r="D93" t="inlineStr">
        <is>
          <t>Alexandria</t>
        </is>
      </c>
      <c r="E93" t="inlineStr">
        <is>
          <t>Kuwait</t>
        </is>
      </c>
      <c r="F93" t="inlineStr">
        <is>
          <t>Classic Loyalist</t>
        </is>
      </c>
      <c r="G93" s="5" t="n">
        <v>45466</v>
      </c>
      <c r="H93" s="4" t="inlineStr">
        <is>
          <t>CH04</t>
        </is>
      </c>
      <c r="I93" t="inlineStr">
        <is>
          <t>Silver</t>
        </is>
      </c>
    </row>
    <row r="94">
      <c r="A94" s="4" t="inlineStr">
        <is>
          <t>C093</t>
        </is>
      </c>
      <c r="B94" t="inlineStr">
        <is>
          <t>Women</t>
        </is>
      </c>
      <c r="C94" t="n">
        <v>35</v>
      </c>
      <c r="D94" t="inlineStr">
        <is>
          <t>Doha</t>
        </is>
      </c>
      <c r="E94" t="inlineStr">
        <is>
          <t>UAE</t>
        </is>
      </c>
      <c r="F94" t="inlineStr">
        <is>
          <t>Occasional Buyer</t>
        </is>
      </c>
      <c r="G94" s="5" t="n">
        <v>45552</v>
      </c>
      <c r="H94" s="4" t="inlineStr">
        <is>
          <t>CH04</t>
        </is>
      </c>
      <c r="I94" t="inlineStr">
        <is>
          <t>Bronze</t>
        </is>
      </c>
    </row>
    <row r="95">
      <c r="A95" s="4" t="inlineStr">
        <is>
          <t>C094</t>
        </is>
      </c>
      <c r="B95" t="inlineStr">
        <is>
          <t>Men</t>
        </is>
      </c>
      <c r="C95" t="n">
        <v>44</v>
      </c>
      <c r="D95" t="inlineStr">
        <is>
          <t>Riyadh</t>
        </is>
      </c>
      <c r="E95" t="inlineStr">
        <is>
          <t>Egypt</t>
        </is>
      </c>
      <c r="F95" t="inlineStr">
        <is>
          <t>Value Seeker</t>
        </is>
      </c>
      <c r="G95" s="5" t="n">
        <v>45567</v>
      </c>
      <c r="H95" s="4" t="inlineStr">
        <is>
          <t>CH01</t>
        </is>
      </c>
      <c r="I95" t="inlineStr">
        <is>
          <t>Bronze</t>
        </is>
      </c>
    </row>
    <row r="96">
      <c r="A96" s="4" t="inlineStr">
        <is>
          <t>C095</t>
        </is>
      </c>
      <c r="B96" t="inlineStr">
        <is>
          <t>Men</t>
        </is>
      </c>
      <c r="C96" t="n">
        <v>38</v>
      </c>
      <c r="D96" t="inlineStr">
        <is>
          <t>Giza</t>
        </is>
      </c>
      <c r="E96" t="inlineStr">
        <is>
          <t>Saudi Arabia</t>
        </is>
      </c>
      <c r="F96" t="inlineStr">
        <is>
          <t>Value Seeker</t>
        </is>
      </c>
      <c r="G96" s="5" t="n">
        <v>45593</v>
      </c>
      <c r="H96" s="4" t="inlineStr">
        <is>
          <t>CH04</t>
        </is>
      </c>
      <c r="I96" t="inlineStr">
        <is>
          <t>Bronze</t>
        </is>
      </c>
    </row>
    <row r="97">
      <c r="A97" s="4" t="inlineStr">
        <is>
          <t>C096</t>
        </is>
      </c>
      <c r="B97" t="inlineStr">
        <is>
          <t>Women</t>
        </is>
      </c>
      <c r="C97" t="n">
        <v>42</v>
      </c>
      <c r="D97" t="inlineStr">
        <is>
          <t>Giza</t>
        </is>
      </c>
      <c r="E97" t="inlineStr">
        <is>
          <t>Kuwait</t>
        </is>
      </c>
      <c r="F97" t="inlineStr">
        <is>
          <t>Value Seeker</t>
        </is>
      </c>
      <c r="G97" s="5" t="n">
        <v>45609</v>
      </c>
      <c r="H97" s="4" t="inlineStr">
        <is>
          <t>CH02</t>
        </is>
      </c>
      <c r="I97" t="inlineStr">
        <is>
          <t>Silver</t>
        </is>
      </c>
    </row>
    <row r="98">
      <c r="A98" s="4" t="inlineStr">
        <is>
          <t>C097</t>
        </is>
      </c>
      <c r="B98" t="inlineStr">
        <is>
          <t>Women</t>
        </is>
      </c>
      <c r="C98" t="n">
        <v>39</v>
      </c>
      <c r="D98" t="inlineStr">
        <is>
          <t>Giza</t>
        </is>
      </c>
      <c r="E98" t="inlineStr">
        <is>
          <t>Qatar</t>
        </is>
      </c>
      <c r="F98" t="inlineStr">
        <is>
          <t>Occasional Buyer</t>
        </is>
      </c>
      <c r="G98" s="5" t="n">
        <v>45470</v>
      </c>
      <c r="H98" s="4" t="inlineStr">
        <is>
          <t>CH02</t>
        </is>
      </c>
      <c r="I98" t="inlineStr">
        <is>
          <t>Silver</t>
        </is>
      </c>
    </row>
    <row r="99">
      <c r="A99" s="4" t="inlineStr">
        <is>
          <t>C098</t>
        </is>
      </c>
      <c r="B99" t="inlineStr">
        <is>
          <t>Women</t>
        </is>
      </c>
      <c r="C99" t="n">
        <v>47</v>
      </c>
      <c r="D99" t="inlineStr">
        <is>
          <t>Mansoura</t>
        </is>
      </c>
      <c r="E99" t="inlineStr">
        <is>
          <t>Saudi Arabia</t>
        </is>
      </c>
      <c r="F99" t="inlineStr">
        <is>
          <t>Occasional Buyer</t>
        </is>
      </c>
      <c r="G99" s="5" t="n">
        <v>45418</v>
      </c>
      <c r="H99" s="4" t="inlineStr">
        <is>
          <t>CH01</t>
        </is>
      </c>
      <c r="I99" t="inlineStr">
        <is>
          <t>Gold</t>
        </is>
      </c>
    </row>
    <row r="100">
      <c r="A100" s="4" t="inlineStr">
        <is>
          <t>C099</t>
        </is>
      </c>
      <c r="B100" t="inlineStr">
        <is>
          <t>Men</t>
        </is>
      </c>
      <c r="C100" t="n">
        <v>32</v>
      </c>
      <c r="D100" t="inlineStr">
        <is>
          <t>Alexandria</t>
        </is>
      </c>
      <c r="E100" t="inlineStr">
        <is>
          <t>Kuwait</t>
        </is>
      </c>
      <c r="F100" t="inlineStr">
        <is>
          <t>Classic Loyalist</t>
        </is>
      </c>
      <c r="G100" s="5" t="n">
        <v>45332</v>
      </c>
      <c r="H100" s="4" t="inlineStr">
        <is>
          <t>CH01</t>
        </is>
      </c>
      <c r="I100" t="inlineStr">
        <is>
          <t>Silver</t>
        </is>
      </c>
    </row>
    <row r="101">
      <c r="A101" s="4" t="inlineStr">
        <is>
          <t>C100</t>
        </is>
      </c>
      <c r="B101" t="inlineStr">
        <is>
          <t>Women</t>
        </is>
      </c>
      <c r="C101" t="n">
        <v>41</v>
      </c>
      <c r="D101" t="inlineStr">
        <is>
          <t>Giza</t>
        </is>
      </c>
      <c r="E101" t="inlineStr">
        <is>
          <t>UAE</t>
        </is>
      </c>
      <c r="F101" t="inlineStr">
        <is>
          <t>Digital Native</t>
        </is>
      </c>
      <c r="G101" s="5" t="n">
        <v>45578</v>
      </c>
      <c r="H101" s="4" t="inlineStr">
        <is>
          <t>CH02</t>
        </is>
      </c>
      <c r="I101" t="inlineStr">
        <is>
          <t>Bronze</t>
        </is>
      </c>
    </row>
    <row r="102">
      <c r="A102" s="4" t="inlineStr">
        <is>
          <t>C101</t>
        </is>
      </c>
      <c r="B102" t="inlineStr">
        <is>
          <t>Women</t>
        </is>
      </c>
      <c r="C102" t="n">
        <v>48</v>
      </c>
      <c r="D102" t="inlineStr">
        <is>
          <t>Amman</t>
        </is>
      </c>
      <c r="E102" t="inlineStr">
        <is>
          <t>Kuwait</t>
        </is>
      </c>
      <c r="F102" t="inlineStr">
        <is>
          <t>Classic Loyalist</t>
        </is>
      </c>
      <c r="G102" s="5" t="n">
        <v>45634</v>
      </c>
      <c r="H102" s="4" t="inlineStr">
        <is>
          <t>CH01</t>
        </is>
      </c>
      <c r="I102" t="inlineStr">
        <is>
          <t>Bronze</t>
        </is>
      </c>
    </row>
    <row r="103">
      <c r="A103" s="4" t="inlineStr">
        <is>
          <t>C102</t>
        </is>
      </c>
      <c r="B103" t="inlineStr">
        <is>
          <t>Men</t>
        </is>
      </c>
      <c r="C103" t="n">
        <v>34</v>
      </c>
      <c r="D103" t="inlineStr">
        <is>
          <t>Mansoura</t>
        </is>
      </c>
      <c r="E103" t="inlineStr">
        <is>
          <t>Saudi Arabia</t>
        </is>
      </c>
      <c r="F103" t="inlineStr">
        <is>
          <t>Occasional Buyer</t>
        </is>
      </c>
      <c r="G103" s="5" t="n">
        <v>45531</v>
      </c>
      <c r="H103" s="4" t="inlineStr">
        <is>
          <t>CH01</t>
        </is>
      </c>
      <c r="I103" t="inlineStr">
        <is>
          <t>Silver</t>
        </is>
      </c>
    </row>
    <row r="104">
      <c r="A104" s="4" t="inlineStr">
        <is>
          <t>C103</t>
        </is>
      </c>
      <c r="B104" t="inlineStr">
        <is>
          <t>Men</t>
        </is>
      </c>
      <c r="C104" t="n">
        <v>49</v>
      </c>
      <c r="D104" t="inlineStr">
        <is>
          <t>Jeddah</t>
        </is>
      </c>
      <c r="E104" t="inlineStr">
        <is>
          <t>UAE</t>
        </is>
      </c>
      <c r="F104" t="inlineStr">
        <is>
          <t>Premium Tailoring</t>
        </is>
      </c>
      <c r="G104" s="5" t="n">
        <v>45552</v>
      </c>
      <c r="H104" s="4" t="inlineStr">
        <is>
          <t>CH03</t>
        </is>
      </c>
      <c r="I104" t="inlineStr">
        <is>
          <t>Silver</t>
        </is>
      </c>
    </row>
    <row r="105">
      <c r="A105" s="4" t="inlineStr">
        <is>
          <t>C104</t>
        </is>
      </c>
      <c r="B105" t="inlineStr">
        <is>
          <t>Women</t>
        </is>
      </c>
      <c r="C105" t="n">
        <v>36</v>
      </c>
      <c r="D105" t="inlineStr">
        <is>
          <t>Alexandria</t>
        </is>
      </c>
      <c r="E105" t="inlineStr">
        <is>
          <t>Qatar</t>
        </is>
      </c>
      <c r="F105" t="inlineStr">
        <is>
          <t>Classic Loyalist</t>
        </is>
      </c>
      <c r="G105" s="5" t="n">
        <v>45461</v>
      </c>
      <c r="H105" s="4" t="inlineStr">
        <is>
          <t>CH02</t>
        </is>
      </c>
      <c r="I105" t="inlineStr">
        <is>
          <t>Silver</t>
        </is>
      </c>
    </row>
    <row r="106">
      <c r="A106" s="4" t="inlineStr">
        <is>
          <t>C105</t>
        </is>
      </c>
      <c r="B106" t="inlineStr">
        <is>
          <t>Women</t>
        </is>
      </c>
      <c r="C106" t="n">
        <v>38</v>
      </c>
      <c r="D106" t="inlineStr">
        <is>
          <t>Giza</t>
        </is>
      </c>
      <c r="E106" t="inlineStr">
        <is>
          <t>Jordan</t>
        </is>
      </c>
      <c r="F106" t="inlineStr">
        <is>
          <t>Classic Loyalist</t>
        </is>
      </c>
      <c r="G106" s="5" t="n">
        <v>45521</v>
      </c>
      <c r="H106" s="4" t="inlineStr">
        <is>
          <t>CH01</t>
        </is>
      </c>
      <c r="I106" t="inlineStr">
        <is>
          <t>Bronze</t>
        </is>
      </c>
    </row>
    <row r="107">
      <c r="A107" s="4" t="inlineStr">
        <is>
          <t>C106</t>
        </is>
      </c>
      <c r="B107" t="inlineStr">
        <is>
          <t>Women</t>
        </is>
      </c>
      <c r="C107" t="n">
        <v>48</v>
      </c>
      <c r="D107" t="inlineStr">
        <is>
          <t>Jeddah</t>
        </is>
      </c>
      <c r="E107" t="inlineStr">
        <is>
          <t>Kuwait</t>
        </is>
      </c>
      <c r="F107" t="inlineStr">
        <is>
          <t>Digital Native</t>
        </is>
      </c>
      <c r="G107" s="5" t="n">
        <v>45475</v>
      </c>
      <c r="H107" s="4" t="inlineStr">
        <is>
          <t>CH04</t>
        </is>
      </c>
      <c r="I107" t="inlineStr">
        <is>
          <t>Bronze</t>
        </is>
      </c>
    </row>
    <row r="108">
      <c r="A108" s="4" t="inlineStr">
        <is>
          <t>C107</t>
        </is>
      </c>
      <c r="B108" t="inlineStr">
        <is>
          <t>Men</t>
        </is>
      </c>
      <c r="C108" t="n">
        <v>25</v>
      </c>
      <c r="D108" t="inlineStr">
        <is>
          <t>Riyadh</t>
        </is>
      </c>
      <c r="E108" t="inlineStr">
        <is>
          <t>UAE</t>
        </is>
      </c>
      <c r="F108" t="inlineStr">
        <is>
          <t>Value Seeker</t>
        </is>
      </c>
      <c r="G108" s="5" t="n">
        <v>45349</v>
      </c>
      <c r="H108" s="4" t="inlineStr">
        <is>
          <t>CH01</t>
        </is>
      </c>
      <c r="I108" t="inlineStr">
        <is>
          <t>Bronze</t>
        </is>
      </c>
    </row>
    <row r="109">
      <c r="A109" s="4" t="inlineStr">
        <is>
          <t>C108</t>
        </is>
      </c>
      <c r="B109" t="inlineStr">
        <is>
          <t>Men</t>
        </is>
      </c>
      <c r="C109" t="n">
        <v>50</v>
      </c>
      <c r="D109" t="inlineStr">
        <is>
          <t>Amman</t>
        </is>
      </c>
      <c r="E109" t="inlineStr">
        <is>
          <t>Kuwait</t>
        </is>
      </c>
      <c r="F109" t="inlineStr">
        <is>
          <t>Occasional Buyer</t>
        </is>
      </c>
      <c r="G109" s="5" t="n">
        <v>45642</v>
      </c>
      <c r="H109" s="4" t="inlineStr">
        <is>
          <t>CH01</t>
        </is>
      </c>
      <c r="I109" t="inlineStr">
        <is>
          <t>Bronze</t>
        </is>
      </c>
    </row>
    <row r="110">
      <c r="A110" s="4" t="inlineStr">
        <is>
          <t>C109</t>
        </is>
      </c>
      <c r="B110" t="inlineStr">
        <is>
          <t>Women</t>
        </is>
      </c>
      <c r="C110" t="n">
        <v>21</v>
      </c>
      <c r="D110" t="inlineStr">
        <is>
          <t>Doha</t>
        </is>
      </c>
      <c r="E110" t="inlineStr">
        <is>
          <t>Kuwait</t>
        </is>
      </c>
      <c r="F110" t="inlineStr">
        <is>
          <t>Value Seeker</t>
        </is>
      </c>
      <c r="G110" s="5" t="n">
        <v>45559</v>
      </c>
      <c r="H110" s="4" t="inlineStr">
        <is>
          <t>CH03</t>
        </is>
      </c>
      <c r="I110" t="inlineStr">
        <is>
          <t>Bronze</t>
        </is>
      </c>
    </row>
    <row r="111">
      <c r="A111" s="4" t="inlineStr">
        <is>
          <t>C110</t>
        </is>
      </c>
      <c r="B111" t="inlineStr">
        <is>
          <t>Men</t>
        </is>
      </c>
      <c r="C111" t="n">
        <v>35</v>
      </c>
      <c r="D111" t="inlineStr">
        <is>
          <t>Doha</t>
        </is>
      </c>
      <c r="E111" t="inlineStr">
        <is>
          <t>Jordan</t>
        </is>
      </c>
      <c r="F111" t="inlineStr">
        <is>
          <t>Value Seeker</t>
        </is>
      </c>
      <c r="G111" s="5" t="n">
        <v>45494</v>
      </c>
      <c r="H111" s="4" t="inlineStr">
        <is>
          <t>CH01</t>
        </is>
      </c>
      <c r="I111" t="inlineStr">
        <is>
          <t>Bronze</t>
        </is>
      </c>
    </row>
    <row r="112">
      <c r="A112" s="4" t="inlineStr">
        <is>
          <t>C111</t>
        </is>
      </c>
      <c r="B112" t="inlineStr">
        <is>
          <t>Men</t>
        </is>
      </c>
      <c r="C112" t="n">
        <v>54</v>
      </c>
      <c r="D112" t="inlineStr">
        <is>
          <t>Giza</t>
        </is>
      </c>
      <c r="E112" t="inlineStr">
        <is>
          <t>Saudi Arabia</t>
        </is>
      </c>
      <c r="F112" t="inlineStr">
        <is>
          <t>Classic Loyalist</t>
        </is>
      </c>
      <c r="G112" s="5" t="n">
        <v>45405</v>
      </c>
      <c r="H112" s="4" t="inlineStr">
        <is>
          <t>CH02</t>
        </is>
      </c>
      <c r="I112" t="inlineStr">
        <is>
          <t>Bronze</t>
        </is>
      </c>
    </row>
    <row r="113">
      <c r="A113" s="4" t="inlineStr">
        <is>
          <t>C112</t>
        </is>
      </c>
      <c r="B113" t="inlineStr">
        <is>
          <t>Men</t>
        </is>
      </c>
      <c r="C113" t="n">
        <v>35</v>
      </c>
      <c r="D113" t="inlineStr">
        <is>
          <t>Kuwait City</t>
        </is>
      </c>
      <c r="E113" t="inlineStr">
        <is>
          <t>Saudi Arabia</t>
        </is>
      </c>
      <c r="F113" t="inlineStr">
        <is>
          <t>Occasional Buyer</t>
        </is>
      </c>
      <c r="G113" s="5" t="n">
        <v>45599</v>
      </c>
      <c r="H113" s="4" t="inlineStr">
        <is>
          <t>CH01</t>
        </is>
      </c>
      <c r="I113" t="inlineStr">
        <is>
          <t>Bronze</t>
        </is>
      </c>
    </row>
    <row r="114">
      <c r="A114" s="4" t="inlineStr">
        <is>
          <t>C113</t>
        </is>
      </c>
      <c r="B114" t="inlineStr">
        <is>
          <t>Women</t>
        </is>
      </c>
      <c r="C114" t="n">
        <v>44</v>
      </c>
      <c r="D114" t="inlineStr">
        <is>
          <t>Dubai</t>
        </is>
      </c>
      <c r="E114" t="inlineStr">
        <is>
          <t>Qatar</t>
        </is>
      </c>
      <c r="F114" t="inlineStr">
        <is>
          <t>Digital Native</t>
        </is>
      </c>
      <c r="G114" s="5" t="n">
        <v>45485</v>
      </c>
      <c r="H114" s="4" t="inlineStr">
        <is>
          <t>CH01</t>
        </is>
      </c>
      <c r="I114" t="inlineStr">
        <is>
          <t>Bronze</t>
        </is>
      </c>
    </row>
    <row r="115">
      <c r="A115" s="4" t="inlineStr">
        <is>
          <t>C114</t>
        </is>
      </c>
      <c r="B115" t="inlineStr">
        <is>
          <t>Women</t>
        </is>
      </c>
      <c r="C115" t="n">
        <v>42</v>
      </c>
      <c r="D115" t="inlineStr">
        <is>
          <t>Doha</t>
        </is>
      </c>
      <c r="E115" t="inlineStr">
        <is>
          <t>Qatar</t>
        </is>
      </c>
      <c r="F115" t="inlineStr">
        <is>
          <t>Value Seeker</t>
        </is>
      </c>
      <c r="G115" s="5" t="n">
        <v>45347</v>
      </c>
      <c r="H115" s="4" t="inlineStr">
        <is>
          <t>CH02</t>
        </is>
      </c>
      <c r="I115" t="inlineStr">
        <is>
          <t>Silver</t>
        </is>
      </c>
    </row>
    <row r="116">
      <c r="A116" s="4" t="inlineStr">
        <is>
          <t>C115</t>
        </is>
      </c>
      <c r="B116" t="inlineStr">
        <is>
          <t>Women</t>
        </is>
      </c>
      <c r="C116" t="n">
        <v>22</v>
      </c>
      <c r="D116" t="inlineStr">
        <is>
          <t>Amman</t>
        </is>
      </c>
      <c r="E116" t="inlineStr">
        <is>
          <t>Qatar</t>
        </is>
      </c>
      <c r="F116" t="inlineStr">
        <is>
          <t>Value Seeker</t>
        </is>
      </c>
      <c r="G116" s="5" t="n">
        <v>45602</v>
      </c>
      <c r="H116" s="4" t="inlineStr">
        <is>
          <t>CH01</t>
        </is>
      </c>
      <c r="I116" t="inlineStr">
        <is>
          <t>Bronze</t>
        </is>
      </c>
    </row>
    <row r="117">
      <c r="A117" s="4" t="inlineStr">
        <is>
          <t>C116</t>
        </is>
      </c>
      <c r="B117" t="inlineStr">
        <is>
          <t>Women</t>
        </is>
      </c>
      <c r="C117" t="n">
        <v>28</v>
      </c>
      <c r="D117" t="inlineStr">
        <is>
          <t>Dubai</t>
        </is>
      </c>
      <c r="E117" t="inlineStr">
        <is>
          <t>UAE</t>
        </is>
      </c>
      <c r="F117" t="inlineStr">
        <is>
          <t>Classic Loyalist</t>
        </is>
      </c>
      <c r="G117" s="5" t="n">
        <v>45506</v>
      </c>
      <c r="H117" s="4" t="inlineStr">
        <is>
          <t>CH03</t>
        </is>
      </c>
      <c r="I117" t="inlineStr">
        <is>
          <t>Bronze</t>
        </is>
      </c>
    </row>
    <row r="118">
      <c r="A118" s="4" t="inlineStr">
        <is>
          <t>C117</t>
        </is>
      </c>
      <c r="B118" t="inlineStr">
        <is>
          <t>Women</t>
        </is>
      </c>
      <c r="C118" t="n">
        <v>22</v>
      </c>
      <c r="D118" t="inlineStr">
        <is>
          <t>Kuwait City</t>
        </is>
      </c>
      <c r="E118" t="inlineStr">
        <is>
          <t>Jordan</t>
        </is>
      </c>
      <c r="F118" t="inlineStr">
        <is>
          <t>Value Seeker</t>
        </is>
      </c>
      <c r="G118" s="5" t="n">
        <v>45500</v>
      </c>
      <c r="H118" s="4" t="inlineStr">
        <is>
          <t>CH01</t>
        </is>
      </c>
      <c r="I118" t="inlineStr">
        <is>
          <t>Bronze</t>
        </is>
      </c>
    </row>
    <row r="119">
      <c r="A119" s="4" t="inlineStr">
        <is>
          <t>C118</t>
        </is>
      </c>
      <c r="B119" t="inlineStr">
        <is>
          <t>Women</t>
        </is>
      </c>
      <c r="C119" t="n">
        <v>38</v>
      </c>
      <c r="D119" t="inlineStr">
        <is>
          <t>Dubai</t>
        </is>
      </c>
      <c r="E119" t="inlineStr">
        <is>
          <t>Egypt</t>
        </is>
      </c>
      <c r="F119" t="inlineStr">
        <is>
          <t>Value Seeker</t>
        </is>
      </c>
      <c r="G119" s="5" t="n">
        <v>45607</v>
      </c>
      <c r="H119" s="4" t="inlineStr">
        <is>
          <t>CH03</t>
        </is>
      </c>
      <c r="I119" t="inlineStr">
        <is>
          <t>Silver</t>
        </is>
      </c>
    </row>
    <row r="120">
      <c r="A120" s="4" t="inlineStr">
        <is>
          <t>C119</t>
        </is>
      </c>
      <c r="B120" t="inlineStr">
        <is>
          <t>Men</t>
        </is>
      </c>
      <c r="C120" t="n">
        <v>45</v>
      </c>
      <c r="D120" t="inlineStr">
        <is>
          <t>Giza</t>
        </is>
      </c>
      <c r="E120" t="inlineStr">
        <is>
          <t>Jordan</t>
        </is>
      </c>
      <c r="F120" t="inlineStr">
        <is>
          <t>Premium Tailoring</t>
        </is>
      </c>
      <c r="G120" s="5" t="n">
        <v>45484</v>
      </c>
      <c r="H120" s="4" t="inlineStr">
        <is>
          <t>CH04</t>
        </is>
      </c>
      <c r="I120" t="inlineStr">
        <is>
          <t>Silver</t>
        </is>
      </c>
    </row>
    <row r="121">
      <c r="A121" s="4" t="inlineStr">
        <is>
          <t>C120</t>
        </is>
      </c>
      <c r="B121" t="inlineStr">
        <is>
          <t>Men</t>
        </is>
      </c>
      <c r="C121" t="n">
        <v>53</v>
      </c>
      <c r="D121" t="inlineStr">
        <is>
          <t>Jeddah</t>
        </is>
      </c>
      <c r="E121" t="inlineStr">
        <is>
          <t>Kuwait</t>
        </is>
      </c>
      <c r="F121" t="inlineStr">
        <is>
          <t>Value Seeker</t>
        </is>
      </c>
      <c r="G121" s="5" t="n">
        <v>45476</v>
      </c>
      <c r="H121" s="4" t="inlineStr">
        <is>
          <t>CH01</t>
        </is>
      </c>
      <c r="I121" t="inlineStr">
        <is>
          <t>Gold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3" t="inlineStr">
        <is>
          <t>Channel_ID</t>
        </is>
      </c>
      <c r="B1" s="3" t="inlineStr">
        <is>
          <t>Channel_Name</t>
        </is>
      </c>
    </row>
    <row r="2">
      <c r="A2" s="4" t="inlineStr">
        <is>
          <t>CH01</t>
        </is>
      </c>
      <c r="B2" t="inlineStr">
        <is>
          <t>Online</t>
        </is>
      </c>
    </row>
    <row r="3">
      <c r="A3" s="4" t="inlineStr">
        <is>
          <t>CH02</t>
        </is>
      </c>
      <c r="B3" t="inlineStr">
        <is>
          <t>Store</t>
        </is>
      </c>
    </row>
    <row r="4">
      <c r="A4" s="4" t="inlineStr">
        <is>
          <t>CH03</t>
        </is>
      </c>
      <c r="B4" t="inlineStr">
        <is>
          <t>Instagram</t>
        </is>
      </c>
    </row>
    <row r="5">
      <c r="A5" s="4" t="inlineStr">
        <is>
          <t>CH04</t>
        </is>
      </c>
      <c r="B5" t="inlineStr">
        <is>
          <t>Marketplace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6" customWidth="1" min="4" max="4"/>
    <col width="17" customWidth="1" min="5" max="5"/>
    <col width="12" customWidth="1" min="6" max="6"/>
    <col width="12" customWidth="1" min="7" max="7"/>
  </cols>
  <sheetData>
    <row r="1">
      <c r="A1" s="3" t="inlineStr">
        <is>
          <t>Promotion_ID</t>
        </is>
      </c>
      <c r="B1" s="3" t="inlineStr">
        <is>
          <t>Promotion_Name</t>
        </is>
      </c>
      <c r="C1" s="3" t="inlineStr">
        <is>
          <t>Discount_Type</t>
        </is>
      </c>
      <c r="D1" s="3" t="inlineStr">
        <is>
          <t>Discount_Value</t>
        </is>
      </c>
      <c r="E1" s="3" t="inlineStr">
        <is>
          <t>Target_Category</t>
        </is>
      </c>
      <c r="F1" s="3" t="inlineStr">
        <is>
          <t>Start_Date</t>
        </is>
      </c>
      <c r="G1" s="3" t="inlineStr">
        <is>
          <t>End_Date</t>
        </is>
      </c>
    </row>
    <row r="2">
      <c r="A2" s="4" t="inlineStr">
        <is>
          <t>PR00</t>
        </is>
      </c>
      <c r="B2" t="inlineStr">
        <is>
          <t>No Promotion</t>
        </is>
      </c>
      <c r="C2" t="inlineStr">
        <is>
          <t>None</t>
        </is>
      </c>
      <c r="D2" s="7" t="n">
        <v>0</v>
      </c>
      <c r="E2" t="inlineStr">
        <is>
          <t>All</t>
        </is>
      </c>
    </row>
    <row r="3">
      <c r="A3" s="4" t="inlineStr">
        <is>
          <t>PR01</t>
        </is>
      </c>
      <c r="B3" t="inlineStr">
        <is>
          <t>Winter Launch 10%</t>
        </is>
      </c>
      <c r="C3" t="inlineStr">
        <is>
          <t>Percent</t>
        </is>
      </c>
      <c r="D3" s="7" t="n">
        <v>0.1</v>
      </c>
      <c r="E3" t="inlineStr">
        <is>
          <t>Outerwear</t>
        </is>
      </c>
      <c r="F3" s="5" t="n">
        <v>45658</v>
      </c>
      <c r="G3" s="5" t="n">
        <v>45703</v>
      </c>
    </row>
    <row r="4">
      <c r="A4" s="4" t="inlineStr">
        <is>
          <t>PR02</t>
        </is>
      </c>
      <c r="B4" t="inlineStr">
        <is>
          <t>Valentine Styling 15%</t>
        </is>
      </c>
      <c r="C4" t="inlineStr">
        <is>
          <t>Percent</t>
        </is>
      </c>
      <c r="D4" s="7" t="n">
        <v>0.15</v>
      </c>
      <c r="E4" t="inlineStr">
        <is>
          <t>Dresses</t>
        </is>
      </c>
      <c r="F4" s="5" t="n">
        <v>45689</v>
      </c>
      <c r="G4" s="5" t="n">
        <v>45708</v>
      </c>
    </row>
    <row r="5">
      <c r="A5" s="4" t="inlineStr">
        <is>
          <t>PR03</t>
        </is>
      </c>
      <c r="B5" t="inlineStr">
        <is>
          <t>Spring Classics 8%</t>
        </is>
      </c>
      <c r="C5" t="inlineStr">
        <is>
          <t>Percent</t>
        </is>
      </c>
      <c r="D5" s="7" t="n">
        <v>0.08</v>
      </c>
      <c r="E5" t="inlineStr">
        <is>
          <t>Shirts</t>
        </is>
      </c>
      <c r="F5" s="5" t="n">
        <v>45717</v>
      </c>
      <c r="G5" s="5" t="n">
        <v>45762</v>
      </c>
    </row>
    <row r="6">
      <c r="A6" s="4" t="inlineStr">
        <is>
          <t>PR04</t>
        </is>
      </c>
      <c r="B6" t="inlineStr">
        <is>
          <t>Summer Linen 12%</t>
        </is>
      </c>
      <c r="C6" t="inlineStr">
        <is>
          <t>Percent</t>
        </is>
      </c>
      <c r="D6" s="7" t="n">
        <v>0.12</v>
      </c>
      <c r="E6" t="inlineStr">
        <is>
          <t>Shirts</t>
        </is>
      </c>
      <c r="F6" s="5" t="n">
        <v>45809</v>
      </c>
      <c r="G6" s="5" t="n">
        <v>45853</v>
      </c>
    </row>
    <row r="7">
      <c r="A7" s="4" t="inlineStr">
        <is>
          <t>PR05</t>
        </is>
      </c>
      <c r="B7" t="inlineStr">
        <is>
          <t>Midyear Sale 20%</t>
        </is>
      </c>
      <c r="C7" t="inlineStr">
        <is>
          <t>Percent</t>
        </is>
      </c>
      <c r="D7" s="7" t="n">
        <v>0.2</v>
      </c>
      <c r="E7" t="inlineStr">
        <is>
          <t>All</t>
        </is>
      </c>
      <c r="F7" s="5" t="n">
        <v>45828</v>
      </c>
      <c r="G7" s="5" t="n">
        <v>45843</v>
      </c>
    </row>
    <row r="8">
      <c r="A8" s="4" t="inlineStr">
        <is>
          <t>PR06</t>
        </is>
      </c>
      <c r="B8" t="inlineStr">
        <is>
          <t>Heritage Week 10%</t>
        </is>
      </c>
      <c r="C8" t="inlineStr">
        <is>
          <t>Percent</t>
        </is>
      </c>
      <c r="D8" s="7" t="n">
        <v>0.1</v>
      </c>
      <c r="E8" t="inlineStr">
        <is>
          <t>Trousers</t>
        </is>
      </c>
      <c r="F8" s="5" t="n">
        <v>45879</v>
      </c>
      <c r="G8" s="5" t="n">
        <v>45889</v>
      </c>
    </row>
    <row r="9">
      <c r="A9" s="4" t="inlineStr">
        <is>
          <t>PR07</t>
        </is>
      </c>
      <c r="B9" t="inlineStr">
        <is>
          <t>Fall Tailoring 12%</t>
        </is>
      </c>
      <c r="C9" t="inlineStr">
        <is>
          <t>Percent</t>
        </is>
      </c>
      <c r="D9" s="7" t="n">
        <v>0.12</v>
      </c>
      <c r="E9" t="inlineStr">
        <is>
          <t>Blazers</t>
        </is>
      </c>
      <c r="F9" s="5" t="n">
        <v>45901</v>
      </c>
      <c r="G9" s="5" t="n">
        <v>45945</v>
      </c>
    </row>
    <row r="10">
      <c r="A10" s="4" t="inlineStr">
        <is>
          <t>PR08</t>
        </is>
      </c>
      <c r="B10" t="inlineStr">
        <is>
          <t>Black Friday 25%</t>
        </is>
      </c>
      <c r="C10" t="inlineStr">
        <is>
          <t>Percent</t>
        </is>
      </c>
      <c r="D10" s="7" t="n">
        <v>0.25</v>
      </c>
      <c r="E10" t="inlineStr">
        <is>
          <t>All</t>
        </is>
      </c>
      <c r="F10" s="5" t="n">
        <v>45985</v>
      </c>
      <c r="G10" s="5" t="n">
        <v>45991</v>
      </c>
    </row>
    <row r="11">
      <c r="A11" s="4" t="inlineStr">
        <is>
          <t>PR09</t>
        </is>
      </c>
      <c r="B11" t="inlineStr">
        <is>
          <t>Holiday Gifting 15%</t>
        </is>
      </c>
      <c r="C11" t="inlineStr">
        <is>
          <t>Percent</t>
        </is>
      </c>
      <c r="D11" s="7" t="n">
        <v>0.15</v>
      </c>
      <c r="E11" t="inlineStr">
        <is>
          <t>Knitwear</t>
        </is>
      </c>
      <c r="F11" s="5" t="n">
        <v>45992</v>
      </c>
      <c r="G11" s="5" t="n">
        <v>46015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3" customWidth="1" min="4" max="4"/>
    <col width="12" customWidth="1" min="5" max="5"/>
    <col width="10" customWidth="1" min="6" max="6"/>
    <col width="12" customWidth="1" min="7" max="7"/>
    <col width="14" customWidth="1" min="8" max="8"/>
    <col width="12" customWidth="1" min="9" max="9"/>
    <col width="14" customWidth="1" min="10" max="10"/>
    <col width="18" customWidth="1" min="11" max="11"/>
    <col width="15" customWidth="1" min="12" max="12"/>
    <col width="15" customWidth="1" min="13" max="13"/>
    <col width="11" customWidth="1" min="14" max="14"/>
    <col width="14" customWidth="1" min="15" max="15"/>
    <col width="14" customWidth="1" min="16" max="16"/>
    <col width="15" customWidth="1" min="17" max="17"/>
    <col width="19" customWidth="1" min="18" max="18"/>
    <col width="22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3" t="inlineStr">
        <is>
          <t>Sales_Line_ID</t>
        </is>
      </c>
      <c r="B1" s="3" t="inlineStr">
        <is>
          <t>Order_ID</t>
        </is>
      </c>
      <c r="C1" s="3" t="inlineStr">
        <is>
          <t>Date_Key</t>
        </is>
      </c>
      <c r="D1" s="3" t="inlineStr">
        <is>
          <t>Customer_ID</t>
        </is>
      </c>
      <c r="E1" s="3" t="inlineStr">
        <is>
          <t>Product_ID</t>
        </is>
      </c>
      <c r="F1" s="3" t="inlineStr">
        <is>
          <t>Size</t>
        </is>
      </c>
      <c r="G1" s="3" t="inlineStr">
        <is>
          <t>Channel_ID</t>
        </is>
      </c>
      <c r="H1" s="3" t="inlineStr">
        <is>
          <t>Promotion_ID</t>
        </is>
      </c>
      <c r="I1" s="3" t="inlineStr">
        <is>
          <t>List_Price</t>
        </is>
      </c>
      <c r="J1" s="3" t="inlineStr">
        <is>
          <t>Discount_Pct</t>
        </is>
      </c>
      <c r="K1" s="3" t="inlineStr">
        <is>
          <t>Net_Unit_Price</t>
        </is>
      </c>
      <c r="L1" s="3" t="inlineStr">
        <is>
          <t>Quantity_Sold</t>
        </is>
      </c>
      <c r="M1" s="3" t="inlineStr">
        <is>
          <t>Gross_Revenue</t>
        </is>
      </c>
      <c r="N1" s="3" t="inlineStr">
        <is>
          <t>Unit_Cost</t>
        </is>
      </c>
      <c r="O1" s="3" t="inlineStr">
        <is>
          <t>Total_Cost</t>
        </is>
      </c>
      <c r="P1" s="3" t="inlineStr">
        <is>
          <t>Gross_Profit</t>
        </is>
      </c>
      <c r="Q1" s="3" t="inlineStr">
        <is>
          <t>Returned_Flag</t>
        </is>
      </c>
      <c r="R1" s="3" t="inlineStr">
        <is>
          <t>Returned_Quantity</t>
        </is>
      </c>
      <c r="S1" s="3" t="inlineStr">
        <is>
          <t>Net_Revenue</t>
        </is>
      </c>
      <c r="T1" s="3" t="inlineStr">
        <is>
          <t>Product_Name_Lookup</t>
        </is>
      </c>
      <c r="U1" s="3" t="inlineStr">
        <is>
          <t>Category_Lookup</t>
        </is>
      </c>
      <c r="V1" s="3" t="inlineStr">
        <is>
          <t>Customer_Segment_Lookup</t>
        </is>
      </c>
      <c r="W1" s="3" t="inlineStr">
        <is>
          <t>Channel_Name_Lookup</t>
        </is>
      </c>
      <c r="X1" s="3" t="inlineStr">
        <is>
          <t>Promotion_Name_Lookup</t>
        </is>
      </c>
    </row>
    <row r="2">
      <c r="A2" s="4" t="inlineStr">
        <is>
          <t>SL0001</t>
        </is>
      </c>
      <c r="B2" t="inlineStr">
        <is>
          <t>O010001</t>
        </is>
      </c>
      <c r="C2" t="n">
        <v>20250310</v>
      </c>
      <c r="D2" s="4" t="inlineStr">
        <is>
          <t>C042</t>
        </is>
      </c>
      <c r="E2" s="4" t="inlineStr">
        <is>
          <t>P006</t>
        </is>
      </c>
      <c r="F2" t="inlineStr">
        <is>
          <t>M</t>
        </is>
      </c>
      <c r="G2" s="4" t="inlineStr">
        <is>
          <t>CH02</t>
        </is>
      </c>
      <c r="H2" s="4" t="inlineStr">
        <is>
          <t>PR03</t>
        </is>
      </c>
      <c r="I2" s="8" t="n">
        <v>46</v>
      </c>
      <c r="J2" s="9" t="n">
        <v>0.08</v>
      </c>
      <c r="K2" s="10">
        <f>I2*(1-J2)</f>
        <v/>
      </c>
      <c r="L2" s="11" t="n">
        <v>1</v>
      </c>
      <c r="M2" s="10">
        <f>K2*L2</f>
        <v/>
      </c>
      <c r="N2" s="8" t="n">
        <v>21.02</v>
      </c>
      <c r="O2" s="10">
        <f>N2*L2</f>
        <v/>
      </c>
      <c r="P2" s="10">
        <f>M2-O2</f>
        <v/>
      </c>
      <c r="Q2" s="11" t="inlineStr">
        <is>
          <t>No</t>
        </is>
      </c>
      <c r="R2" s="11" t="n">
        <v>0</v>
      </c>
      <c r="S2" s="10">
        <f>M2-(R2*K2)</f>
        <v/>
      </c>
      <c r="T2" s="12">
        <f>VLOOKUP(E2,Dim_Product!$A$2:$Q$61,3,FALSE)</f>
        <v/>
      </c>
      <c r="U2" s="12">
        <f>VLOOKUP(E2,Dim_Product!$A$2:$Q$61,4,FALSE)</f>
        <v/>
      </c>
      <c r="V2" s="12">
        <f>VLOOKUP(D2,Dim_Customer!$A$2:$I$121,6,FALSE)</f>
        <v/>
      </c>
      <c r="W2" s="12">
        <f>VLOOKUP(G2,Dim_Channel!$A$2:$B$5,2,FALSE)</f>
        <v/>
      </c>
      <c r="X2" s="12">
        <f>VLOOKUP(H2,Dim_Promotion!$A$2:$G$11,2,FALSE)</f>
        <v/>
      </c>
    </row>
    <row r="3">
      <c r="A3" s="4" t="inlineStr">
        <is>
          <t>SL0002</t>
        </is>
      </c>
      <c r="B3" t="inlineStr">
        <is>
          <t>O010001</t>
        </is>
      </c>
      <c r="C3" t="n">
        <v>20251112</v>
      </c>
      <c r="D3" s="4" t="inlineStr">
        <is>
          <t>C079</t>
        </is>
      </c>
      <c r="E3" s="4" t="inlineStr">
        <is>
          <t>P060</t>
        </is>
      </c>
      <c r="F3" t="inlineStr">
        <is>
          <t>XL</t>
        </is>
      </c>
      <c r="G3" s="4" t="inlineStr">
        <is>
          <t>CH04</t>
        </is>
      </c>
      <c r="H3" s="4" t="inlineStr">
        <is>
          <t>PR00</t>
        </is>
      </c>
      <c r="I3" s="8" t="n">
        <v>72</v>
      </c>
      <c r="J3" s="9" t="n">
        <v>0</v>
      </c>
      <c r="K3" s="10">
        <f>I3*(1-J3)</f>
        <v/>
      </c>
      <c r="L3" s="11" t="n">
        <v>1</v>
      </c>
      <c r="M3" s="10">
        <f>K3*L3</f>
        <v/>
      </c>
      <c r="N3" s="8" t="n">
        <v>36.9</v>
      </c>
      <c r="O3" s="10">
        <f>N3*L3</f>
        <v/>
      </c>
      <c r="P3" s="10">
        <f>M3-O3</f>
        <v/>
      </c>
      <c r="Q3" s="11" t="inlineStr">
        <is>
          <t>No</t>
        </is>
      </c>
      <c r="R3" s="11" t="n">
        <v>0</v>
      </c>
      <c r="S3" s="10">
        <f>M3-(R3*K3)</f>
        <v/>
      </c>
      <c r="T3" s="12">
        <f>VLOOKUP(E3,Dim_Product!$A$2:$Q$61,3,FALSE)</f>
        <v/>
      </c>
      <c r="U3" s="12">
        <f>VLOOKUP(E3,Dim_Product!$A$2:$Q$61,4,FALSE)</f>
        <v/>
      </c>
      <c r="V3" s="12">
        <f>VLOOKUP(D3,Dim_Customer!$A$2:$I$121,6,FALSE)</f>
        <v/>
      </c>
      <c r="W3" s="12">
        <f>VLOOKUP(G3,Dim_Channel!$A$2:$B$5,2,FALSE)</f>
        <v/>
      </c>
      <c r="X3" s="12">
        <f>VLOOKUP(H3,Dim_Promotion!$A$2:$G$11,2,FALSE)</f>
        <v/>
      </c>
    </row>
    <row r="4">
      <c r="A4" s="4" t="inlineStr">
        <is>
          <t>SL0003</t>
        </is>
      </c>
      <c r="B4" t="inlineStr">
        <is>
          <t>O010002</t>
        </is>
      </c>
      <c r="C4" t="n">
        <v>20250128</v>
      </c>
      <c r="D4" s="4" t="inlineStr">
        <is>
          <t>C078</t>
        </is>
      </c>
      <c r="E4" s="4" t="inlineStr">
        <is>
          <t>P040</t>
        </is>
      </c>
      <c r="F4" t="inlineStr">
        <is>
          <t>XS</t>
        </is>
      </c>
      <c r="G4" s="4" t="inlineStr">
        <is>
          <t>CH01</t>
        </is>
      </c>
      <c r="H4" s="4" t="inlineStr">
        <is>
          <t>PR00</t>
        </is>
      </c>
      <c r="I4" s="8" t="n">
        <v>72</v>
      </c>
      <c r="J4" s="9" t="n">
        <v>0</v>
      </c>
      <c r="K4" s="10">
        <f>I4*(1-J4)</f>
        <v/>
      </c>
      <c r="L4" s="11" t="n">
        <v>1</v>
      </c>
      <c r="M4" s="10">
        <f>K4*L4</f>
        <v/>
      </c>
      <c r="N4" s="8" t="n">
        <v>33.63</v>
      </c>
      <c r="O4" s="10">
        <f>N4*L4</f>
        <v/>
      </c>
      <c r="P4" s="10">
        <f>M4-O4</f>
        <v/>
      </c>
      <c r="Q4" s="11" t="inlineStr">
        <is>
          <t>No</t>
        </is>
      </c>
      <c r="R4" s="11" t="n">
        <v>0</v>
      </c>
      <c r="S4" s="10">
        <f>M4-(R4*K4)</f>
        <v/>
      </c>
      <c r="T4" s="12">
        <f>VLOOKUP(E4,Dim_Product!$A$2:$Q$61,3,FALSE)</f>
        <v/>
      </c>
      <c r="U4" s="12">
        <f>VLOOKUP(E4,Dim_Product!$A$2:$Q$61,4,FALSE)</f>
        <v/>
      </c>
      <c r="V4" s="12">
        <f>VLOOKUP(D4,Dim_Customer!$A$2:$I$121,6,FALSE)</f>
        <v/>
      </c>
      <c r="W4" s="12">
        <f>VLOOKUP(G4,Dim_Channel!$A$2:$B$5,2,FALSE)</f>
        <v/>
      </c>
      <c r="X4" s="12">
        <f>VLOOKUP(H4,Dim_Promotion!$A$2:$G$11,2,FALSE)</f>
        <v/>
      </c>
    </row>
    <row r="5">
      <c r="A5" s="4" t="inlineStr">
        <is>
          <t>SL0004</t>
        </is>
      </c>
      <c r="B5" t="inlineStr">
        <is>
          <t>O010002</t>
        </is>
      </c>
      <c r="C5" t="n">
        <v>20250615</v>
      </c>
      <c r="D5" s="4" t="inlineStr">
        <is>
          <t>C098</t>
        </is>
      </c>
      <c r="E5" s="4" t="inlineStr">
        <is>
          <t>P005</t>
        </is>
      </c>
      <c r="F5" t="inlineStr">
        <is>
          <t>M</t>
        </is>
      </c>
      <c r="G5" s="4" t="inlineStr">
        <is>
          <t>CH01</t>
        </is>
      </c>
      <c r="H5" s="4" t="inlineStr">
        <is>
          <t>PR00</t>
        </is>
      </c>
      <c r="I5" s="8" t="n">
        <v>50</v>
      </c>
      <c r="J5" s="9" t="n">
        <v>0</v>
      </c>
      <c r="K5" s="10">
        <f>I5*(1-J5)</f>
        <v/>
      </c>
      <c r="L5" s="11" t="n">
        <v>2</v>
      </c>
      <c r="M5" s="10">
        <f>K5*L5</f>
        <v/>
      </c>
      <c r="N5" s="8" t="n">
        <v>20.2</v>
      </c>
      <c r="O5" s="10">
        <f>N5*L5</f>
        <v/>
      </c>
      <c r="P5" s="10">
        <f>M5-O5</f>
        <v/>
      </c>
      <c r="Q5" s="11" t="inlineStr">
        <is>
          <t>No</t>
        </is>
      </c>
      <c r="R5" s="11" t="n">
        <v>0</v>
      </c>
      <c r="S5" s="10">
        <f>M5-(R5*K5)</f>
        <v/>
      </c>
      <c r="T5" s="12">
        <f>VLOOKUP(E5,Dim_Product!$A$2:$Q$61,3,FALSE)</f>
        <v/>
      </c>
      <c r="U5" s="12">
        <f>VLOOKUP(E5,Dim_Product!$A$2:$Q$61,4,FALSE)</f>
        <v/>
      </c>
      <c r="V5" s="12">
        <f>VLOOKUP(D5,Dim_Customer!$A$2:$I$121,6,FALSE)</f>
        <v/>
      </c>
      <c r="W5" s="12">
        <f>VLOOKUP(G5,Dim_Channel!$A$2:$B$5,2,FALSE)</f>
        <v/>
      </c>
      <c r="X5" s="12">
        <f>VLOOKUP(H5,Dim_Promotion!$A$2:$G$11,2,FALSE)</f>
        <v/>
      </c>
    </row>
    <row r="6">
      <c r="A6" s="4" t="inlineStr">
        <is>
          <t>SL0005</t>
        </is>
      </c>
      <c r="B6" t="inlineStr">
        <is>
          <t>O010003</t>
        </is>
      </c>
      <c r="C6" t="n">
        <v>20250809</v>
      </c>
      <c r="D6" s="4" t="inlineStr">
        <is>
          <t>C100</t>
        </is>
      </c>
      <c r="E6" s="4" t="inlineStr">
        <is>
          <t>P014</t>
        </is>
      </c>
      <c r="F6" t="inlineStr">
        <is>
          <t>XL</t>
        </is>
      </c>
      <c r="G6" s="4" t="inlineStr">
        <is>
          <t>CH02</t>
        </is>
      </c>
      <c r="H6" s="4" t="inlineStr">
        <is>
          <t>PR00</t>
        </is>
      </c>
      <c r="I6" s="8" t="n">
        <v>61</v>
      </c>
      <c r="J6" s="9" t="n">
        <v>0</v>
      </c>
      <c r="K6" s="10">
        <f>I6*(1-J6)</f>
        <v/>
      </c>
      <c r="L6" s="11" t="n">
        <v>1</v>
      </c>
      <c r="M6" s="10">
        <f>K6*L6</f>
        <v/>
      </c>
      <c r="N6" s="8" t="n">
        <v>26.68</v>
      </c>
      <c r="O6" s="10">
        <f>N6*L6</f>
        <v/>
      </c>
      <c r="P6" s="10">
        <f>M6-O6</f>
        <v/>
      </c>
      <c r="Q6" s="11" t="inlineStr">
        <is>
          <t>No</t>
        </is>
      </c>
      <c r="R6" s="11" t="n">
        <v>0</v>
      </c>
      <c r="S6" s="10">
        <f>M6-(R6*K6)</f>
        <v/>
      </c>
      <c r="T6" s="12">
        <f>VLOOKUP(E6,Dim_Product!$A$2:$Q$61,3,FALSE)</f>
        <v/>
      </c>
      <c r="U6" s="12">
        <f>VLOOKUP(E6,Dim_Product!$A$2:$Q$61,4,FALSE)</f>
        <v/>
      </c>
      <c r="V6" s="12">
        <f>VLOOKUP(D6,Dim_Customer!$A$2:$I$121,6,FALSE)</f>
        <v/>
      </c>
      <c r="W6" s="12">
        <f>VLOOKUP(G6,Dim_Channel!$A$2:$B$5,2,FALSE)</f>
        <v/>
      </c>
      <c r="X6" s="12">
        <f>VLOOKUP(H6,Dim_Promotion!$A$2:$G$11,2,FALSE)</f>
        <v/>
      </c>
    </row>
    <row r="7">
      <c r="A7" s="4" t="inlineStr">
        <is>
          <t>SL0006</t>
        </is>
      </c>
      <c r="B7" t="inlineStr">
        <is>
          <t>O010003</t>
        </is>
      </c>
      <c r="C7" t="n">
        <v>20250323</v>
      </c>
      <c r="D7" s="4" t="inlineStr">
        <is>
          <t>C057</t>
        </is>
      </c>
      <c r="E7" s="4" t="inlineStr">
        <is>
          <t>P039</t>
        </is>
      </c>
      <c r="F7" t="inlineStr">
        <is>
          <t>M</t>
        </is>
      </c>
      <c r="G7" s="4" t="inlineStr">
        <is>
          <t>CH02</t>
        </is>
      </c>
      <c r="H7" s="4" t="inlineStr">
        <is>
          <t>PR00</t>
        </is>
      </c>
      <c r="I7" s="8" t="n">
        <v>74</v>
      </c>
      <c r="J7" s="9" t="n">
        <v>0</v>
      </c>
      <c r="K7" s="10">
        <f>I7*(1-J7)</f>
        <v/>
      </c>
      <c r="L7" s="11" t="n">
        <v>1</v>
      </c>
      <c r="M7" s="10">
        <f>K7*L7</f>
        <v/>
      </c>
      <c r="N7" s="8" t="n">
        <v>37.28</v>
      </c>
      <c r="O7" s="10">
        <f>N7*L7</f>
        <v/>
      </c>
      <c r="P7" s="10">
        <f>M7-O7</f>
        <v/>
      </c>
      <c r="Q7" s="11" t="inlineStr">
        <is>
          <t>No</t>
        </is>
      </c>
      <c r="R7" s="11" t="n">
        <v>0</v>
      </c>
      <c r="S7" s="10">
        <f>M7-(R7*K7)</f>
        <v/>
      </c>
      <c r="T7" s="12">
        <f>VLOOKUP(E7,Dim_Product!$A$2:$Q$61,3,FALSE)</f>
        <v/>
      </c>
      <c r="U7" s="12">
        <f>VLOOKUP(E7,Dim_Product!$A$2:$Q$61,4,FALSE)</f>
        <v/>
      </c>
      <c r="V7" s="12">
        <f>VLOOKUP(D7,Dim_Customer!$A$2:$I$121,6,FALSE)</f>
        <v/>
      </c>
      <c r="W7" s="12">
        <f>VLOOKUP(G7,Dim_Channel!$A$2:$B$5,2,FALSE)</f>
        <v/>
      </c>
      <c r="X7" s="12">
        <f>VLOOKUP(H7,Dim_Promotion!$A$2:$G$11,2,FALSE)</f>
        <v/>
      </c>
    </row>
    <row r="8">
      <c r="A8" s="4" t="inlineStr">
        <is>
          <t>SL0007</t>
        </is>
      </c>
      <c r="B8" t="inlineStr">
        <is>
          <t>O010004</t>
        </is>
      </c>
      <c r="C8" t="n">
        <v>20251117</v>
      </c>
      <c r="D8" s="4" t="inlineStr">
        <is>
          <t>C029</t>
        </is>
      </c>
      <c r="E8" s="4" t="inlineStr">
        <is>
          <t>P007</t>
        </is>
      </c>
      <c r="F8" t="inlineStr">
        <is>
          <t>S</t>
        </is>
      </c>
      <c r="G8" s="4" t="inlineStr">
        <is>
          <t>CH03</t>
        </is>
      </c>
      <c r="H8" s="4" t="inlineStr">
        <is>
          <t>PR00</t>
        </is>
      </c>
      <c r="I8" s="8" t="n">
        <v>52</v>
      </c>
      <c r="J8" s="9" t="n">
        <v>0</v>
      </c>
      <c r="K8" s="10">
        <f>I8*(1-J8)</f>
        <v/>
      </c>
      <c r="L8" s="11" t="n">
        <v>1</v>
      </c>
      <c r="M8" s="10">
        <f>K8*L8</f>
        <v/>
      </c>
      <c r="N8" s="8" t="n">
        <v>22.18</v>
      </c>
      <c r="O8" s="10">
        <f>N8*L8</f>
        <v/>
      </c>
      <c r="P8" s="10">
        <f>M8-O8</f>
        <v/>
      </c>
      <c r="Q8" s="11" t="inlineStr">
        <is>
          <t>No</t>
        </is>
      </c>
      <c r="R8" s="11" t="n">
        <v>0</v>
      </c>
      <c r="S8" s="10">
        <f>M8-(R8*K8)</f>
        <v/>
      </c>
      <c r="T8" s="12">
        <f>VLOOKUP(E8,Dim_Product!$A$2:$Q$61,3,FALSE)</f>
        <v/>
      </c>
      <c r="U8" s="12">
        <f>VLOOKUP(E8,Dim_Product!$A$2:$Q$61,4,FALSE)</f>
        <v/>
      </c>
      <c r="V8" s="12">
        <f>VLOOKUP(D8,Dim_Customer!$A$2:$I$121,6,FALSE)</f>
        <v/>
      </c>
      <c r="W8" s="12">
        <f>VLOOKUP(G8,Dim_Channel!$A$2:$B$5,2,FALSE)</f>
        <v/>
      </c>
      <c r="X8" s="12">
        <f>VLOOKUP(H8,Dim_Promotion!$A$2:$G$11,2,FALSE)</f>
        <v/>
      </c>
    </row>
    <row r="9">
      <c r="A9" s="4" t="inlineStr">
        <is>
          <t>SL0008</t>
        </is>
      </c>
      <c r="B9" t="inlineStr">
        <is>
          <t>O010004</t>
        </is>
      </c>
      <c r="C9" t="n">
        <v>20250329</v>
      </c>
      <c r="D9" s="4" t="inlineStr">
        <is>
          <t>C012</t>
        </is>
      </c>
      <c r="E9" s="4" t="inlineStr">
        <is>
          <t>P004</t>
        </is>
      </c>
      <c r="F9" t="inlineStr">
        <is>
          <t>L</t>
        </is>
      </c>
      <c r="G9" s="4" t="inlineStr">
        <is>
          <t>CH01</t>
        </is>
      </c>
      <c r="H9" s="4" t="inlineStr">
        <is>
          <t>PR00</t>
        </is>
      </c>
      <c r="I9" s="8" t="n">
        <v>44</v>
      </c>
      <c r="J9" s="9" t="n">
        <v>0</v>
      </c>
      <c r="K9" s="10">
        <f>I9*(1-J9)</f>
        <v/>
      </c>
      <c r="L9" s="11" t="n">
        <v>1</v>
      </c>
      <c r="M9" s="10">
        <f>K9*L9</f>
        <v/>
      </c>
      <c r="N9" s="8" t="n">
        <v>19.73</v>
      </c>
      <c r="O9" s="10">
        <f>N9*L9</f>
        <v/>
      </c>
      <c r="P9" s="10">
        <f>M9-O9</f>
        <v/>
      </c>
      <c r="Q9" s="11" t="inlineStr">
        <is>
          <t>No</t>
        </is>
      </c>
      <c r="R9" s="11" t="n">
        <v>0</v>
      </c>
      <c r="S9" s="10">
        <f>M9-(R9*K9)</f>
        <v/>
      </c>
      <c r="T9" s="12">
        <f>VLOOKUP(E9,Dim_Product!$A$2:$Q$61,3,FALSE)</f>
        <v/>
      </c>
      <c r="U9" s="12">
        <f>VLOOKUP(E9,Dim_Product!$A$2:$Q$61,4,FALSE)</f>
        <v/>
      </c>
      <c r="V9" s="12">
        <f>VLOOKUP(D9,Dim_Customer!$A$2:$I$121,6,FALSE)</f>
        <v/>
      </c>
      <c r="W9" s="12">
        <f>VLOOKUP(G9,Dim_Channel!$A$2:$B$5,2,FALSE)</f>
        <v/>
      </c>
      <c r="X9" s="12">
        <f>VLOOKUP(H9,Dim_Promotion!$A$2:$G$11,2,FALSE)</f>
        <v/>
      </c>
    </row>
    <row r="10">
      <c r="A10" s="4" t="inlineStr">
        <is>
          <t>SL0009</t>
        </is>
      </c>
      <c r="B10" t="inlineStr">
        <is>
          <t>O010005</t>
        </is>
      </c>
      <c r="C10" t="n">
        <v>20250622</v>
      </c>
      <c r="D10" s="4" t="inlineStr">
        <is>
          <t>C067</t>
        </is>
      </c>
      <c r="E10" s="4" t="inlineStr">
        <is>
          <t>P046</t>
        </is>
      </c>
      <c r="F10" t="inlineStr">
        <is>
          <t>S</t>
        </is>
      </c>
      <c r="G10" s="4" t="inlineStr">
        <is>
          <t>CH04</t>
        </is>
      </c>
      <c r="H10" s="4" t="inlineStr">
        <is>
          <t>PR00</t>
        </is>
      </c>
      <c r="I10" s="8" t="n">
        <v>64</v>
      </c>
      <c r="J10" s="9" t="n">
        <v>0</v>
      </c>
      <c r="K10" s="10">
        <f>I10*(1-J10)</f>
        <v/>
      </c>
      <c r="L10" s="11" t="n">
        <v>2</v>
      </c>
      <c r="M10" s="10">
        <f>K10*L10</f>
        <v/>
      </c>
      <c r="N10" s="8" t="n">
        <v>33.37</v>
      </c>
      <c r="O10" s="10">
        <f>N10*L10</f>
        <v/>
      </c>
      <c r="P10" s="10">
        <f>M10-O10</f>
        <v/>
      </c>
      <c r="Q10" s="11" t="inlineStr">
        <is>
          <t>No</t>
        </is>
      </c>
      <c r="R10" s="11" t="n">
        <v>0</v>
      </c>
      <c r="S10" s="10">
        <f>M10-(R10*K10)</f>
        <v/>
      </c>
      <c r="T10" s="12">
        <f>VLOOKUP(E10,Dim_Product!$A$2:$Q$61,3,FALSE)</f>
        <v/>
      </c>
      <c r="U10" s="12">
        <f>VLOOKUP(E10,Dim_Product!$A$2:$Q$61,4,FALSE)</f>
        <v/>
      </c>
      <c r="V10" s="12">
        <f>VLOOKUP(D10,Dim_Customer!$A$2:$I$121,6,FALSE)</f>
        <v/>
      </c>
      <c r="W10" s="12">
        <f>VLOOKUP(G10,Dim_Channel!$A$2:$B$5,2,FALSE)</f>
        <v/>
      </c>
      <c r="X10" s="12">
        <f>VLOOKUP(H10,Dim_Promotion!$A$2:$G$11,2,FALSE)</f>
        <v/>
      </c>
    </row>
    <row r="11">
      <c r="A11" s="4" t="inlineStr">
        <is>
          <t>SL0010</t>
        </is>
      </c>
      <c r="B11" t="inlineStr">
        <is>
          <t>O010005</t>
        </is>
      </c>
      <c r="C11" t="n">
        <v>20250330</v>
      </c>
      <c r="D11" s="4" t="inlineStr">
        <is>
          <t>C091</t>
        </is>
      </c>
      <c r="E11" s="4" t="inlineStr">
        <is>
          <t>P030</t>
        </is>
      </c>
      <c r="F11" t="inlineStr">
        <is>
          <t>XS</t>
        </is>
      </c>
      <c r="G11" s="4" t="inlineStr">
        <is>
          <t>CH02</t>
        </is>
      </c>
      <c r="H11" s="4" t="inlineStr">
        <is>
          <t>PR00</t>
        </is>
      </c>
      <c r="I11" s="8" t="n">
        <v>108</v>
      </c>
      <c r="J11" s="9" t="n">
        <v>0</v>
      </c>
      <c r="K11" s="10">
        <f>I11*(1-J11)</f>
        <v/>
      </c>
      <c r="L11" s="11" t="n">
        <v>1</v>
      </c>
      <c r="M11" s="10">
        <f>K11*L11</f>
        <v/>
      </c>
      <c r="N11" s="8" t="n">
        <v>55.9</v>
      </c>
      <c r="O11" s="10">
        <f>N11*L11</f>
        <v/>
      </c>
      <c r="P11" s="10">
        <f>M11-O11</f>
        <v/>
      </c>
      <c r="Q11" s="11" t="inlineStr">
        <is>
          <t>No</t>
        </is>
      </c>
      <c r="R11" s="11" t="n">
        <v>0</v>
      </c>
      <c r="S11" s="10">
        <f>M11-(R11*K11)</f>
        <v/>
      </c>
      <c r="T11" s="12">
        <f>VLOOKUP(E11,Dim_Product!$A$2:$Q$61,3,FALSE)</f>
        <v/>
      </c>
      <c r="U11" s="12">
        <f>VLOOKUP(E11,Dim_Product!$A$2:$Q$61,4,FALSE)</f>
        <v/>
      </c>
      <c r="V11" s="12">
        <f>VLOOKUP(D11,Dim_Customer!$A$2:$I$121,6,FALSE)</f>
        <v/>
      </c>
      <c r="W11" s="12">
        <f>VLOOKUP(G11,Dim_Channel!$A$2:$B$5,2,FALSE)</f>
        <v/>
      </c>
      <c r="X11" s="12">
        <f>VLOOKUP(H11,Dim_Promotion!$A$2:$G$11,2,FALSE)</f>
        <v/>
      </c>
    </row>
    <row r="12">
      <c r="A12" s="4" t="inlineStr">
        <is>
          <t>SL0011</t>
        </is>
      </c>
      <c r="B12" t="inlineStr">
        <is>
          <t>O010006</t>
        </is>
      </c>
      <c r="C12" t="n">
        <v>20250706</v>
      </c>
      <c r="D12" s="4" t="inlineStr">
        <is>
          <t>C076</t>
        </is>
      </c>
      <c r="E12" s="4" t="inlineStr">
        <is>
          <t>P057</t>
        </is>
      </c>
      <c r="F12" t="inlineStr">
        <is>
          <t>L</t>
        </is>
      </c>
      <c r="G12" s="4" t="inlineStr">
        <is>
          <t>CH03</t>
        </is>
      </c>
      <c r="H12" s="4" t="inlineStr">
        <is>
          <t>PR00</t>
        </is>
      </c>
      <c r="I12" s="8" t="n">
        <v>76</v>
      </c>
      <c r="J12" s="9" t="n">
        <v>0</v>
      </c>
      <c r="K12" s="10">
        <f>I12*(1-J12)</f>
        <v/>
      </c>
      <c r="L12" s="11" t="n">
        <v>1</v>
      </c>
      <c r="M12" s="10">
        <f>K12*L12</f>
        <v/>
      </c>
      <c r="N12" s="8" t="n">
        <v>36.11</v>
      </c>
      <c r="O12" s="10">
        <f>N12*L12</f>
        <v/>
      </c>
      <c r="P12" s="10">
        <f>M12-O12</f>
        <v/>
      </c>
      <c r="Q12" s="11" t="inlineStr">
        <is>
          <t>No</t>
        </is>
      </c>
      <c r="R12" s="11" t="n">
        <v>0</v>
      </c>
      <c r="S12" s="10">
        <f>M12-(R12*K12)</f>
        <v/>
      </c>
      <c r="T12" s="12">
        <f>VLOOKUP(E12,Dim_Product!$A$2:$Q$61,3,FALSE)</f>
        <v/>
      </c>
      <c r="U12" s="12">
        <f>VLOOKUP(E12,Dim_Product!$A$2:$Q$61,4,FALSE)</f>
        <v/>
      </c>
      <c r="V12" s="12">
        <f>VLOOKUP(D12,Dim_Customer!$A$2:$I$121,6,FALSE)</f>
        <v/>
      </c>
      <c r="W12" s="12">
        <f>VLOOKUP(G12,Dim_Channel!$A$2:$B$5,2,FALSE)</f>
        <v/>
      </c>
      <c r="X12" s="12">
        <f>VLOOKUP(H12,Dim_Promotion!$A$2:$G$11,2,FALSE)</f>
        <v/>
      </c>
    </row>
    <row r="13">
      <c r="A13" s="4" t="inlineStr">
        <is>
          <t>SL0012</t>
        </is>
      </c>
      <c r="B13" t="inlineStr">
        <is>
          <t>O010006</t>
        </is>
      </c>
      <c r="C13" t="n">
        <v>20251225</v>
      </c>
      <c r="D13" s="4" t="inlineStr">
        <is>
          <t>C074</t>
        </is>
      </c>
      <c r="E13" s="4" t="inlineStr">
        <is>
          <t>P015</t>
        </is>
      </c>
      <c r="F13" t="inlineStr">
        <is>
          <t>L</t>
        </is>
      </c>
      <c r="G13" s="4" t="inlineStr">
        <is>
          <t>CH02</t>
        </is>
      </c>
      <c r="H13" s="4" t="inlineStr">
        <is>
          <t>PR00</t>
        </is>
      </c>
      <c r="I13" s="8" t="n">
        <v>58</v>
      </c>
      <c r="J13" s="9" t="n">
        <v>0</v>
      </c>
      <c r="K13" s="10">
        <f>I13*(1-J13)</f>
        <v/>
      </c>
      <c r="L13" s="11" t="n">
        <v>1</v>
      </c>
      <c r="M13" s="10">
        <f>K13*L13</f>
        <v/>
      </c>
      <c r="N13" s="8" t="n">
        <v>26.97</v>
      </c>
      <c r="O13" s="10">
        <f>N13*L13</f>
        <v/>
      </c>
      <c r="P13" s="10">
        <f>M13-O13</f>
        <v/>
      </c>
      <c r="Q13" s="11" t="inlineStr">
        <is>
          <t>No</t>
        </is>
      </c>
      <c r="R13" s="11" t="n">
        <v>0</v>
      </c>
      <c r="S13" s="10">
        <f>M13-(R13*K13)</f>
        <v/>
      </c>
      <c r="T13" s="12">
        <f>VLOOKUP(E13,Dim_Product!$A$2:$Q$61,3,FALSE)</f>
        <v/>
      </c>
      <c r="U13" s="12">
        <f>VLOOKUP(E13,Dim_Product!$A$2:$Q$61,4,FALSE)</f>
        <v/>
      </c>
      <c r="V13" s="12">
        <f>VLOOKUP(D13,Dim_Customer!$A$2:$I$121,6,FALSE)</f>
        <v/>
      </c>
      <c r="W13" s="12">
        <f>VLOOKUP(G13,Dim_Channel!$A$2:$B$5,2,FALSE)</f>
        <v/>
      </c>
      <c r="X13" s="12">
        <f>VLOOKUP(H13,Dim_Promotion!$A$2:$G$11,2,FALSE)</f>
        <v/>
      </c>
    </row>
    <row r="14">
      <c r="A14" s="4" t="inlineStr">
        <is>
          <t>SL0013</t>
        </is>
      </c>
      <c r="B14" t="inlineStr">
        <is>
          <t>O010007</t>
        </is>
      </c>
      <c r="C14" t="n">
        <v>20251122</v>
      </c>
      <c r="D14" s="4" t="inlineStr">
        <is>
          <t>C052</t>
        </is>
      </c>
      <c r="E14" s="4" t="inlineStr">
        <is>
          <t>P016</t>
        </is>
      </c>
      <c r="F14" t="inlineStr">
        <is>
          <t>S</t>
        </is>
      </c>
      <c r="G14" s="4" t="inlineStr">
        <is>
          <t>CH01</t>
        </is>
      </c>
      <c r="H14" s="4" t="inlineStr">
        <is>
          <t>PR00</t>
        </is>
      </c>
      <c r="I14" s="8" t="n">
        <v>60</v>
      </c>
      <c r="J14" s="9" t="n">
        <v>0</v>
      </c>
      <c r="K14" s="10">
        <f>I14*(1-J14)</f>
        <v/>
      </c>
      <c r="L14" s="11" t="n">
        <v>1</v>
      </c>
      <c r="M14" s="10">
        <f>K14*L14</f>
        <v/>
      </c>
      <c r="N14" s="8" t="n">
        <v>27.86</v>
      </c>
      <c r="O14" s="10">
        <f>N14*L14</f>
        <v/>
      </c>
      <c r="P14" s="10">
        <f>M14-O14</f>
        <v/>
      </c>
      <c r="Q14" s="11" t="inlineStr">
        <is>
          <t>No</t>
        </is>
      </c>
      <c r="R14" s="11" t="n">
        <v>0</v>
      </c>
      <c r="S14" s="10">
        <f>M14-(R14*K14)</f>
        <v/>
      </c>
      <c r="T14" s="12">
        <f>VLOOKUP(E14,Dim_Product!$A$2:$Q$61,3,FALSE)</f>
        <v/>
      </c>
      <c r="U14" s="12">
        <f>VLOOKUP(E14,Dim_Product!$A$2:$Q$61,4,FALSE)</f>
        <v/>
      </c>
      <c r="V14" s="12">
        <f>VLOOKUP(D14,Dim_Customer!$A$2:$I$121,6,FALSE)</f>
        <v/>
      </c>
      <c r="W14" s="12">
        <f>VLOOKUP(G14,Dim_Channel!$A$2:$B$5,2,FALSE)</f>
        <v/>
      </c>
      <c r="X14" s="12">
        <f>VLOOKUP(H14,Dim_Promotion!$A$2:$G$11,2,FALSE)</f>
        <v/>
      </c>
    </row>
    <row r="15">
      <c r="A15" s="4" t="inlineStr">
        <is>
          <t>SL0014</t>
        </is>
      </c>
      <c r="B15" t="inlineStr">
        <is>
          <t>O010007</t>
        </is>
      </c>
      <c r="C15" t="n">
        <v>20251212</v>
      </c>
      <c r="D15" s="4" t="inlineStr">
        <is>
          <t>C052</t>
        </is>
      </c>
      <c r="E15" s="4" t="inlineStr">
        <is>
          <t>P007</t>
        </is>
      </c>
      <c r="F15" t="inlineStr">
        <is>
          <t>L</t>
        </is>
      </c>
      <c r="G15" s="4" t="inlineStr">
        <is>
          <t>CH01</t>
        </is>
      </c>
      <c r="H15" s="4" t="inlineStr">
        <is>
          <t>PR00</t>
        </is>
      </c>
      <c r="I15" s="8" t="n">
        <v>50</v>
      </c>
      <c r="J15" s="9" t="n">
        <v>0</v>
      </c>
      <c r="K15" s="10">
        <f>I15*(1-J15)</f>
        <v/>
      </c>
      <c r="L15" s="11" t="n">
        <v>1</v>
      </c>
      <c r="M15" s="10">
        <f>K15*L15</f>
        <v/>
      </c>
      <c r="N15" s="8" t="n">
        <v>21.63</v>
      </c>
      <c r="O15" s="10">
        <f>N15*L15</f>
        <v/>
      </c>
      <c r="P15" s="10">
        <f>M15-O15</f>
        <v/>
      </c>
      <c r="Q15" s="11" t="inlineStr">
        <is>
          <t>No</t>
        </is>
      </c>
      <c r="R15" s="11" t="n">
        <v>0</v>
      </c>
      <c r="S15" s="10">
        <f>M15-(R15*K15)</f>
        <v/>
      </c>
      <c r="T15" s="12">
        <f>VLOOKUP(E15,Dim_Product!$A$2:$Q$61,3,FALSE)</f>
        <v/>
      </c>
      <c r="U15" s="12">
        <f>VLOOKUP(E15,Dim_Product!$A$2:$Q$61,4,FALSE)</f>
        <v/>
      </c>
      <c r="V15" s="12">
        <f>VLOOKUP(D15,Dim_Customer!$A$2:$I$121,6,FALSE)</f>
        <v/>
      </c>
      <c r="W15" s="12">
        <f>VLOOKUP(G15,Dim_Channel!$A$2:$B$5,2,FALSE)</f>
        <v/>
      </c>
      <c r="X15" s="12">
        <f>VLOOKUP(H15,Dim_Promotion!$A$2:$G$11,2,FALSE)</f>
        <v/>
      </c>
    </row>
    <row r="16">
      <c r="A16" s="4" t="inlineStr">
        <is>
          <t>SL0015</t>
        </is>
      </c>
      <c r="B16" t="inlineStr">
        <is>
          <t>O010008</t>
        </is>
      </c>
      <c r="C16" t="n">
        <v>20251114</v>
      </c>
      <c r="D16" s="4" t="inlineStr">
        <is>
          <t>C032</t>
        </is>
      </c>
      <c r="E16" s="4" t="inlineStr">
        <is>
          <t>P058</t>
        </is>
      </c>
      <c r="F16" t="inlineStr">
        <is>
          <t>XL</t>
        </is>
      </c>
      <c r="G16" s="4" t="inlineStr">
        <is>
          <t>CH04</t>
        </is>
      </c>
      <c r="H16" s="4" t="inlineStr">
        <is>
          <t>PR00</t>
        </is>
      </c>
      <c r="I16" s="8" t="n">
        <v>74</v>
      </c>
      <c r="J16" s="9" t="n">
        <v>0</v>
      </c>
      <c r="K16" s="10">
        <f>I16*(1-J16)</f>
        <v/>
      </c>
      <c r="L16" s="11" t="n">
        <v>1</v>
      </c>
      <c r="M16" s="10">
        <f>K16*L16</f>
        <v/>
      </c>
      <c r="N16" s="8" t="n">
        <v>36.39</v>
      </c>
      <c r="O16" s="10">
        <f>N16*L16</f>
        <v/>
      </c>
      <c r="P16" s="10">
        <f>M16-O16</f>
        <v/>
      </c>
      <c r="Q16" s="11" t="inlineStr">
        <is>
          <t>No</t>
        </is>
      </c>
      <c r="R16" s="11" t="n">
        <v>0</v>
      </c>
      <c r="S16" s="10">
        <f>M16-(R16*K16)</f>
        <v/>
      </c>
      <c r="T16" s="12">
        <f>VLOOKUP(E16,Dim_Product!$A$2:$Q$61,3,FALSE)</f>
        <v/>
      </c>
      <c r="U16" s="12">
        <f>VLOOKUP(E16,Dim_Product!$A$2:$Q$61,4,FALSE)</f>
        <v/>
      </c>
      <c r="V16" s="12">
        <f>VLOOKUP(D16,Dim_Customer!$A$2:$I$121,6,FALSE)</f>
        <v/>
      </c>
      <c r="W16" s="12">
        <f>VLOOKUP(G16,Dim_Channel!$A$2:$B$5,2,FALSE)</f>
        <v/>
      </c>
      <c r="X16" s="12">
        <f>VLOOKUP(H16,Dim_Promotion!$A$2:$G$11,2,FALSE)</f>
        <v/>
      </c>
    </row>
    <row r="17">
      <c r="A17" s="4" t="inlineStr">
        <is>
          <t>SL0016</t>
        </is>
      </c>
      <c r="B17" t="inlineStr">
        <is>
          <t>O010008</t>
        </is>
      </c>
      <c r="C17" t="n">
        <v>20250501</v>
      </c>
      <c r="D17" s="4" t="inlineStr">
        <is>
          <t>C012</t>
        </is>
      </c>
      <c r="E17" s="4" t="inlineStr">
        <is>
          <t>P057</t>
        </is>
      </c>
      <c r="F17" t="inlineStr">
        <is>
          <t>XL</t>
        </is>
      </c>
      <c r="G17" s="4" t="inlineStr">
        <is>
          <t>CH01</t>
        </is>
      </c>
      <c r="H17" s="4" t="inlineStr">
        <is>
          <t>PR00</t>
        </is>
      </c>
      <c r="I17" s="8" t="n">
        <v>76</v>
      </c>
      <c r="J17" s="9" t="n">
        <v>0.08</v>
      </c>
      <c r="K17" s="10">
        <f>I17*(1-J17)</f>
        <v/>
      </c>
      <c r="L17" s="11" t="n">
        <v>2</v>
      </c>
      <c r="M17" s="10">
        <f>K17*L17</f>
        <v/>
      </c>
      <c r="N17" s="8" t="n">
        <v>35.67</v>
      </c>
      <c r="O17" s="10">
        <f>N17*L17</f>
        <v/>
      </c>
      <c r="P17" s="10">
        <f>M17-O17</f>
        <v/>
      </c>
      <c r="Q17" s="11" t="inlineStr">
        <is>
          <t>No</t>
        </is>
      </c>
      <c r="R17" s="11" t="n">
        <v>0</v>
      </c>
      <c r="S17" s="10">
        <f>M17-(R17*K17)</f>
        <v/>
      </c>
      <c r="T17" s="12">
        <f>VLOOKUP(E17,Dim_Product!$A$2:$Q$61,3,FALSE)</f>
        <v/>
      </c>
      <c r="U17" s="12">
        <f>VLOOKUP(E17,Dim_Product!$A$2:$Q$61,4,FALSE)</f>
        <v/>
      </c>
      <c r="V17" s="12">
        <f>VLOOKUP(D17,Dim_Customer!$A$2:$I$121,6,FALSE)</f>
        <v/>
      </c>
      <c r="W17" s="12">
        <f>VLOOKUP(G17,Dim_Channel!$A$2:$B$5,2,FALSE)</f>
        <v/>
      </c>
      <c r="X17" s="12">
        <f>VLOOKUP(H17,Dim_Promotion!$A$2:$G$11,2,FALSE)</f>
        <v/>
      </c>
    </row>
    <row r="18">
      <c r="A18" s="4" t="inlineStr">
        <is>
          <t>SL0017</t>
        </is>
      </c>
      <c r="B18" t="inlineStr">
        <is>
          <t>O010009</t>
        </is>
      </c>
      <c r="C18" t="n">
        <v>20250728</v>
      </c>
      <c r="D18" s="4" t="inlineStr">
        <is>
          <t>C014</t>
        </is>
      </c>
      <c r="E18" s="4" t="inlineStr">
        <is>
          <t>P021</t>
        </is>
      </c>
      <c r="F18" t="inlineStr">
        <is>
          <t>L</t>
        </is>
      </c>
      <c r="G18" s="4" t="inlineStr">
        <is>
          <t>CH02</t>
        </is>
      </c>
      <c r="H18" s="4" t="inlineStr">
        <is>
          <t>PR00</t>
        </is>
      </c>
      <c r="I18" s="8" t="n">
        <v>52</v>
      </c>
      <c r="J18" s="9" t="n">
        <v>0</v>
      </c>
      <c r="K18" s="10">
        <f>I18*(1-J18)</f>
        <v/>
      </c>
      <c r="L18" s="11" t="n">
        <v>1</v>
      </c>
      <c r="M18" s="10">
        <f>K18*L18</f>
        <v/>
      </c>
      <c r="N18" s="8" t="n">
        <v>28.2</v>
      </c>
      <c r="O18" s="10">
        <f>N18*L18</f>
        <v/>
      </c>
      <c r="P18" s="10">
        <f>M18-O18</f>
        <v/>
      </c>
      <c r="Q18" s="11" t="inlineStr">
        <is>
          <t>No</t>
        </is>
      </c>
      <c r="R18" s="11" t="n">
        <v>0</v>
      </c>
      <c r="S18" s="10">
        <f>M18-(R18*K18)</f>
        <v/>
      </c>
      <c r="T18" s="12">
        <f>VLOOKUP(E18,Dim_Product!$A$2:$Q$61,3,FALSE)</f>
        <v/>
      </c>
      <c r="U18" s="12">
        <f>VLOOKUP(E18,Dim_Product!$A$2:$Q$61,4,FALSE)</f>
        <v/>
      </c>
      <c r="V18" s="12">
        <f>VLOOKUP(D18,Dim_Customer!$A$2:$I$121,6,FALSE)</f>
        <v/>
      </c>
      <c r="W18" s="12">
        <f>VLOOKUP(G18,Dim_Channel!$A$2:$B$5,2,FALSE)</f>
        <v/>
      </c>
      <c r="X18" s="12">
        <f>VLOOKUP(H18,Dim_Promotion!$A$2:$G$11,2,FALSE)</f>
        <v/>
      </c>
    </row>
    <row r="19">
      <c r="A19" s="4" t="inlineStr">
        <is>
          <t>SL0018</t>
        </is>
      </c>
      <c r="B19" t="inlineStr">
        <is>
          <t>O010009</t>
        </is>
      </c>
      <c r="C19" t="n">
        <v>20251120</v>
      </c>
      <c r="D19" s="4" t="inlineStr">
        <is>
          <t>C088</t>
        </is>
      </c>
      <c r="E19" s="4" t="inlineStr">
        <is>
          <t>P036</t>
        </is>
      </c>
      <c r="F19" t="inlineStr">
        <is>
          <t>S</t>
        </is>
      </c>
      <c r="G19" s="4" t="inlineStr">
        <is>
          <t>CH02</t>
        </is>
      </c>
      <c r="H19" s="4" t="inlineStr">
        <is>
          <t>PR00</t>
        </is>
      </c>
      <c r="I19" s="8" t="n">
        <v>90</v>
      </c>
      <c r="J19" s="9" t="n">
        <v>0</v>
      </c>
      <c r="K19" s="10">
        <f>I19*(1-J19)</f>
        <v/>
      </c>
      <c r="L19" s="11" t="n">
        <v>3</v>
      </c>
      <c r="M19" s="10">
        <f>K19*L19</f>
        <v/>
      </c>
      <c r="N19" s="8" t="n">
        <v>43.06</v>
      </c>
      <c r="O19" s="10">
        <f>N19*L19</f>
        <v/>
      </c>
      <c r="P19" s="10">
        <f>M19-O19</f>
        <v/>
      </c>
      <c r="Q19" s="11" t="inlineStr">
        <is>
          <t>No</t>
        </is>
      </c>
      <c r="R19" s="11" t="n">
        <v>0</v>
      </c>
      <c r="S19" s="10">
        <f>M19-(R19*K19)</f>
        <v/>
      </c>
      <c r="T19" s="12">
        <f>VLOOKUP(E19,Dim_Product!$A$2:$Q$61,3,FALSE)</f>
        <v/>
      </c>
      <c r="U19" s="12">
        <f>VLOOKUP(E19,Dim_Product!$A$2:$Q$61,4,FALSE)</f>
        <v/>
      </c>
      <c r="V19" s="12">
        <f>VLOOKUP(D19,Dim_Customer!$A$2:$I$121,6,FALSE)</f>
        <v/>
      </c>
      <c r="W19" s="12">
        <f>VLOOKUP(G19,Dim_Channel!$A$2:$B$5,2,FALSE)</f>
        <v/>
      </c>
      <c r="X19" s="12">
        <f>VLOOKUP(H19,Dim_Promotion!$A$2:$G$11,2,FALSE)</f>
        <v/>
      </c>
    </row>
    <row r="20">
      <c r="A20" s="4" t="inlineStr">
        <is>
          <t>SL0019</t>
        </is>
      </c>
      <c r="B20" t="inlineStr">
        <is>
          <t>O010010</t>
        </is>
      </c>
      <c r="C20" t="n">
        <v>20250717</v>
      </c>
      <c r="D20" s="4" t="inlineStr">
        <is>
          <t>C006</t>
        </is>
      </c>
      <c r="E20" s="4" t="inlineStr">
        <is>
          <t>P003</t>
        </is>
      </c>
      <c r="F20" t="inlineStr">
        <is>
          <t>M</t>
        </is>
      </c>
      <c r="G20" s="4" t="inlineStr">
        <is>
          <t>CH01</t>
        </is>
      </c>
      <c r="H20" s="4" t="inlineStr">
        <is>
          <t>PR00</t>
        </is>
      </c>
      <c r="I20" s="8" t="n">
        <v>44</v>
      </c>
      <c r="J20" s="9" t="n">
        <v>0</v>
      </c>
      <c r="K20" s="10">
        <f>I20*(1-J20)</f>
        <v/>
      </c>
      <c r="L20" s="11" t="n">
        <v>1</v>
      </c>
      <c r="M20" s="10">
        <f>K20*L20</f>
        <v/>
      </c>
      <c r="N20" s="8" t="n">
        <v>20.72</v>
      </c>
      <c r="O20" s="10">
        <f>N20*L20</f>
        <v/>
      </c>
      <c r="P20" s="10">
        <f>M20-O20</f>
        <v/>
      </c>
      <c r="Q20" s="11" t="inlineStr">
        <is>
          <t>No</t>
        </is>
      </c>
      <c r="R20" s="11" t="n">
        <v>0</v>
      </c>
      <c r="S20" s="10">
        <f>M20-(R20*K20)</f>
        <v/>
      </c>
      <c r="T20" s="12">
        <f>VLOOKUP(E20,Dim_Product!$A$2:$Q$61,3,FALSE)</f>
        <v/>
      </c>
      <c r="U20" s="12">
        <f>VLOOKUP(E20,Dim_Product!$A$2:$Q$61,4,FALSE)</f>
        <v/>
      </c>
      <c r="V20" s="12">
        <f>VLOOKUP(D20,Dim_Customer!$A$2:$I$121,6,FALSE)</f>
        <v/>
      </c>
      <c r="W20" s="12">
        <f>VLOOKUP(G20,Dim_Channel!$A$2:$B$5,2,FALSE)</f>
        <v/>
      </c>
      <c r="X20" s="12">
        <f>VLOOKUP(H20,Dim_Promotion!$A$2:$G$11,2,FALSE)</f>
        <v/>
      </c>
    </row>
    <row r="21">
      <c r="A21" s="4" t="inlineStr">
        <is>
          <t>SL0020</t>
        </is>
      </c>
      <c r="B21" t="inlineStr">
        <is>
          <t>O010010</t>
        </is>
      </c>
      <c r="C21" t="n">
        <v>20250620</v>
      </c>
      <c r="D21" s="4" t="inlineStr">
        <is>
          <t>C095</t>
        </is>
      </c>
      <c r="E21" s="4" t="inlineStr">
        <is>
          <t>P029</t>
        </is>
      </c>
      <c r="F21" t="inlineStr">
        <is>
          <t>M</t>
        </is>
      </c>
      <c r="G21" s="4" t="inlineStr">
        <is>
          <t>CH04</t>
        </is>
      </c>
      <c r="H21" s="4" t="inlineStr">
        <is>
          <t>PR00</t>
        </is>
      </c>
      <c r="I21" s="8" t="n">
        <v>108</v>
      </c>
      <c r="J21" s="9" t="n">
        <v>0.08</v>
      </c>
      <c r="K21" s="10">
        <f>I21*(1-J21)</f>
        <v/>
      </c>
      <c r="L21" s="11" t="n">
        <v>3</v>
      </c>
      <c r="M21" s="10">
        <f>K21*L21</f>
        <v/>
      </c>
      <c r="N21" s="8" t="n">
        <v>56.84</v>
      </c>
      <c r="O21" s="10">
        <f>N21*L21</f>
        <v/>
      </c>
      <c r="P21" s="10">
        <f>M21-O21</f>
        <v/>
      </c>
      <c r="Q21" s="11" t="inlineStr">
        <is>
          <t>No</t>
        </is>
      </c>
      <c r="R21" s="11" t="n">
        <v>0</v>
      </c>
      <c r="S21" s="10">
        <f>M21-(R21*K21)</f>
        <v/>
      </c>
      <c r="T21" s="12">
        <f>VLOOKUP(E21,Dim_Product!$A$2:$Q$61,3,FALSE)</f>
        <v/>
      </c>
      <c r="U21" s="12">
        <f>VLOOKUP(E21,Dim_Product!$A$2:$Q$61,4,FALSE)</f>
        <v/>
      </c>
      <c r="V21" s="12">
        <f>VLOOKUP(D21,Dim_Customer!$A$2:$I$121,6,FALSE)</f>
        <v/>
      </c>
      <c r="W21" s="12">
        <f>VLOOKUP(G21,Dim_Channel!$A$2:$B$5,2,FALSE)</f>
        <v/>
      </c>
      <c r="X21" s="12">
        <f>VLOOKUP(H21,Dim_Promotion!$A$2:$G$11,2,FALSE)</f>
        <v/>
      </c>
    </row>
    <row r="22">
      <c r="A22" s="4" t="inlineStr">
        <is>
          <t>SL0021</t>
        </is>
      </c>
      <c r="B22" t="inlineStr">
        <is>
          <t>O010011</t>
        </is>
      </c>
      <c r="C22" t="n">
        <v>20251023</v>
      </c>
      <c r="D22" s="4" t="inlineStr">
        <is>
          <t>C081</t>
        </is>
      </c>
      <c r="E22" s="4" t="inlineStr">
        <is>
          <t>P002</t>
        </is>
      </c>
      <c r="F22" t="inlineStr">
        <is>
          <t>XL</t>
        </is>
      </c>
      <c r="G22" s="4" t="inlineStr">
        <is>
          <t>CH03</t>
        </is>
      </c>
      <c r="H22" s="4" t="inlineStr">
        <is>
          <t>PR00</t>
        </is>
      </c>
      <c r="I22" s="8" t="n">
        <v>42</v>
      </c>
      <c r="J22" s="9" t="n">
        <v>0</v>
      </c>
      <c r="K22" s="10">
        <f>I22*(1-J22)</f>
        <v/>
      </c>
      <c r="L22" s="11" t="n">
        <v>1</v>
      </c>
      <c r="M22" s="10">
        <f>K22*L22</f>
        <v/>
      </c>
      <c r="N22" s="8" t="n">
        <v>16.71</v>
      </c>
      <c r="O22" s="10">
        <f>N22*L22</f>
        <v/>
      </c>
      <c r="P22" s="10">
        <f>M22-O22</f>
        <v/>
      </c>
      <c r="Q22" s="11" t="inlineStr">
        <is>
          <t>No</t>
        </is>
      </c>
      <c r="R22" s="11" t="n">
        <v>0</v>
      </c>
      <c r="S22" s="10">
        <f>M22-(R22*K22)</f>
        <v/>
      </c>
      <c r="T22" s="12">
        <f>VLOOKUP(E22,Dim_Product!$A$2:$Q$61,3,FALSE)</f>
        <v/>
      </c>
      <c r="U22" s="12">
        <f>VLOOKUP(E22,Dim_Product!$A$2:$Q$61,4,FALSE)</f>
        <v/>
      </c>
      <c r="V22" s="12">
        <f>VLOOKUP(D22,Dim_Customer!$A$2:$I$121,6,FALSE)</f>
        <v/>
      </c>
      <c r="W22" s="12">
        <f>VLOOKUP(G22,Dim_Channel!$A$2:$B$5,2,FALSE)</f>
        <v/>
      </c>
      <c r="X22" s="12">
        <f>VLOOKUP(H22,Dim_Promotion!$A$2:$G$11,2,FALSE)</f>
        <v/>
      </c>
    </row>
    <row r="23">
      <c r="A23" s="4" t="inlineStr">
        <is>
          <t>SL0022</t>
        </is>
      </c>
      <c r="B23" t="inlineStr">
        <is>
          <t>O010011</t>
        </is>
      </c>
      <c r="C23" t="n">
        <v>20250724</v>
      </c>
      <c r="D23" s="4" t="inlineStr">
        <is>
          <t>C080</t>
        </is>
      </c>
      <c r="E23" s="4" t="inlineStr">
        <is>
          <t>P046</t>
        </is>
      </c>
      <c r="F23" t="inlineStr">
        <is>
          <t>L</t>
        </is>
      </c>
      <c r="G23" s="4" t="inlineStr">
        <is>
          <t>CH01</t>
        </is>
      </c>
      <c r="H23" s="4" t="inlineStr">
        <is>
          <t>PR00</t>
        </is>
      </c>
      <c r="I23" s="8" t="n">
        <v>66</v>
      </c>
      <c r="J23" s="9" t="n">
        <v>0</v>
      </c>
      <c r="K23" s="10">
        <f>I23*(1-J23)</f>
        <v/>
      </c>
      <c r="L23" s="11" t="n">
        <v>1</v>
      </c>
      <c r="M23" s="10">
        <f>K23*L23</f>
        <v/>
      </c>
      <c r="N23" s="8" t="n">
        <v>32.96</v>
      </c>
      <c r="O23" s="10">
        <f>N23*L23</f>
        <v/>
      </c>
      <c r="P23" s="10">
        <f>M23-O23</f>
        <v/>
      </c>
      <c r="Q23" s="11" t="inlineStr">
        <is>
          <t>No</t>
        </is>
      </c>
      <c r="R23" s="11" t="n">
        <v>0</v>
      </c>
      <c r="S23" s="10">
        <f>M23-(R23*K23)</f>
        <v/>
      </c>
      <c r="T23" s="12">
        <f>VLOOKUP(E23,Dim_Product!$A$2:$Q$61,3,FALSE)</f>
        <v/>
      </c>
      <c r="U23" s="12">
        <f>VLOOKUP(E23,Dim_Product!$A$2:$Q$61,4,FALSE)</f>
        <v/>
      </c>
      <c r="V23" s="12">
        <f>VLOOKUP(D23,Dim_Customer!$A$2:$I$121,6,FALSE)</f>
        <v/>
      </c>
      <c r="W23" s="12">
        <f>VLOOKUP(G23,Dim_Channel!$A$2:$B$5,2,FALSE)</f>
        <v/>
      </c>
      <c r="X23" s="12">
        <f>VLOOKUP(H23,Dim_Promotion!$A$2:$G$11,2,FALSE)</f>
        <v/>
      </c>
    </row>
    <row r="24">
      <c r="A24" s="4" t="inlineStr">
        <is>
          <t>SL0023</t>
        </is>
      </c>
      <c r="B24" t="inlineStr">
        <is>
          <t>O010012</t>
        </is>
      </c>
      <c r="C24" t="n">
        <v>20250914</v>
      </c>
      <c r="D24" s="4" t="inlineStr">
        <is>
          <t>C065</t>
        </is>
      </c>
      <c r="E24" s="4" t="inlineStr">
        <is>
          <t>P052</t>
        </is>
      </c>
      <c r="F24" t="inlineStr">
        <is>
          <t>S</t>
        </is>
      </c>
      <c r="G24" s="4" t="inlineStr">
        <is>
          <t>CH01</t>
        </is>
      </c>
      <c r="H24" s="4" t="inlineStr">
        <is>
          <t>PR00</t>
        </is>
      </c>
      <c r="I24" s="8" t="n">
        <v>65</v>
      </c>
      <c r="J24" s="9" t="n">
        <v>0</v>
      </c>
      <c r="K24" s="10">
        <f>I24*(1-J24)</f>
        <v/>
      </c>
      <c r="L24" s="11" t="n">
        <v>1</v>
      </c>
      <c r="M24" s="10">
        <f>K24*L24</f>
        <v/>
      </c>
      <c r="N24" s="8" t="n">
        <v>30.96</v>
      </c>
      <c r="O24" s="10">
        <f>N24*L24</f>
        <v/>
      </c>
      <c r="P24" s="10">
        <f>M24-O24</f>
        <v/>
      </c>
      <c r="Q24" s="11" t="inlineStr">
        <is>
          <t>No</t>
        </is>
      </c>
      <c r="R24" s="11" t="n">
        <v>0</v>
      </c>
      <c r="S24" s="10">
        <f>M24-(R24*K24)</f>
        <v/>
      </c>
      <c r="T24" s="12">
        <f>VLOOKUP(E24,Dim_Product!$A$2:$Q$61,3,FALSE)</f>
        <v/>
      </c>
      <c r="U24" s="12">
        <f>VLOOKUP(E24,Dim_Product!$A$2:$Q$61,4,FALSE)</f>
        <v/>
      </c>
      <c r="V24" s="12">
        <f>VLOOKUP(D24,Dim_Customer!$A$2:$I$121,6,FALSE)</f>
        <v/>
      </c>
      <c r="W24" s="12">
        <f>VLOOKUP(G24,Dim_Channel!$A$2:$B$5,2,FALSE)</f>
        <v/>
      </c>
      <c r="X24" s="12">
        <f>VLOOKUP(H24,Dim_Promotion!$A$2:$G$11,2,FALSE)</f>
        <v/>
      </c>
    </row>
    <row r="25">
      <c r="A25" s="4" t="inlineStr">
        <is>
          <t>SL0024</t>
        </is>
      </c>
      <c r="B25" t="inlineStr">
        <is>
          <t>O010012</t>
        </is>
      </c>
      <c r="C25" t="n">
        <v>20251211</v>
      </c>
      <c r="D25" s="4" t="inlineStr">
        <is>
          <t>C070</t>
        </is>
      </c>
      <c r="E25" s="4" t="inlineStr">
        <is>
          <t>P020</t>
        </is>
      </c>
      <c r="F25" t="inlineStr">
        <is>
          <t>M</t>
        </is>
      </c>
      <c r="G25" s="4" t="inlineStr">
        <is>
          <t>CH03</t>
        </is>
      </c>
      <c r="H25" s="4" t="inlineStr">
        <is>
          <t>PR00</t>
        </is>
      </c>
      <c r="I25" s="8" t="n">
        <v>66</v>
      </c>
      <c r="J25" s="9" t="n">
        <v>0</v>
      </c>
      <c r="K25" s="10">
        <f>I25*(1-J25)</f>
        <v/>
      </c>
      <c r="L25" s="11" t="n">
        <v>1</v>
      </c>
      <c r="M25" s="10">
        <f>K25*L25</f>
        <v/>
      </c>
      <c r="N25" s="8" t="n">
        <v>31.12</v>
      </c>
      <c r="O25" s="10">
        <f>N25*L25</f>
        <v/>
      </c>
      <c r="P25" s="10">
        <f>M25-O25</f>
        <v/>
      </c>
      <c r="Q25" s="11" t="inlineStr">
        <is>
          <t>No</t>
        </is>
      </c>
      <c r="R25" s="11" t="n">
        <v>0</v>
      </c>
      <c r="S25" s="10">
        <f>M25-(R25*K25)</f>
        <v/>
      </c>
      <c r="T25" s="12">
        <f>VLOOKUP(E25,Dim_Product!$A$2:$Q$61,3,FALSE)</f>
        <v/>
      </c>
      <c r="U25" s="12">
        <f>VLOOKUP(E25,Dim_Product!$A$2:$Q$61,4,FALSE)</f>
        <v/>
      </c>
      <c r="V25" s="12">
        <f>VLOOKUP(D25,Dim_Customer!$A$2:$I$121,6,FALSE)</f>
        <v/>
      </c>
      <c r="W25" s="12">
        <f>VLOOKUP(G25,Dim_Channel!$A$2:$B$5,2,FALSE)</f>
        <v/>
      </c>
      <c r="X25" s="12">
        <f>VLOOKUP(H25,Dim_Promotion!$A$2:$G$11,2,FALSE)</f>
        <v/>
      </c>
    </row>
    <row r="26">
      <c r="A26" s="4" t="inlineStr">
        <is>
          <t>SL0025</t>
        </is>
      </c>
      <c r="B26" t="inlineStr">
        <is>
          <t>O010013</t>
        </is>
      </c>
      <c r="C26" t="n">
        <v>20250510</v>
      </c>
      <c r="D26" s="4" t="inlineStr">
        <is>
          <t>C099</t>
        </is>
      </c>
      <c r="E26" s="4" t="inlineStr">
        <is>
          <t>P016</t>
        </is>
      </c>
      <c r="F26" t="inlineStr">
        <is>
          <t>L</t>
        </is>
      </c>
      <c r="G26" s="4" t="inlineStr">
        <is>
          <t>CH01</t>
        </is>
      </c>
      <c r="H26" s="4" t="inlineStr">
        <is>
          <t>PR00</t>
        </is>
      </c>
      <c r="I26" s="8" t="n">
        <v>58</v>
      </c>
      <c r="J26" s="9" t="n">
        <v>0</v>
      </c>
      <c r="K26" s="10">
        <f>I26*(1-J26)</f>
        <v/>
      </c>
      <c r="L26" s="11" t="n">
        <v>1</v>
      </c>
      <c r="M26" s="10">
        <f>K26*L26</f>
        <v/>
      </c>
      <c r="N26" s="8" t="n">
        <v>27.39</v>
      </c>
      <c r="O26" s="10">
        <f>N26*L26</f>
        <v/>
      </c>
      <c r="P26" s="10">
        <f>M26-O26</f>
        <v/>
      </c>
      <c r="Q26" s="11" t="inlineStr">
        <is>
          <t>No</t>
        </is>
      </c>
      <c r="R26" s="11" t="n">
        <v>0</v>
      </c>
      <c r="S26" s="10">
        <f>M26-(R26*K26)</f>
        <v/>
      </c>
      <c r="T26" s="12">
        <f>VLOOKUP(E26,Dim_Product!$A$2:$Q$61,3,FALSE)</f>
        <v/>
      </c>
      <c r="U26" s="12">
        <f>VLOOKUP(E26,Dim_Product!$A$2:$Q$61,4,FALSE)</f>
        <v/>
      </c>
      <c r="V26" s="12">
        <f>VLOOKUP(D26,Dim_Customer!$A$2:$I$121,6,FALSE)</f>
        <v/>
      </c>
      <c r="W26" s="12">
        <f>VLOOKUP(G26,Dim_Channel!$A$2:$B$5,2,FALSE)</f>
        <v/>
      </c>
      <c r="X26" s="12">
        <f>VLOOKUP(H26,Dim_Promotion!$A$2:$G$11,2,FALSE)</f>
        <v/>
      </c>
    </row>
    <row r="27">
      <c r="A27" s="4" t="inlineStr">
        <is>
          <t>SL0026</t>
        </is>
      </c>
      <c r="B27" t="inlineStr">
        <is>
          <t>O010013</t>
        </is>
      </c>
      <c r="C27" t="n">
        <v>20251213</v>
      </c>
      <c r="D27" s="4" t="inlineStr">
        <is>
          <t>C105</t>
        </is>
      </c>
      <c r="E27" s="4" t="inlineStr">
        <is>
          <t>P019</t>
        </is>
      </c>
      <c r="F27" t="inlineStr">
        <is>
          <t>XS</t>
        </is>
      </c>
      <c r="G27" s="4" t="inlineStr">
        <is>
          <t>CH01</t>
        </is>
      </c>
      <c r="H27" s="4" t="inlineStr">
        <is>
          <t>PR00</t>
        </is>
      </c>
      <c r="I27" s="8" t="n">
        <v>64</v>
      </c>
      <c r="J27" s="9" t="n">
        <v>0.08</v>
      </c>
      <c r="K27" s="10">
        <f>I27*(1-J27)</f>
        <v/>
      </c>
      <c r="L27" s="11" t="n">
        <v>2</v>
      </c>
      <c r="M27" s="10">
        <f>K27*L27</f>
        <v/>
      </c>
      <c r="N27" s="8" t="n">
        <v>31.77</v>
      </c>
      <c r="O27" s="10">
        <f>N27*L27</f>
        <v/>
      </c>
      <c r="P27" s="10">
        <f>M27-O27</f>
        <v/>
      </c>
      <c r="Q27" s="11" t="inlineStr">
        <is>
          <t>No</t>
        </is>
      </c>
      <c r="R27" s="11" t="n">
        <v>0</v>
      </c>
      <c r="S27" s="10">
        <f>M27-(R27*K27)</f>
        <v/>
      </c>
      <c r="T27" s="12">
        <f>VLOOKUP(E27,Dim_Product!$A$2:$Q$61,3,FALSE)</f>
        <v/>
      </c>
      <c r="U27" s="12">
        <f>VLOOKUP(E27,Dim_Product!$A$2:$Q$61,4,FALSE)</f>
        <v/>
      </c>
      <c r="V27" s="12">
        <f>VLOOKUP(D27,Dim_Customer!$A$2:$I$121,6,FALSE)</f>
        <v/>
      </c>
      <c r="W27" s="12">
        <f>VLOOKUP(G27,Dim_Channel!$A$2:$B$5,2,FALSE)</f>
        <v/>
      </c>
      <c r="X27" s="12">
        <f>VLOOKUP(H27,Dim_Promotion!$A$2:$G$11,2,FALSE)</f>
        <v/>
      </c>
    </row>
    <row r="28">
      <c r="A28" s="4" t="inlineStr">
        <is>
          <t>SL0027</t>
        </is>
      </c>
      <c r="B28" t="inlineStr">
        <is>
          <t>O010014</t>
        </is>
      </c>
      <c r="C28" t="n">
        <v>20250418</v>
      </c>
      <c r="D28" s="4" t="inlineStr">
        <is>
          <t>C090</t>
        </is>
      </c>
      <c r="E28" s="4" t="inlineStr">
        <is>
          <t>P015</t>
        </is>
      </c>
      <c r="F28" t="inlineStr">
        <is>
          <t>L</t>
        </is>
      </c>
      <c r="G28" s="4" t="inlineStr">
        <is>
          <t>CH02</t>
        </is>
      </c>
      <c r="H28" s="4" t="inlineStr">
        <is>
          <t>PR00</t>
        </is>
      </c>
      <c r="I28" s="8" t="n">
        <v>58</v>
      </c>
      <c r="J28" s="9" t="n">
        <v>0</v>
      </c>
      <c r="K28" s="10">
        <f>I28*(1-J28)</f>
        <v/>
      </c>
      <c r="L28" s="11" t="n">
        <v>1</v>
      </c>
      <c r="M28" s="10">
        <f>K28*L28</f>
        <v/>
      </c>
      <c r="N28" s="8" t="n">
        <v>25.84</v>
      </c>
      <c r="O28" s="10">
        <f>N28*L28</f>
        <v/>
      </c>
      <c r="P28" s="10">
        <f>M28-O28</f>
        <v/>
      </c>
      <c r="Q28" s="11" t="inlineStr">
        <is>
          <t>No</t>
        </is>
      </c>
      <c r="R28" s="11" t="n">
        <v>0</v>
      </c>
      <c r="S28" s="10">
        <f>M28-(R28*K28)</f>
        <v/>
      </c>
      <c r="T28" s="12">
        <f>VLOOKUP(E28,Dim_Product!$A$2:$Q$61,3,FALSE)</f>
        <v/>
      </c>
      <c r="U28" s="12">
        <f>VLOOKUP(E28,Dim_Product!$A$2:$Q$61,4,FALSE)</f>
        <v/>
      </c>
      <c r="V28" s="12">
        <f>VLOOKUP(D28,Dim_Customer!$A$2:$I$121,6,FALSE)</f>
        <v/>
      </c>
      <c r="W28" s="12">
        <f>VLOOKUP(G28,Dim_Channel!$A$2:$B$5,2,FALSE)</f>
        <v/>
      </c>
      <c r="X28" s="12">
        <f>VLOOKUP(H28,Dim_Promotion!$A$2:$G$11,2,FALSE)</f>
        <v/>
      </c>
    </row>
    <row r="29">
      <c r="A29" s="4" t="inlineStr">
        <is>
          <t>SL0028</t>
        </is>
      </c>
      <c r="B29" t="inlineStr">
        <is>
          <t>O010014</t>
        </is>
      </c>
      <c r="C29" t="n">
        <v>20250516</v>
      </c>
      <c r="D29" s="4" t="inlineStr">
        <is>
          <t>C013</t>
        </is>
      </c>
      <c r="E29" s="4" t="inlineStr">
        <is>
          <t>P040</t>
        </is>
      </c>
      <c r="F29" t="inlineStr">
        <is>
          <t>XL</t>
        </is>
      </c>
      <c r="G29" s="4" t="inlineStr">
        <is>
          <t>CH04</t>
        </is>
      </c>
      <c r="H29" s="4" t="inlineStr">
        <is>
          <t>PR00</t>
        </is>
      </c>
      <c r="I29" s="8" t="n">
        <v>71</v>
      </c>
      <c r="J29" s="9" t="n">
        <v>0</v>
      </c>
      <c r="K29" s="10">
        <f>I29*(1-J29)</f>
        <v/>
      </c>
      <c r="L29" s="11" t="n">
        <v>1</v>
      </c>
      <c r="M29" s="10">
        <f>K29*L29</f>
        <v/>
      </c>
      <c r="N29" s="8" t="n">
        <v>33.73</v>
      </c>
      <c r="O29" s="10">
        <f>N29*L29</f>
        <v/>
      </c>
      <c r="P29" s="10">
        <f>M29-O29</f>
        <v/>
      </c>
      <c r="Q29" s="11" t="inlineStr">
        <is>
          <t>No</t>
        </is>
      </c>
      <c r="R29" s="11" t="n">
        <v>0</v>
      </c>
      <c r="S29" s="10">
        <f>M29-(R29*K29)</f>
        <v/>
      </c>
      <c r="T29" s="12">
        <f>VLOOKUP(E29,Dim_Product!$A$2:$Q$61,3,FALSE)</f>
        <v/>
      </c>
      <c r="U29" s="12">
        <f>VLOOKUP(E29,Dim_Product!$A$2:$Q$61,4,FALSE)</f>
        <v/>
      </c>
      <c r="V29" s="12">
        <f>VLOOKUP(D29,Dim_Customer!$A$2:$I$121,6,FALSE)</f>
        <v/>
      </c>
      <c r="W29" s="12">
        <f>VLOOKUP(G29,Dim_Channel!$A$2:$B$5,2,FALSE)</f>
        <v/>
      </c>
      <c r="X29" s="12">
        <f>VLOOKUP(H29,Dim_Promotion!$A$2:$G$11,2,FALSE)</f>
        <v/>
      </c>
    </row>
    <row r="30">
      <c r="A30" s="4" t="inlineStr">
        <is>
          <t>SL0029</t>
        </is>
      </c>
      <c r="B30" t="inlineStr">
        <is>
          <t>O010015</t>
        </is>
      </c>
      <c r="C30" t="n">
        <v>20250521</v>
      </c>
      <c r="D30" s="4" t="inlineStr">
        <is>
          <t>C008</t>
        </is>
      </c>
      <c r="E30" s="4" t="inlineStr">
        <is>
          <t>P054</t>
        </is>
      </c>
      <c r="F30" t="inlineStr">
        <is>
          <t>M</t>
        </is>
      </c>
      <c r="G30" s="4" t="inlineStr">
        <is>
          <t>CH02</t>
        </is>
      </c>
      <c r="H30" s="4" t="inlineStr">
        <is>
          <t>PR00</t>
        </is>
      </c>
      <c r="I30" s="8" t="n">
        <v>72</v>
      </c>
      <c r="J30" s="9" t="n">
        <v>0</v>
      </c>
      <c r="K30" s="10">
        <f>I30*(1-J30)</f>
        <v/>
      </c>
      <c r="L30" s="11" t="n">
        <v>2</v>
      </c>
      <c r="M30" s="10">
        <f>K30*L30</f>
        <v/>
      </c>
      <c r="N30" s="8" t="n">
        <v>30.71</v>
      </c>
      <c r="O30" s="10">
        <f>N30*L30</f>
        <v/>
      </c>
      <c r="P30" s="10">
        <f>M30-O30</f>
        <v/>
      </c>
      <c r="Q30" s="11" t="inlineStr">
        <is>
          <t>No</t>
        </is>
      </c>
      <c r="R30" s="11" t="n">
        <v>0</v>
      </c>
      <c r="S30" s="10">
        <f>M30-(R30*K30)</f>
        <v/>
      </c>
      <c r="T30" s="12">
        <f>VLOOKUP(E30,Dim_Product!$A$2:$Q$61,3,FALSE)</f>
        <v/>
      </c>
      <c r="U30" s="12">
        <f>VLOOKUP(E30,Dim_Product!$A$2:$Q$61,4,FALSE)</f>
        <v/>
      </c>
      <c r="V30" s="12">
        <f>VLOOKUP(D30,Dim_Customer!$A$2:$I$121,6,FALSE)</f>
        <v/>
      </c>
      <c r="W30" s="12">
        <f>VLOOKUP(G30,Dim_Channel!$A$2:$B$5,2,FALSE)</f>
        <v/>
      </c>
      <c r="X30" s="12">
        <f>VLOOKUP(H30,Dim_Promotion!$A$2:$G$11,2,FALSE)</f>
        <v/>
      </c>
    </row>
    <row r="31">
      <c r="A31" s="4" t="inlineStr">
        <is>
          <t>SL0030</t>
        </is>
      </c>
      <c r="B31" t="inlineStr">
        <is>
          <t>O010015</t>
        </is>
      </c>
      <c r="C31" t="n">
        <v>20250330</v>
      </c>
      <c r="D31" s="4" t="inlineStr">
        <is>
          <t>C005</t>
        </is>
      </c>
      <c r="E31" s="4" t="inlineStr">
        <is>
          <t>P060</t>
        </is>
      </c>
      <c r="F31" t="inlineStr">
        <is>
          <t>L</t>
        </is>
      </c>
      <c r="G31" s="4" t="inlineStr">
        <is>
          <t>CH04</t>
        </is>
      </c>
      <c r="H31" s="4" t="inlineStr">
        <is>
          <t>PR00</t>
        </is>
      </c>
      <c r="I31" s="8" t="n">
        <v>70</v>
      </c>
      <c r="J31" s="9" t="n">
        <v>0</v>
      </c>
      <c r="K31" s="10">
        <f>I31*(1-J31)</f>
        <v/>
      </c>
      <c r="L31" s="11" t="n">
        <v>1</v>
      </c>
      <c r="M31" s="10">
        <f>K31*L31</f>
        <v/>
      </c>
      <c r="N31" s="8" t="n">
        <v>36.51</v>
      </c>
      <c r="O31" s="10">
        <f>N31*L31</f>
        <v/>
      </c>
      <c r="P31" s="10">
        <f>M31-O31</f>
        <v/>
      </c>
      <c r="Q31" s="11" t="inlineStr">
        <is>
          <t>No</t>
        </is>
      </c>
      <c r="R31" s="11" t="n">
        <v>0</v>
      </c>
      <c r="S31" s="10">
        <f>M31-(R31*K31)</f>
        <v/>
      </c>
      <c r="T31" s="12">
        <f>VLOOKUP(E31,Dim_Product!$A$2:$Q$61,3,FALSE)</f>
        <v/>
      </c>
      <c r="U31" s="12">
        <f>VLOOKUP(E31,Dim_Product!$A$2:$Q$61,4,FALSE)</f>
        <v/>
      </c>
      <c r="V31" s="12">
        <f>VLOOKUP(D31,Dim_Customer!$A$2:$I$121,6,FALSE)</f>
        <v/>
      </c>
      <c r="W31" s="12">
        <f>VLOOKUP(G31,Dim_Channel!$A$2:$B$5,2,FALSE)</f>
        <v/>
      </c>
      <c r="X31" s="12">
        <f>VLOOKUP(H31,Dim_Promotion!$A$2:$G$11,2,FALSE)</f>
        <v/>
      </c>
    </row>
    <row r="32">
      <c r="A32" s="4" t="inlineStr">
        <is>
          <t>SL0031</t>
        </is>
      </c>
      <c r="B32" t="inlineStr">
        <is>
          <t>O010016</t>
        </is>
      </c>
      <c r="C32" t="n">
        <v>20251210</v>
      </c>
      <c r="D32" s="4" t="inlineStr">
        <is>
          <t>C059</t>
        </is>
      </c>
      <c r="E32" s="4" t="inlineStr">
        <is>
          <t>P060</t>
        </is>
      </c>
      <c r="F32" t="inlineStr">
        <is>
          <t>L</t>
        </is>
      </c>
      <c r="G32" s="4" t="inlineStr">
        <is>
          <t>CH04</t>
        </is>
      </c>
      <c r="H32" s="4" t="inlineStr">
        <is>
          <t>PR09</t>
        </is>
      </c>
      <c r="I32" s="8" t="n">
        <v>73</v>
      </c>
      <c r="J32" s="9" t="n">
        <v>0.15</v>
      </c>
      <c r="K32" s="10">
        <f>I32*(1-J32)</f>
        <v/>
      </c>
      <c r="L32" s="11" t="n">
        <v>1</v>
      </c>
      <c r="M32" s="10">
        <f>K32*L32</f>
        <v/>
      </c>
      <c r="N32" s="8" t="n">
        <v>37.03</v>
      </c>
      <c r="O32" s="10">
        <f>N32*L32</f>
        <v/>
      </c>
      <c r="P32" s="10">
        <f>M32-O32</f>
        <v/>
      </c>
      <c r="Q32" s="11" t="inlineStr">
        <is>
          <t>No</t>
        </is>
      </c>
      <c r="R32" s="11" t="n">
        <v>0</v>
      </c>
      <c r="S32" s="10">
        <f>M32-(R32*K32)</f>
        <v/>
      </c>
      <c r="T32" s="12">
        <f>VLOOKUP(E32,Dim_Product!$A$2:$Q$61,3,FALSE)</f>
        <v/>
      </c>
      <c r="U32" s="12">
        <f>VLOOKUP(E32,Dim_Product!$A$2:$Q$61,4,FALSE)</f>
        <v/>
      </c>
      <c r="V32" s="12">
        <f>VLOOKUP(D32,Dim_Customer!$A$2:$I$121,6,FALSE)</f>
        <v/>
      </c>
      <c r="W32" s="12">
        <f>VLOOKUP(G32,Dim_Channel!$A$2:$B$5,2,FALSE)</f>
        <v/>
      </c>
      <c r="X32" s="12">
        <f>VLOOKUP(H32,Dim_Promotion!$A$2:$G$11,2,FALSE)</f>
        <v/>
      </c>
    </row>
    <row r="33">
      <c r="A33" s="4" t="inlineStr">
        <is>
          <t>SL0032</t>
        </is>
      </c>
      <c r="B33" t="inlineStr">
        <is>
          <t>O010016</t>
        </is>
      </c>
      <c r="C33" t="n">
        <v>20251021</v>
      </c>
      <c r="D33" s="4" t="inlineStr">
        <is>
          <t>C033</t>
        </is>
      </c>
      <c r="E33" s="4" t="inlineStr">
        <is>
          <t>P042</t>
        </is>
      </c>
      <c r="F33" t="inlineStr">
        <is>
          <t>S</t>
        </is>
      </c>
      <c r="G33" s="4" t="inlineStr">
        <is>
          <t>CH02</t>
        </is>
      </c>
      <c r="H33" s="4" t="inlineStr">
        <is>
          <t>PR00</t>
        </is>
      </c>
      <c r="I33" s="8" t="n">
        <v>76</v>
      </c>
      <c r="J33" s="9" t="n">
        <v>0</v>
      </c>
      <c r="K33" s="10">
        <f>I33*(1-J33)</f>
        <v/>
      </c>
      <c r="L33" s="11" t="n">
        <v>1</v>
      </c>
      <c r="M33" s="10">
        <f>K33*L33</f>
        <v/>
      </c>
      <c r="N33" s="8" t="n">
        <v>38.16</v>
      </c>
      <c r="O33" s="10">
        <f>N33*L33</f>
        <v/>
      </c>
      <c r="P33" s="10">
        <f>M33-O33</f>
        <v/>
      </c>
      <c r="Q33" s="11" t="inlineStr">
        <is>
          <t>No</t>
        </is>
      </c>
      <c r="R33" s="11" t="n">
        <v>0</v>
      </c>
      <c r="S33" s="10">
        <f>M33-(R33*K33)</f>
        <v/>
      </c>
      <c r="T33" s="12">
        <f>VLOOKUP(E33,Dim_Product!$A$2:$Q$61,3,FALSE)</f>
        <v/>
      </c>
      <c r="U33" s="12">
        <f>VLOOKUP(E33,Dim_Product!$A$2:$Q$61,4,FALSE)</f>
        <v/>
      </c>
      <c r="V33" s="12">
        <f>VLOOKUP(D33,Dim_Customer!$A$2:$I$121,6,FALSE)</f>
        <v/>
      </c>
      <c r="W33" s="12">
        <f>VLOOKUP(G33,Dim_Channel!$A$2:$B$5,2,FALSE)</f>
        <v/>
      </c>
      <c r="X33" s="12">
        <f>VLOOKUP(H33,Dim_Promotion!$A$2:$G$11,2,FALSE)</f>
        <v/>
      </c>
    </row>
    <row r="34">
      <c r="A34" s="4" t="inlineStr">
        <is>
          <t>SL0033</t>
        </is>
      </c>
      <c r="B34" t="inlineStr">
        <is>
          <t>O010017</t>
        </is>
      </c>
      <c r="C34" t="n">
        <v>20251117</v>
      </c>
      <c r="D34" s="4" t="inlineStr">
        <is>
          <t>C042</t>
        </is>
      </c>
      <c r="E34" s="4" t="inlineStr">
        <is>
          <t>P010</t>
        </is>
      </c>
      <c r="F34" t="inlineStr">
        <is>
          <t>M</t>
        </is>
      </c>
      <c r="G34" s="4" t="inlineStr">
        <is>
          <t>CH02</t>
        </is>
      </c>
      <c r="H34" s="4" t="inlineStr">
        <is>
          <t>PR00</t>
        </is>
      </c>
      <c r="I34" s="8" t="n">
        <v>48</v>
      </c>
      <c r="J34" s="9" t="n">
        <v>0</v>
      </c>
      <c r="K34" s="10">
        <f>I34*(1-J34)</f>
        <v/>
      </c>
      <c r="L34" s="11" t="n">
        <v>1</v>
      </c>
      <c r="M34" s="10">
        <f>K34*L34</f>
        <v/>
      </c>
      <c r="N34" s="8" t="n">
        <v>19.92</v>
      </c>
      <c r="O34" s="10">
        <f>N34*L34</f>
        <v/>
      </c>
      <c r="P34" s="10">
        <f>M34-O34</f>
        <v/>
      </c>
      <c r="Q34" s="11" t="inlineStr">
        <is>
          <t>No</t>
        </is>
      </c>
      <c r="R34" s="11" t="n">
        <v>0</v>
      </c>
      <c r="S34" s="10">
        <f>M34-(R34*K34)</f>
        <v/>
      </c>
      <c r="T34" s="12">
        <f>VLOOKUP(E34,Dim_Product!$A$2:$Q$61,3,FALSE)</f>
        <v/>
      </c>
      <c r="U34" s="12">
        <f>VLOOKUP(E34,Dim_Product!$A$2:$Q$61,4,FALSE)</f>
        <v/>
      </c>
      <c r="V34" s="12">
        <f>VLOOKUP(D34,Dim_Customer!$A$2:$I$121,6,FALSE)</f>
        <v/>
      </c>
      <c r="W34" s="12">
        <f>VLOOKUP(G34,Dim_Channel!$A$2:$B$5,2,FALSE)</f>
        <v/>
      </c>
      <c r="X34" s="12">
        <f>VLOOKUP(H34,Dim_Promotion!$A$2:$G$11,2,FALSE)</f>
        <v/>
      </c>
    </row>
    <row r="35">
      <c r="A35" s="4" t="inlineStr">
        <is>
          <t>SL0034</t>
        </is>
      </c>
      <c r="B35" t="inlineStr">
        <is>
          <t>O010017</t>
        </is>
      </c>
      <c r="C35" t="n">
        <v>20250819</v>
      </c>
      <c r="D35" s="4" t="inlineStr">
        <is>
          <t>C002</t>
        </is>
      </c>
      <c r="E35" s="4" t="inlineStr">
        <is>
          <t>P014</t>
        </is>
      </c>
      <c r="F35" t="inlineStr">
        <is>
          <t>M</t>
        </is>
      </c>
      <c r="G35" s="4" t="inlineStr">
        <is>
          <t>CH03</t>
        </is>
      </c>
      <c r="H35" s="4" t="inlineStr">
        <is>
          <t>PR00</t>
        </is>
      </c>
      <c r="I35" s="8" t="n">
        <v>60</v>
      </c>
      <c r="J35" s="9" t="n">
        <v>0</v>
      </c>
      <c r="K35" s="10">
        <f>I35*(1-J35)</f>
        <v/>
      </c>
      <c r="L35" s="11" t="n">
        <v>1</v>
      </c>
      <c r="M35" s="10">
        <f>K35*L35</f>
        <v/>
      </c>
      <c r="N35" s="8" t="n">
        <v>27.27</v>
      </c>
      <c r="O35" s="10">
        <f>N35*L35</f>
        <v/>
      </c>
      <c r="P35" s="10">
        <f>M35-O35</f>
        <v/>
      </c>
      <c r="Q35" s="11" t="inlineStr">
        <is>
          <t>No</t>
        </is>
      </c>
      <c r="R35" s="11" t="n">
        <v>0</v>
      </c>
      <c r="S35" s="10">
        <f>M35-(R35*K35)</f>
        <v/>
      </c>
      <c r="T35" s="12">
        <f>VLOOKUP(E35,Dim_Product!$A$2:$Q$61,3,FALSE)</f>
        <v/>
      </c>
      <c r="U35" s="12">
        <f>VLOOKUP(E35,Dim_Product!$A$2:$Q$61,4,FALSE)</f>
        <v/>
      </c>
      <c r="V35" s="12">
        <f>VLOOKUP(D35,Dim_Customer!$A$2:$I$121,6,FALSE)</f>
        <v/>
      </c>
      <c r="W35" s="12">
        <f>VLOOKUP(G35,Dim_Channel!$A$2:$B$5,2,FALSE)</f>
        <v/>
      </c>
      <c r="X35" s="12">
        <f>VLOOKUP(H35,Dim_Promotion!$A$2:$G$11,2,FALSE)</f>
        <v/>
      </c>
    </row>
    <row r="36">
      <c r="A36" s="4" t="inlineStr">
        <is>
          <t>SL0035</t>
        </is>
      </c>
      <c r="B36" t="inlineStr">
        <is>
          <t>O010018</t>
        </is>
      </c>
      <c r="C36" t="n">
        <v>20251010</v>
      </c>
      <c r="D36" s="4" t="inlineStr">
        <is>
          <t>C089</t>
        </is>
      </c>
      <c r="E36" s="4" t="inlineStr">
        <is>
          <t>P016</t>
        </is>
      </c>
      <c r="F36" t="inlineStr">
        <is>
          <t>M</t>
        </is>
      </c>
      <c r="G36" s="4" t="inlineStr">
        <is>
          <t>CH01</t>
        </is>
      </c>
      <c r="H36" s="4" t="inlineStr">
        <is>
          <t>PR00</t>
        </is>
      </c>
      <c r="I36" s="8" t="n">
        <v>60</v>
      </c>
      <c r="J36" s="9" t="n">
        <v>0</v>
      </c>
      <c r="K36" s="10">
        <f>I36*(1-J36)</f>
        <v/>
      </c>
      <c r="L36" s="11" t="n">
        <v>1</v>
      </c>
      <c r="M36" s="10">
        <f>K36*L36</f>
        <v/>
      </c>
      <c r="N36" s="8" t="n">
        <v>27.6</v>
      </c>
      <c r="O36" s="10">
        <f>N36*L36</f>
        <v/>
      </c>
      <c r="P36" s="10">
        <f>M36-O36</f>
        <v/>
      </c>
      <c r="Q36" s="11" t="inlineStr">
        <is>
          <t>No</t>
        </is>
      </c>
      <c r="R36" s="11" t="n">
        <v>0</v>
      </c>
      <c r="S36" s="10">
        <f>M36-(R36*K36)</f>
        <v/>
      </c>
      <c r="T36" s="12">
        <f>VLOOKUP(E36,Dim_Product!$A$2:$Q$61,3,FALSE)</f>
        <v/>
      </c>
      <c r="U36" s="12">
        <f>VLOOKUP(E36,Dim_Product!$A$2:$Q$61,4,FALSE)</f>
        <v/>
      </c>
      <c r="V36" s="12">
        <f>VLOOKUP(D36,Dim_Customer!$A$2:$I$121,6,FALSE)</f>
        <v/>
      </c>
      <c r="W36" s="12">
        <f>VLOOKUP(G36,Dim_Channel!$A$2:$B$5,2,FALSE)</f>
        <v/>
      </c>
      <c r="X36" s="12">
        <f>VLOOKUP(H36,Dim_Promotion!$A$2:$G$11,2,FALSE)</f>
        <v/>
      </c>
    </row>
    <row r="37">
      <c r="A37" s="4" t="inlineStr">
        <is>
          <t>SL0036</t>
        </is>
      </c>
      <c r="B37" t="inlineStr">
        <is>
          <t>O010018</t>
        </is>
      </c>
      <c r="C37" t="n">
        <v>20251026</v>
      </c>
      <c r="D37" s="4" t="inlineStr">
        <is>
          <t>C086</t>
        </is>
      </c>
      <c r="E37" s="4" t="inlineStr">
        <is>
          <t>P049</t>
        </is>
      </c>
      <c r="F37" t="inlineStr">
        <is>
          <t>L</t>
        </is>
      </c>
      <c r="G37" s="4" t="inlineStr">
        <is>
          <t>CH03</t>
        </is>
      </c>
      <c r="H37" s="4" t="inlineStr">
        <is>
          <t>PR00</t>
        </is>
      </c>
      <c r="I37" s="8" t="n">
        <v>72</v>
      </c>
      <c r="J37" s="9" t="n">
        <v>0</v>
      </c>
      <c r="K37" s="10">
        <f>I37*(1-J37)</f>
        <v/>
      </c>
      <c r="L37" s="11" t="n">
        <v>1</v>
      </c>
      <c r="M37" s="10">
        <f>K37*L37</f>
        <v/>
      </c>
      <c r="N37" s="8" t="n">
        <v>29.64</v>
      </c>
      <c r="O37" s="10">
        <f>N37*L37</f>
        <v/>
      </c>
      <c r="P37" s="10">
        <f>M37-O37</f>
        <v/>
      </c>
      <c r="Q37" s="11" t="inlineStr">
        <is>
          <t>No</t>
        </is>
      </c>
      <c r="R37" s="11" t="n">
        <v>0</v>
      </c>
      <c r="S37" s="10">
        <f>M37-(R37*K37)</f>
        <v/>
      </c>
      <c r="T37" s="12">
        <f>VLOOKUP(E37,Dim_Product!$A$2:$Q$61,3,FALSE)</f>
        <v/>
      </c>
      <c r="U37" s="12">
        <f>VLOOKUP(E37,Dim_Product!$A$2:$Q$61,4,FALSE)</f>
        <v/>
      </c>
      <c r="V37" s="12">
        <f>VLOOKUP(D37,Dim_Customer!$A$2:$I$121,6,FALSE)</f>
        <v/>
      </c>
      <c r="W37" s="12">
        <f>VLOOKUP(G37,Dim_Channel!$A$2:$B$5,2,FALSE)</f>
        <v/>
      </c>
      <c r="X37" s="12">
        <f>VLOOKUP(H37,Dim_Promotion!$A$2:$G$11,2,FALSE)</f>
        <v/>
      </c>
    </row>
    <row r="38">
      <c r="A38" s="4" t="inlineStr">
        <is>
          <t>SL0037</t>
        </is>
      </c>
      <c r="B38" t="inlineStr">
        <is>
          <t>O010019</t>
        </is>
      </c>
      <c r="C38" t="n">
        <v>20250802</v>
      </c>
      <c r="D38" s="4" t="inlineStr">
        <is>
          <t>C107</t>
        </is>
      </c>
      <c r="E38" s="4" t="inlineStr">
        <is>
          <t>P032</t>
        </is>
      </c>
      <c r="F38" t="inlineStr">
        <is>
          <t>M</t>
        </is>
      </c>
      <c r="G38" s="4" t="inlineStr">
        <is>
          <t>CH01</t>
        </is>
      </c>
      <c r="H38" s="4" t="inlineStr">
        <is>
          <t>PR00</t>
        </is>
      </c>
      <c r="I38" s="8" t="n">
        <v>112</v>
      </c>
      <c r="J38" s="9" t="n">
        <v>0</v>
      </c>
      <c r="K38" s="10">
        <f>I38*(1-J38)</f>
        <v/>
      </c>
      <c r="L38" s="11" t="n">
        <v>1</v>
      </c>
      <c r="M38" s="10">
        <f>K38*L38</f>
        <v/>
      </c>
      <c r="N38" s="8" t="n">
        <v>57.29</v>
      </c>
      <c r="O38" s="10">
        <f>N38*L38</f>
        <v/>
      </c>
      <c r="P38" s="10">
        <f>M38-O38</f>
        <v/>
      </c>
      <c r="Q38" s="11" t="inlineStr">
        <is>
          <t>No</t>
        </is>
      </c>
      <c r="R38" s="11" t="n">
        <v>0</v>
      </c>
      <c r="S38" s="10">
        <f>M38-(R38*K38)</f>
        <v/>
      </c>
      <c r="T38" s="12">
        <f>VLOOKUP(E38,Dim_Product!$A$2:$Q$61,3,FALSE)</f>
        <v/>
      </c>
      <c r="U38" s="12">
        <f>VLOOKUP(E38,Dim_Product!$A$2:$Q$61,4,FALSE)</f>
        <v/>
      </c>
      <c r="V38" s="12">
        <f>VLOOKUP(D38,Dim_Customer!$A$2:$I$121,6,FALSE)</f>
        <v/>
      </c>
      <c r="W38" s="12">
        <f>VLOOKUP(G38,Dim_Channel!$A$2:$B$5,2,FALSE)</f>
        <v/>
      </c>
      <c r="X38" s="12">
        <f>VLOOKUP(H38,Dim_Promotion!$A$2:$G$11,2,FALSE)</f>
        <v/>
      </c>
    </row>
    <row r="39">
      <c r="A39" s="4" t="inlineStr">
        <is>
          <t>SL0038</t>
        </is>
      </c>
      <c r="B39" t="inlineStr">
        <is>
          <t>O010019</t>
        </is>
      </c>
      <c r="C39" t="n">
        <v>20251215</v>
      </c>
      <c r="D39" s="4" t="inlineStr">
        <is>
          <t>C104</t>
        </is>
      </c>
      <c r="E39" s="4" t="inlineStr">
        <is>
          <t>P003</t>
        </is>
      </c>
      <c r="F39" t="inlineStr">
        <is>
          <t>M</t>
        </is>
      </c>
      <c r="G39" s="4" t="inlineStr">
        <is>
          <t>CH02</t>
        </is>
      </c>
      <c r="H39" s="4" t="inlineStr">
        <is>
          <t>PR00</t>
        </is>
      </c>
      <c r="I39" s="8" t="n">
        <v>42</v>
      </c>
      <c r="J39" s="9" t="n">
        <v>0</v>
      </c>
      <c r="K39" s="10">
        <f>I39*(1-J39)</f>
        <v/>
      </c>
      <c r="L39" s="11" t="n">
        <v>2</v>
      </c>
      <c r="M39" s="10">
        <f>K39*L39</f>
        <v/>
      </c>
      <c r="N39" s="8" t="n">
        <v>20.08</v>
      </c>
      <c r="O39" s="10">
        <f>N39*L39</f>
        <v/>
      </c>
      <c r="P39" s="10">
        <f>M39-O39</f>
        <v/>
      </c>
      <c r="Q39" s="11" t="inlineStr">
        <is>
          <t>No</t>
        </is>
      </c>
      <c r="R39" s="11" t="n">
        <v>0</v>
      </c>
      <c r="S39" s="10">
        <f>M39-(R39*K39)</f>
        <v/>
      </c>
      <c r="T39" s="12">
        <f>VLOOKUP(E39,Dim_Product!$A$2:$Q$61,3,FALSE)</f>
        <v/>
      </c>
      <c r="U39" s="12">
        <f>VLOOKUP(E39,Dim_Product!$A$2:$Q$61,4,FALSE)</f>
        <v/>
      </c>
      <c r="V39" s="12">
        <f>VLOOKUP(D39,Dim_Customer!$A$2:$I$121,6,FALSE)</f>
        <v/>
      </c>
      <c r="W39" s="12">
        <f>VLOOKUP(G39,Dim_Channel!$A$2:$B$5,2,FALSE)</f>
        <v/>
      </c>
      <c r="X39" s="12">
        <f>VLOOKUP(H39,Dim_Promotion!$A$2:$G$11,2,FALSE)</f>
        <v/>
      </c>
    </row>
    <row r="40">
      <c r="A40" s="4" t="inlineStr">
        <is>
          <t>SL0039</t>
        </is>
      </c>
      <c r="B40" t="inlineStr">
        <is>
          <t>O010020</t>
        </is>
      </c>
      <c r="C40" t="n">
        <v>20251019</v>
      </c>
      <c r="D40" s="4" t="inlineStr">
        <is>
          <t>C010</t>
        </is>
      </c>
      <c r="E40" s="4" t="inlineStr">
        <is>
          <t>P003</t>
        </is>
      </c>
      <c r="F40" t="inlineStr">
        <is>
          <t>S</t>
        </is>
      </c>
      <c r="G40" s="4" t="inlineStr">
        <is>
          <t>CH04</t>
        </is>
      </c>
      <c r="H40" s="4" t="inlineStr">
        <is>
          <t>PR00</t>
        </is>
      </c>
      <c r="I40" s="8" t="n">
        <v>40</v>
      </c>
      <c r="J40" s="9" t="n">
        <v>0.08</v>
      </c>
      <c r="K40" s="10">
        <f>I40*(1-J40)</f>
        <v/>
      </c>
      <c r="L40" s="11" t="n">
        <v>1</v>
      </c>
      <c r="M40" s="10">
        <f>K40*L40</f>
        <v/>
      </c>
      <c r="N40" s="8" t="n">
        <v>19.82</v>
      </c>
      <c r="O40" s="10">
        <f>N40*L40</f>
        <v/>
      </c>
      <c r="P40" s="10">
        <f>M40-O40</f>
        <v/>
      </c>
      <c r="Q40" s="11" t="inlineStr">
        <is>
          <t>No</t>
        </is>
      </c>
      <c r="R40" s="11" t="n">
        <v>0</v>
      </c>
      <c r="S40" s="10">
        <f>M40-(R40*K40)</f>
        <v/>
      </c>
      <c r="T40" s="12">
        <f>VLOOKUP(E40,Dim_Product!$A$2:$Q$61,3,FALSE)</f>
        <v/>
      </c>
      <c r="U40" s="12">
        <f>VLOOKUP(E40,Dim_Product!$A$2:$Q$61,4,FALSE)</f>
        <v/>
      </c>
      <c r="V40" s="12">
        <f>VLOOKUP(D40,Dim_Customer!$A$2:$I$121,6,FALSE)</f>
        <v/>
      </c>
      <c r="W40" s="12">
        <f>VLOOKUP(G40,Dim_Channel!$A$2:$B$5,2,FALSE)</f>
        <v/>
      </c>
      <c r="X40" s="12">
        <f>VLOOKUP(H40,Dim_Promotion!$A$2:$G$11,2,FALSE)</f>
        <v/>
      </c>
    </row>
    <row r="41">
      <c r="A41" s="4" t="inlineStr">
        <is>
          <t>SL0040</t>
        </is>
      </c>
      <c r="B41" t="inlineStr">
        <is>
          <t>O010020</t>
        </is>
      </c>
      <c r="C41" t="n">
        <v>20250924</v>
      </c>
      <c r="D41" s="4" t="inlineStr">
        <is>
          <t>C083</t>
        </is>
      </c>
      <c r="E41" s="4" t="inlineStr">
        <is>
          <t>P058</t>
        </is>
      </c>
      <c r="F41" t="inlineStr">
        <is>
          <t>XL</t>
        </is>
      </c>
      <c r="G41" s="4" t="inlineStr">
        <is>
          <t>CH01</t>
        </is>
      </c>
      <c r="H41" s="4" t="inlineStr">
        <is>
          <t>PR00</t>
        </is>
      </c>
      <c r="I41" s="8" t="n">
        <v>72</v>
      </c>
      <c r="J41" s="9" t="n">
        <v>0</v>
      </c>
      <c r="K41" s="10">
        <f>I41*(1-J41)</f>
        <v/>
      </c>
      <c r="L41" s="11" t="n">
        <v>1</v>
      </c>
      <c r="M41" s="10">
        <f>K41*L41</f>
        <v/>
      </c>
      <c r="N41" s="8" t="n">
        <v>36.71</v>
      </c>
      <c r="O41" s="10">
        <f>N41*L41</f>
        <v/>
      </c>
      <c r="P41" s="10">
        <f>M41-O41</f>
        <v/>
      </c>
      <c r="Q41" s="11" t="inlineStr">
        <is>
          <t>No</t>
        </is>
      </c>
      <c r="R41" s="11" t="n">
        <v>0</v>
      </c>
      <c r="S41" s="10">
        <f>M41-(R41*K41)</f>
        <v/>
      </c>
      <c r="T41" s="12">
        <f>VLOOKUP(E41,Dim_Product!$A$2:$Q$61,3,FALSE)</f>
        <v/>
      </c>
      <c r="U41" s="12">
        <f>VLOOKUP(E41,Dim_Product!$A$2:$Q$61,4,FALSE)</f>
        <v/>
      </c>
      <c r="V41" s="12">
        <f>VLOOKUP(D41,Dim_Customer!$A$2:$I$121,6,FALSE)</f>
        <v/>
      </c>
      <c r="W41" s="12">
        <f>VLOOKUP(G41,Dim_Channel!$A$2:$B$5,2,FALSE)</f>
        <v/>
      </c>
      <c r="X41" s="12">
        <f>VLOOKUP(H41,Dim_Promotion!$A$2:$G$11,2,FALSE)</f>
        <v/>
      </c>
    </row>
    <row r="42">
      <c r="A42" s="4" t="inlineStr">
        <is>
          <t>SL0041</t>
        </is>
      </c>
      <c r="B42" t="inlineStr">
        <is>
          <t>O010021</t>
        </is>
      </c>
      <c r="C42" t="n">
        <v>20250912</v>
      </c>
      <c r="D42" s="4" t="inlineStr">
        <is>
          <t>C016</t>
        </is>
      </c>
      <c r="E42" s="4" t="inlineStr">
        <is>
          <t>P010</t>
        </is>
      </c>
      <c r="F42" t="inlineStr">
        <is>
          <t>L</t>
        </is>
      </c>
      <c r="G42" s="4" t="inlineStr">
        <is>
          <t>CH03</t>
        </is>
      </c>
      <c r="H42" s="4" t="inlineStr">
        <is>
          <t>PR00</t>
        </is>
      </c>
      <c r="I42" s="8" t="n">
        <v>46</v>
      </c>
      <c r="J42" s="9" t="n">
        <v>0</v>
      </c>
      <c r="K42" s="10">
        <f>I42*(1-J42)</f>
        <v/>
      </c>
      <c r="L42" s="11" t="n">
        <v>2</v>
      </c>
      <c r="M42" s="10">
        <f>K42*L42</f>
        <v/>
      </c>
      <c r="N42" s="8" t="n">
        <v>20.77</v>
      </c>
      <c r="O42" s="10">
        <f>N42*L42</f>
        <v/>
      </c>
      <c r="P42" s="10">
        <f>M42-O42</f>
        <v/>
      </c>
      <c r="Q42" s="11" t="inlineStr">
        <is>
          <t>No</t>
        </is>
      </c>
      <c r="R42" s="11" t="n">
        <v>0</v>
      </c>
      <c r="S42" s="10">
        <f>M42-(R42*K42)</f>
        <v/>
      </c>
      <c r="T42" s="12">
        <f>VLOOKUP(E42,Dim_Product!$A$2:$Q$61,3,FALSE)</f>
        <v/>
      </c>
      <c r="U42" s="12">
        <f>VLOOKUP(E42,Dim_Product!$A$2:$Q$61,4,FALSE)</f>
        <v/>
      </c>
      <c r="V42" s="12">
        <f>VLOOKUP(D42,Dim_Customer!$A$2:$I$121,6,FALSE)</f>
        <v/>
      </c>
      <c r="W42" s="12">
        <f>VLOOKUP(G42,Dim_Channel!$A$2:$B$5,2,FALSE)</f>
        <v/>
      </c>
      <c r="X42" s="12">
        <f>VLOOKUP(H42,Dim_Promotion!$A$2:$G$11,2,FALSE)</f>
        <v/>
      </c>
    </row>
    <row r="43">
      <c r="A43" s="4" t="inlineStr">
        <is>
          <t>SL0042</t>
        </is>
      </c>
      <c r="B43" t="inlineStr">
        <is>
          <t>O010021</t>
        </is>
      </c>
      <c r="C43" t="n">
        <v>20251014</v>
      </c>
      <c r="D43" s="4" t="inlineStr">
        <is>
          <t>C069</t>
        </is>
      </c>
      <c r="E43" s="4" t="inlineStr">
        <is>
          <t>P021</t>
        </is>
      </c>
      <c r="F43" t="inlineStr">
        <is>
          <t>L</t>
        </is>
      </c>
      <c r="G43" s="4" t="inlineStr">
        <is>
          <t>CH01</t>
        </is>
      </c>
      <c r="H43" s="4" t="inlineStr">
        <is>
          <t>PR00</t>
        </is>
      </c>
      <c r="I43" s="8" t="n">
        <v>52</v>
      </c>
      <c r="J43" s="9" t="n">
        <v>0</v>
      </c>
      <c r="K43" s="10">
        <f>I43*(1-J43)</f>
        <v/>
      </c>
      <c r="L43" s="11" t="n">
        <v>1</v>
      </c>
      <c r="M43" s="10">
        <f>K43*L43</f>
        <v/>
      </c>
      <c r="N43" s="8" t="n">
        <v>28.55</v>
      </c>
      <c r="O43" s="10">
        <f>N43*L43</f>
        <v/>
      </c>
      <c r="P43" s="10">
        <f>M43-O43</f>
        <v/>
      </c>
      <c r="Q43" s="11" t="inlineStr">
        <is>
          <t>No</t>
        </is>
      </c>
      <c r="R43" s="11" t="n">
        <v>0</v>
      </c>
      <c r="S43" s="10">
        <f>M43-(R43*K43)</f>
        <v/>
      </c>
      <c r="T43" s="12">
        <f>VLOOKUP(E43,Dim_Product!$A$2:$Q$61,3,FALSE)</f>
        <v/>
      </c>
      <c r="U43" s="12">
        <f>VLOOKUP(E43,Dim_Product!$A$2:$Q$61,4,FALSE)</f>
        <v/>
      </c>
      <c r="V43" s="12">
        <f>VLOOKUP(D43,Dim_Customer!$A$2:$I$121,6,FALSE)</f>
        <v/>
      </c>
      <c r="W43" s="12">
        <f>VLOOKUP(G43,Dim_Channel!$A$2:$B$5,2,FALSE)</f>
        <v/>
      </c>
      <c r="X43" s="12">
        <f>VLOOKUP(H43,Dim_Promotion!$A$2:$G$11,2,FALSE)</f>
        <v/>
      </c>
    </row>
    <row r="44">
      <c r="A44" s="4" t="inlineStr">
        <is>
          <t>SL0043</t>
        </is>
      </c>
      <c r="B44" t="inlineStr">
        <is>
          <t>O010022</t>
        </is>
      </c>
      <c r="C44" t="n">
        <v>20251229</v>
      </c>
      <c r="D44" s="4" t="inlineStr">
        <is>
          <t>C003</t>
        </is>
      </c>
      <c r="E44" s="4" t="inlineStr">
        <is>
          <t>P013</t>
        </is>
      </c>
      <c r="F44" t="inlineStr">
        <is>
          <t>L</t>
        </is>
      </c>
      <c r="G44" s="4" t="inlineStr">
        <is>
          <t>CH03</t>
        </is>
      </c>
      <c r="H44" s="4" t="inlineStr">
        <is>
          <t>PR00</t>
        </is>
      </c>
      <c r="I44" s="8" t="n">
        <v>58</v>
      </c>
      <c r="J44" s="9" t="n">
        <v>0</v>
      </c>
      <c r="K44" s="10">
        <f>I44*(1-J44)</f>
        <v/>
      </c>
      <c r="L44" s="11" t="n">
        <v>1</v>
      </c>
      <c r="M44" s="10">
        <f>K44*L44</f>
        <v/>
      </c>
      <c r="N44" s="8" t="n">
        <v>25.55</v>
      </c>
      <c r="O44" s="10">
        <f>N44*L44</f>
        <v/>
      </c>
      <c r="P44" s="10">
        <f>M44-O44</f>
        <v/>
      </c>
      <c r="Q44" s="11" t="inlineStr">
        <is>
          <t>No</t>
        </is>
      </c>
      <c r="R44" s="11" t="n">
        <v>0</v>
      </c>
      <c r="S44" s="10">
        <f>M44-(R44*K44)</f>
        <v/>
      </c>
      <c r="T44" s="12">
        <f>VLOOKUP(E44,Dim_Product!$A$2:$Q$61,3,FALSE)</f>
        <v/>
      </c>
      <c r="U44" s="12">
        <f>VLOOKUP(E44,Dim_Product!$A$2:$Q$61,4,FALSE)</f>
        <v/>
      </c>
      <c r="V44" s="12">
        <f>VLOOKUP(D44,Dim_Customer!$A$2:$I$121,6,FALSE)</f>
        <v/>
      </c>
      <c r="W44" s="12">
        <f>VLOOKUP(G44,Dim_Channel!$A$2:$B$5,2,FALSE)</f>
        <v/>
      </c>
      <c r="X44" s="12">
        <f>VLOOKUP(H44,Dim_Promotion!$A$2:$G$11,2,FALSE)</f>
        <v/>
      </c>
    </row>
    <row r="45">
      <c r="A45" s="4" t="inlineStr">
        <is>
          <t>SL0044</t>
        </is>
      </c>
      <c r="B45" t="inlineStr">
        <is>
          <t>O010022</t>
        </is>
      </c>
      <c r="C45" t="n">
        <v>20250725</v>
      </c>
      <c r="D45" s="4" t="inlineStr">
        <is>
          <t>C111</t>
        </is>
      </c>
      <c r="E45" s="4" t="inlineStr">
        <is>
          <t>P046</t>
        </is>
      </c>
      <c r="F45" t="inlineStr">
        <is>
          <t>XL</t>
        </is>
      </c>
      <c r="G45" s="4" t="inlineStr">
        <is>
          <t>CH02</t>
        </is>
      </c>
      <c r="H45" s="4" t="inlineStr">
        <is>
          <t>PR00</t>
        </is>
      </c>
      <c r="I45" s="8" t="n">
        <v>68</v>
      </c>
      <c r="J45" s="9" t="n">
        <v>0</v>
      </c>
      <c r="K45" s="10">
        <f>I45*(1-J45)</f>
        <v/>
      </c>
      <c r="L45" s="11" t="n">
        <v>1</v>
      </c>
      <c r="M45" s="10">
        <f>K45*L45</f>
        <v/>
      </c>
      <c r="N45" s="8" t="n">
        <v>33.52</v>
      </c>
      <c r="O45" s="10">
        <f>N45*L45</f>
        <v/>
      </c>
      <c r="P45" s="10">
        <f>M45-O45</f>
        <v/>
      </c>
      <c r="Q45" s="11" t="inlineStr">
        <is>
          <t>No</t>
        </is>
      </c>
      <c r="R45" s="11" t="n">
        <v>0</v>
      </c>
      <c r="S45" s="10">
        <f>M45-(R45*K45)</f>
        <v/>
      </c>
      <c r="T45" s="12">
        <f>VLOOKUP(E45,Dim_Product!$A$2:$Q$61,3,FALSE)</f>
        <v/>
      </c>
      <c r="U45" s="12">
        <f>VLOOKUP(E45,Dim_Product!$A$2:$Q$61,4,FALSE)</f>
        <v/>
      </c>
      <c r="V45" s="12">
        <f>VLOOKUP(D45,Dim_Customer!$A$2:$I$121,6,FALSE)</f>
        <v/>
      </c>
      <c r="W45" s="12">
        <f>VLOOKUP(G45,Dim_Channel!$A$2:$B$5,2,FALSE)</f>
        <v/>
      </c>
      <c r="X45" s="12">
        <f>VLOOKUP(H45,Dim_Promotion!$A$2:$G$11,2,FALSE)</f>
        <v/>
      </c>
    </row>
    <row r="46">
      <c r="A46" s="4" t="inlineStr">
        <is>
          <t>SL0045</t>
        </is>
      </c>
      <c r="B46" t="inlineStr">
        <is>
          <t>O010023</t>
        </is>
      </c>
      <c r="C46" t="n">
        <v>20250510</v>
      </c>
      <c r="D46" s="4" t="inlineStr">
        <is>
          <t>C113</t>
        </is>
      </c>
      <c r="E46" s="4" t="inlineStr">
        <is>
          <t>P008</t>
        </is>
      </c>
      <c r="F46" t="inlineStr">
        <is>
          <t>M</t>
        </is>
      </c>
      <c r="G46" s="4" t="inlineStr">
        <is>
          <t>CH01</t>
        </is>
      </c>
      <c r="H46" s="4" t="inlineStr">
        <is>
          <t>PR00</t>
        </is>
      </c>
      <c r="I46" s="8" t="n">
        <v>52</v>
      </c>
      <c r="J46" s="9" t="n">
        <v>0</v>
      </c>
      <c r="K46" s="10">
        <f>I46*(1-J46)</f>
        <v/>
      </c>
      <c r="L46" s="11" t="n">
        <v>1</v>
      </c>
      <c r="M46" s="10">
        <f>K46*L46</f>
        <v/>
      </c>
      <c r="N46" s="8" t="n">
        <v>23.13</v>
      </c>
      <c r="O46" s="10">
        <f>N46*L46</f>
        <v/>
      </c>
      <c r="P46" s="10">
        <f>M46-O46</f>
        <v/>
      </c>
      <c r="Q46" s="11" t="inlineStr">
        <is>
          <t>No</t>
        </is>
      </c>
      <c r="R46" s="11" t="n">
        <v>0</v>
      </c>
      <c r="S46" s="10">
        <f>M46-(R46*K46)</f>
        <v/>
      </c>
      <c r="T46" s="12">
        <f>VLOOKUP(E46,Dim_Product!$A$2:$Q$61,3,FALSE)</f>
        <v/>
      </c>
      <c r="U46" s="12">
        <f>VLOOKUP(E46,Dim_Product!$A$2:$Q$61,4,FALSE)</f>
        <v/>
      </c>
      <c r="V46" s="12">
        <f>VLOOKUP(D46,Dim_Customer!$A$2:$I$121,6,FALSE)</f>
        <v/>
      </c>
      <c r="W46" s="12">
        <f>VLOOKUP(G46,Dim_Channel!$A$2:$B$5,2,FALSE)</f>
        <v/>
      </c>
      <c r="X46" s="12">
        <f>VLOOKUP(H46,Dim_Promotion!$A$2:$G$11,2,FALSE)</f>
        <v/>
      </c>
    </row>
    <row r="47">
      <c r="A47" s="4" t="inlineStr">
        <is>
          <t>SL0046</t>
        </is>
      </c>
      <c r="B47" t="inlineStr">
        <is>
          <t>O010023</t>
        </is>
      </c>
      <c r="C47" t="n">
        <v>20251221</v>
      </c>
      <c r="D47" s="4" t="inlineStr">
        <is>
          <t>C086</t>
        </is>
      </c>
      <c r="E47" s="4" t="inlineStr">
        <is>
          <t>P021</t>
        </is>
      </c>
      <c r="F47" t="inlineStr">
        <is>
          <t>L</t>
        </is>
      </c>
      <c r="G47" s="4" t="inlineStr">
        <is>
          <t>CH03</t>
        </is>
      </c>
      <c r="H47" s="4" t="inlineStr">
        <is>
          <t>PR00</t>
        </is>
      </c>
      <c r="I47" s="8" t="n">
        <v>54</v>
      </c>
      <c r="J47" s="9" t="n">
        <v>0</v>
      </c>
      <c r="K47" s="10">
        <f>I47*(1-J47)</f>
        <v/>
      </c>
      <c r="L47" s="11" t="n">
        <v>2</v>
      </c>
      <c r="M47" s="10">
        <f>K47*L47</f>
        <v/>
      </c>
      <c r="N47" s="8" t="n">
        <v>28.24</v>
      </c>
      <c r="O47" s="10">
        <f>N47*L47</f>
        <v/>
      </c>
      <c r="P47" s="10">
        <f>M47-O47</f>
        <v/>
      </c>
      <c r="Q47" s="11" t="inlineStr">
        <is>
          <t>No</t>
        </is>
      </c>
      <c r="R47" s="11" t="n">
        <v>0</v>
      </c>
      <c r="S47" s="10">
        <f>M47-(R47*K47)</f>
        <v/>
      </c>
      <c r="T47" s="12">
        <f>VLOOKUP(E47,Dim_Product!$A$2:$Q$61,3,FALSE)</f>
        <v/>
      </c>
      <c r="U47" s="12">
        <f>VLOOKUP(E47,Dim_Product!$A$2:$Q$61,4,FALSE)</f>
        <v/>
      </c>
      <c r="V47" s="12">
        <f>VLOOKUP(D47,Dim_Customer!$A$2:$I$121,6,FALSE)</f>
        <v/>
      </c>
      <c r="W47" s="12">
        <f>VLOOKUP(G47,Dim_Channel!$A$2:$B$5,2,FALSE)</f>
        <v/>
      </c>
      <c r="X47" s="12">
        <f>VLOOKUP(H47,Dim_Promotion!$A$2:$G$11,2,FALSE)</f>
        <v/>
      </c>
    </row>
    <row r="48">
      <c r="A48" s="4" t="inlineStr">
        <is>
          <t>SL0047</t>
        </is>
      </c>
      <c r="B48" t="inlineStr">
        <is>
          <t>O010024</t>
        </is>
      </c>
      <c r="C48" t="n">
        <v>20250523</v>
      </c>
      <c r="D48" s="4" t="inlineStr">
        <is>
          <t>C019</t>
        </is>
      </c>
      <c r="E48" s="4" t="inlineStr">
        <is>
          <t>P047</t>
        </is>
      </c>
      <c r="F48" t="inlineStr">
        <is>
          <t>M</t>
        </is>
      </c>
      <c r="G48" s="4" t="inlineStr">
        <is>
          <t>CH04</t>
        </is>
      </c>
      <c r="H48" s="4" t="inlineStr">
        <is>
          <t>PR00</t>
        </is>
      </c>
      <c r="I48" s="8" t="n">
        <v>72</v>
      </c>
      <c r="J48" s="9" t="n">
        <v>0</v>
      </c>
      <c r="K48" s="10">
        <f>I48*(1-J48)</f>
        <v/>
      </c>
      <c r="L48" s="11" t="n">
        <v>1</v>
      </c>
      <c r="M48" s="10">
        <f>K48*L48</f>
        <v/>
      </c>
      <c r="N48" s="8" t="n">
        <v>30.99</v>
      </c>
      <c r="O48" s="10">
        <f>N48*L48</f>
        <v/>
      </c>
      <c r="P48" s="10">
        <f>M48-O48</f>
        <v/>
      </c>
      <c r="Q48" s="11" t="inlineStr">
        <is>
          <t>No</t>
        </is>
      </c>
      <c r="R48" s="11" t="n">
        <v>0</v>
      </c>
      <c r="S48" s="10">
        <f>M48-(R48*K48)</f>
        <v/>
      </c>
      <c r="T48" s="12">
        <f>VLOOKUP(E48,Dim_Product!$A$2:$Q$61,3,FALSE)</f>
        <v/>
      </c>
      <c r="U48" s="12">
        <f>VLOOKUP(E48,Dim_Product!$A$2:$Q$61,4,FALSE)</f>
        <v/>
      </c>
      <c r="V48" s="12">
        <f>VLOOKUP(D48,Dim_Customer!$A$2:$I$121,6,FALSE)</f>
        <v/>
      </c>
      <c r="W48" s="12">
        <f>VLOOKUP(G48,Dim_Channel!$A$2:$B$5,2,FALSE)</f>
        <v/>
      </c>
      <c r="X48" s="12">
        <f>VLOOKUP(H48,Dim_Promotion!$A$2:$G$11,2,FALSE)</f>
        <v/>
      </c>
    </row>
    <row r="49">
      <c r="A49" s="4" t="inlineStr">
        <is>
          <t>SL0048</t>
        </is>
      </c>
      <c r="B49" t="inlineStr">
        <is>
          <t>O010024</t>
        </is>
      </c>
      <c r="C49" t="n">
        <v>20250612</v>
      </c>
      <c r="D49" s="4" t="inlineStr">
        <is>
          <t>C012</t>
        </is>
      </c>
      <c r="E49" s="4" t="inlineStr">
        <is>
          <t>P003</t>
        </is>
      </c>
      <c r="F49" t="inlineStr">
        <is>
          <t>L</t>
        </is>
      </c>
      <c r="G49" s="4" t="inlineStr">
        <is>
          <t>CH01</t>
        </is>
      </c>
      <c r="H49" s="4" t="inlineStr">
        <is>
          <t>PR00</t>
        </is>
      </c>
      <c r="I49" s="8" t="n">
        <v>44</v>
      </c>
      <c r="J49" s="9" t="n">
        <v>0</v>
      </c>
      <c r="K49" s="10">
        <f>I49*(1-J49)</f>
        <v/>
      </c>
      <c r="L49" s="11" t="n">
        <v>2</v>
      </c>
      <c r="M49" s="10">
        <f>K49*L49</f>
        <v/>
      </c>
      <c r="N49" s="8" t="n">
        <v>20.27</v>
      </c>
      <c r="O49" s="10">
        <f>N49*L49</f>
        <v/>
      </c>
      <c r="P49" s="10">
        <f>M49-O49</f>
        <v/>
      </c>
      <c r="Q49" s="11" t="inlineStr">
        <is>
          <t>No</t>
        </is>
      </c>
      <c r="R49" s="11" t="n">
        <v>0</v>
      </c>
      <c r="S49" s="10">
        <f>M49-(R49*K49)</f>
        <v/>
      </c>
      <c r="T49" s="12">
        <f>VLOOKUP(E49,Dim_Product!$A$2:$Q$61,3,FALSE)</f>
        <v/>
      </c>
      <c r="U49" s="12">
        <f>VLOOKUP(E49,Dim_Product!$A$2:$Q$61,4,FALSE)</f>
        <v/>
      </c>
      <c r="V49" s="12">
        <f>VLOOKUP(D49,Dim_Customer!$A$2:$I$121,6,FALSE)</f>
        <v/>
      </c>
      <c r="W49" s="12">
        <f>VLOOKUP(G49,Dim_Channel!$A$2:$B$5,2,FALSE)</f>
        <v/>
      </c>
      <c r="X49" s="12">
        <f>VLOOKUP(H49,Dim_Promotion!$A$2:$G$11,2,FALSE)</f>
        <v/>
      </c>
    </row>
    <row r="50">
      <c r="A50" s="4" t="inlineStr">
        <is>
          <t>SL0049</t>
        </is>
      </c>
      <c r="B50" t="inlineStr">
        <is>
          <t>O010025</t>
        </is>
      </c>
      <c r="C50" t="n">
        <v>20251111</v>
      </c>
      <c r="D50" s="4" t="inlineStr">
        <is>
          <t>C039</t>
        </is>
      </c>
      <c r="E50" s="4" t="inlineStr">
        <is>
          <t>P058</t>
        </is>
      </c>
      <c r="F50" t="inlineStr">
        <is>
          <t>XL</t>
        </is>
      </c>
      <c r="G50" s="4" t="inlineStr">
        <is>
          <t>CH04</t>
        </is>
      </c>
      <c r="H50" s="4" t="inlineStr">
        <is>
          <t>PR00</t>
        </is>
      </c>
      <c r="I50" s="8" t="n">
        <v>75</v>
      </c>
      <c r="J50" s="9" t="n">
        <v>0</v>
      </c>
      <c r="K50" s="10">
        <f>I50*(1-J50)</f>
        <v/>
      </c>
      <c r="L50" s="11" t="n">
        <v>2</v>
      </c>
      <c r="M50" s="10">
        <f>K50*L50</f>
        <v/>
      </c>
      <c r="N50" s="8" t="n">
        <v>36.78</v>
      </c>
      <c r="O50" s="10">
        <f>N50*L50</f>
        <v/>
      </c>
      <c r="P50" s="10">
        <f>M50-O50</f>
        <v/>
      </c>
      <c r="Q50" s="11" t="inlineStr">
        <is>
          <t>No</t>
        </is>
      </c>
      <c r="R50" s="11" t="n">
        <v>0</v>
      </c>
      <c r="S50" s="10">
        <f>M50-(R50*K50)</f>
        <v/>
      </c>
      <c r="T50" s="12">
        <f>VLOOKUP(E50,Dim_Product!$A$2:$Q$61,3,FALSE)</f>
        <v/>
      </c>
      <c r="U50" s="12">
        <f>VLOOKUP(E50,Dim_Product!$A$2:$Q$61,4,FALSE)</f>
        <v/>
      </c>
      <c r="V50" s="12">
        <f>VLOOKUP(D50,Dim_Customer!$A$2:$I$121,6,FALSE)</f>
        <v/>
      </c>
      <c r="W50" s="12">
        <f>VLOOKUP(G50,Dim_Channel!$A$2:$B$5,2,FALSE)</f>
        <v/>
      </c>
      <c r="X50" s="12">
        <f>VLOOKUP(H50,Dim_Promotion!$A$2:$G$11,2,FALSE)</f>
        <v/>
      </c>
    </row>
    <row r="51">
      <c r="A51" s="4" t="inlineStr">
        <is>
          <t>SL0050</t>
        </is>
      </c>
      <c r="B51" t="inlineStr">
        <is>
          <t>O010025</t>
        </is>
      </c>
      <c r="C51" t="n">
        <v>20250608</v>
      </c>
      <c r="D51" s="4" t="inlineStr">
        <is>
          <t>C071</t>
        </is>
      </c>
      <c r="E51" s="4" t="inlineStr">
        <is>
          <t>P018</t>
        </is>
      </c>
      <c r="F51" t="inlineStr">
        <is>
          <t>M</t>
        </is>
      </c>
      <c r="G51" s="4" t="inlineStr">
        <is>
          <t>CH04</t>
        </is>
      </c>
      <c r="H51" s="4" t="inlineStr">
        <is>
          <t>PR00</t>
        </is>
      </c>
      <c r="I51" s="8" t="n">
        <v>65</v>
      </c>
      <c r="J51" s="9" t="n">
        <v>0</v>
      </c>
      <c r="K51" s="10">
        <f>I51*(1-J51)</f>
        <v/>
      </c>
      <c r="L51" s="11" t="n">
        <v>1</v>
      </c>
      <c r="M51" s="10">
        <f>K51*L51</f>
        <v/>
      </c>
      <c r="N51" s="8" t="n">
        <v>31.87</v>
      </c>
      <c r="O51" s="10">
        <f>N51*L51</f>
        <v/>
      </c>
      <c r="P51" s="10">
        <f>M51-O51</f>
        <v/>
      </c>
      <c r="Q51" s="11" t="inlineStr">
        <is>
          <t>No</t>
        </is>
      </c>
      <c r="R51" s="11" t="n">
        <v>0</v>
      </c>
      <c r="S51" s="10">
        <f>M51-(R51*K51)</f>
        <v/>
      </c>
      <c r="T51" s="12">
        <f>VLOOKUP(E51,Dim_Product!$A$2:$Q$61,3,FALSE)</f>
        <v/>
      </c>
      <c r="U51" s="12">
        <f>VLOOKUP(E51,Dim_Product!$A$2:$Q$61,4,FALSE)</f>
        <v/>
      </c>
      <c r="V51" s="12">
        <f>VLOOKUP(D51,Dim_Customer!$A$2:$I$121,6,FALSE)</f>
        <v/>
      </c>
      <c r="W51" s="12">
        <f>VLOOKUP(G51,Dim_Channel!$A$2:$B$5,2,FALSE)</f>
        <v/>
      </c>
      <c r="X51" s="12">
        <f>VLOOKUP(H51,Dim_Promotion!$A$2:$G$11,2,FALSE)</f>
        <v/>
      </c>
    </row>
    <row r="52">
      <c r="A52" s="4" t="inlineStr">
        <is>
          <t>SL0051</t>
        </is>
      </c>
      <c r="B52" t="inlineStr">
        <is>
          <t>O010026</t>
        </is>
      </c>
      <c r="C52" t="n">
        <v>20251011</v>
      </c>
      <c r="D52" s="4" t="inlineStr">
        <is>
          <t>C118</t>
        </is>
      </c>
      <c r="E52" s="4" t="inlineStr">
        <is>
          <t>P011</t>
        </is>
      </c>
      <c r="F52" t="inlineStr">
        <is>
          <t>S</t>
        </is>
      </c>
      <c r="G52" s="4" t="inlineStr">
        <is>
          <t>CH04</t>
        </is>
      </c>
      <c r="H52" s="4" t="inlineStr">
        <is>
          <t>PR00</t>
        </is>
      </c>
      <c r="I52" s="8" t="n">
        <v>46</v>
      </c>
      <c r="J52" s="9" t="n">
        <v>0.08</v>
      </c>
      <c r="K52" s="10">
        <f>I52*(1-J52)</f>
        <v/>
      </c>
      <c r="L52" s="11" t="n">
        <v>1</v>
      </c>
      <c r="M52" s="10">
        <f>K52*L52</f>
        <v/>
      </c>
      <c r="N52" s="8" t="n">
        <v>20</v>
      </c>
      <c r="O52" s="10">
        <f>N52*L52</f>
        <v/>
      </c>
      <c r="P52" s="10">
        <f>M52-O52</f>
        <v/>
      </c>
      <c r="Q52" s="11" t="inlineStr">
        <is>
          <t>No</t>
        </is>
      </c>
      <c r="R52" s="11" t="n">
        <v>0</v>
      </c>
      <c r="S52" s="10">
        <f>M52-(R52*K52)</f>
        <v/>
      </c>
      <c r="T52" s="12">
        <f>VLOOKUP(E52,Dim_Product!$A$2:$Q$61,3,FALSE)</f>
        <v/>
      </c>
      <c r="U52" s="12">
        <f>VLOOKUP(E52,Dim_Product!$A$2:$Q$61,4,FALSE)</f>
        <v/>
      </c>
      <c r="V52" s="12">
        <f>VLOOKUP(D52,Dim_Customer!$A$2:$I$121,6,FALSE)</f>
        <v/>
      </c>
      <c r="W52" s="12">
        <f>VLOOKUP(G52,Dim_Channel!$A$2:$B$5,2,FALSE)</f>
        <v/>
      </c>
      <c r="X52" s="12">
        <f>VLOOKUP(H52,Dim_Promotion!$A$2:$G$11,2,FALSE)</f>
        <v/>
      </c>
    </row>
    <row r="53">
      <c r="A53" s="4" t="inlineStr">
        <is>
          <t>SL0052</t>
        </is>
      </c>
      <c r="B53" t="inlineStr">
        <is>
          <t>O010026</t>
        </is>
      </c>
      <c r="C53" t="n">
        <v>20251116</v>
      </c>
      <c r="D53" s="4" t="inlineStr">
        <is>
          <t>C071</t>
        </is>
      </c>
      <c r="E53" s="4" t="inlineStr">
        <is>
          <t>P058</t>
        </is>
      </c>
      <c r="F53" t="inlineStr">
        <is>
          <t>L</t>
        </is>
      </c>
      <c r="G53" s="4" t="inlineStr">
        <is>
          <t>CH02</t>
        </is>
      </c>
      <c r="H53" s="4" t="inlineStr">
        <is>
          <t>PR00</t>
        </is>
      </c>
      <c r="I53" s="8" t="n">
        <v>74</v>
      </c>
      <c r="J53" s="9" t="n">
        <v>0</v>
      </c>
      <c r="K53" s="10">
        <f>I53*(1-J53)</f>
        <v/>
      </c>
      <c r="L53" s="11" t="n">
        <v>1</v>
      </c>
      <c r="M53" s="10">
        <f>K53*L53</f>
        <v/>
      </c>
      <c r="N53" s="8" t="n">
        <v>36.46</v>
      </c>
      <c r="O53" s="10">
        <f>N53*L53</f>
        <v/>
      </c>
      <c r="P53" s="10">
        <f>M53-O53</f>
        <v/>
      </c>
      <c r="Q53" s="11" t="inlineStr">
        <is>
          <t>No</t>
        </is>
      </c>
      <c r="R53" s="11" t="n">
        <v>0</v>
      </c>
      <c r="S53" s="10">
        <f>M53-(R53*K53)</f>
        <v/>
      </c>
      <c r="T53" s="12">
        <f>VLOOKUP(E53,Dim_Product!$A$2:$Q$61,3,FALSE)</f>
        <v/>
      </c>
      <c r="U53" s="12">
        <f>VLOOKUP(E53,Dim_Product!$A$2:$Q$61,4,FALSE)</f>
        <v/>
      </c>
      <c r="V53" s="12">
        <f>VLOOKUP(D53,Dim_Customer!$A$2:$I$121,6,FALSE)</f>
        <v/>
      </c>
      <c r="W53" s="12">
        <f>VLOOKUP(G53,Dim_Channel!$A$2:$B$5,2,FALSE)</f>
        <v/>
      </c>
      <c r="X53" s="12">
        <f>VLOOKUP(H53,Dim_Promotion!$A$2:$G$11,2,FALSE)</f>
        <v/>
      </c>
    </row>
    <row r="54">
      <c r="A54" s="4" t="inlineStr">
        <is>
          <t>SL0053</t>
        </is>
      </c>
      <c r="B54" t="inlineStr">
        <is>
          <t>O010027</t>
        </is>
      </c>
      <c r="C54" t="n">
        <v>20251221</v>
      </c>
      <c r="D54" s="4" t="inlineStr">
        <is>
          <t>C008</t>
        </is>
      </c>
      <c r="E54" s="4" t="inlineStr">
        <is>
          <t>P030</t>
        </is>
      </c>
      <c r="F54" t="inlineStr">
        <is>
          <t>XS</t>
        </is>
      </c>
      <c r="G54" s="4" t="inlineStr">
        <is>
          <t>CH03</t>
        </is>
      </c>
      <c r="H54" s="4" t="inlineStr">
        <is>
          <t>PR00</t>
        </is>
      </c>
      <c r="I54" s="8" t="n">
        <v>106</v>
      </c>
      <c r="J54" s="9" t="n">
        <v>0</v>
      </c>
      <c r="K54" s="10">
        <f>I54*(1-J54)</f>
        <v/>
      </c>
      <c r="L54" s="11" t="n">
        <v>1</v>
      </c>
      <c r="M54" s="10">
        <f>K54*L54</f>
        <v/>
      </c>
      <c r="N54" s="8" t="n">
        <v>57.71</v>
      </c>
      <c r="O54" s="10">
        <f>N54*L54</f>
        <v/>
      </c>
      <c r="P54" s="10">
        <f>M54-O54</f>
        <v/>
      </c>
      <c r="Q54" s="11" t="inlineStr">
        <is>
          <t>No</t>
        </is>
      </c>
      <c r="R54" s="11" t="n">
        <v>0</v>
      </c>
      <c r="S54" s="10">
        <f>M54-(R54*K54)</f>
        <v/>
      </c>
      <c r="T54" s="12">
        <f>VLOOKUP(E54,Dim_Product!$A$2:$Q$61,3,FALSE)</f>
        <v/>
      </c>
      <c r="U54" s="12">
        <f>VLOOKUP(E54,Dim_Product!$A$2:$Q$61,4,FALSE)</f>
        <v/>
      </c>
      <c r="V54" s="12">
        <f>VLOOKUP(D54,Dim_Customer!$A$2:$I$121,6,FALSE)</f>
        <v/>
      </c>
      <c r="W54" s="12">
        <f>VLOOKUP(G54,Dim_Channel!$A$2:$B$5,2,FALSE)</f>
        <v/>
      </c>
      <c r="X54" s="12">
        <f>VLOOKUP(H54,Dim_Promotion!$A$2:$G$11,2,FALSE)</f>
        <v/>
      </c>
    </row>
    <row r="55">
      <c r="A55" s="4" t="inlineStr">
        <is>
          <t>SL0054</t>
        </is>
      </c>
      <c r="B55" t="inlineStr">
        <is>
          <t>O010027</t>
        </is>
      </c>
      <c r="C55" t="n">
        <v>20251001</v>
      </c>
      <c r="D55" s="4" t="inlineStr">
        <is>
          <t>C028</t>
        </is>
      </c>
      <c r="E55" s="4" t="inlineStr">
        <is>
          <t>P029</t>
        </is>
      </c>
      <c r="F55" t="inlineStr">
        <is>
          <t>M</t>
        </is>
      </c>
      <c r="G55" s="4" t="inlineStr">
        <is>
          <t>CH02</t>
        </is>
      </c>
      <c r="H55" s="4" t="inlineStr">
        <is>
          <t>PR07</t>
        </is>
      </c>
      <c r="I55" s="8" t="n">
        <v>111</v>
      </c>
      <c r="J55" s="9" t="n">
        <v>0.12</v>
      </c>
      <c r="K55" s="10">
        <f>I55*(1-J55)</f>
        <v/>
      </c>
      <c r="L55" s="11" t="n">
        <v>1</v>
      </c>
      <c r="M55" s="10">
        <f>K55*L55</f>
        <v/>
      </c>
      <c r="N55" s="8" t="n">
        <v>54.93</v>
      </c>
      <c r="O55" s="10">
        <f>N55*L55</f>
        <v/>
      </c>
      <c r="P55" s="10">
        <f>M55-O55</f>
        <v/>
      </c>
      <c r="Q55" s="11" t="inlineStr">
        <is>
          <t>No</t>
        </is>
      </c>
      <c r="R55" s="11" t="n">
        <v>0</v>
      </c>
      <c r="S55" s="10">
        <f>M55-(R55*K55)</f>
        <v/>
      </c>
      <c r="T55" s="12">
        <f>VLOOKUP(E55,Dim_Product!$A$2:$Q$61,3,FALSE)</f>
        <v/>
      </c>
      <c r="U55" s="12">
        <f>VLOOKUP(E55,Dim_Product!$A$2:$Q$61,4,FALSE)</f>
        <v/>
      </c>
      <c r="V55" s="12">
        <f>VLOOKUP(D55,Dim_Customer!$A$2:$I$121,6,FALSE)</f>
        <v/>
      </c>
      <c r="W55" s="12">
        <f>VLOOKUP(G55,Dim_Channel!$A$2:$B$5,2,FALSE)</f>
        <v/>
      </c>
      <c r="X55" s="12">
        <f>VLOOKUP(H55,Dim_Promotion!$A$2:$G$11,2,FALSE)</f>
        <v/>
      </c>
    </row>
    <row r="56">
      <c r="A56" s="4" t="inlineStr">
        <is>
          <t>SL0055</t>
        </is>
      </c>
      <c r="B56" t="inlineStr">
        <is>
          <t>O010028</t>
        </is>
      </c>
      <c r="C56" t="n">
        <v>20250601</v>
      </c>
      <c r="D56" s="4" t="inlineStr">
        <is>
          <t>C068</t>
        </is>
      </c>
      <c r="E56" s="4" t="inlineStr">
        <is>
          <t>P042</t>
        </is>
      </c>
      <c r="F56" t="inlineStr">
        <is>
          <t>S</t>
        </is>
      </c>
      <c r="G56" s="4" t="inlineStr">
        <is>
          <t>CH01</t>
        </is>
      </c>
      <c r="H56" s="4" t="inlineStr">
        <is>
          <t>PR00</t>
        </is>
      </c>
      <c r="I56" s="8" t="n">
        <v>76</v>
      </c>
      <c r="J56" s="9" t="n">
        <v>0</v>
      </c>
      <c r="K56" s="10">
        <f>I56*(1-J56)</f>
        <v/>
      </c>
      <c r="L56" s="11" t="n">
        <v>1</v>
      </c>
      <c r="M56" s="10">
        <f>K56*L56</f>
        <v/>
      </c>
      <c r="N56" s="8" t="n">
        <v>36.47</v>
      </c>
      <c r="O56" s="10">
        <f>N56*L56</f>
        <v/>
      </c>
      <c r="P56" s="10">
        <f>M56-O56</f>
        <v/>
      </c>
      <c r="Q56" s="11" t="inlineStr">
        <is>
          <t>No</t>
        </is>
      </c>
      <c r="R56" s="11" t="n">
        <v>0</v>
      </c>
      <c r="S56" s="10">
        <f>M56-(R56*K56)</f>
        <v/>
      </c>
      <c r="T56" s="12">
        <f>VLOOKUP(E56,Dim_Product!$A$2:$Q$61,3,FALSE)</f>
        <v/>
      </c>
      <c r="U56" s="12">
        <f>VLOOKUP(E56,Dim_Product!$A$2:$Q$61,4,FALSE)</f>
        <v/>
      </c>
      <c r="V56" s="12">
        <f>VLOOKUP(D56,Dim_Customer!$A$2:$I$121,6,FALSE)</f>
        <v/>
      </c>
      <c r="W56" s="12">
        <f>VLOOKUP(G56,Dim_Channel!$A$2:$B$5,2,FALSE)</f>
        <v/>
      </c>
      <c r="X56" s="12">
        <f>VLOOKUP(H56,Dim_Promotion!$A$2:$G$11,2,FALSE)</f>
        <v/>
      </c>
    </row>
    <row r="57">
      <c r="A57" s="4" t="inlineStr">
        <is>
          <t>SL0056</t>
        </is>
      </c>
      <c r="B57" t="inlineStr">
        <is>
          <t>O010028</t>
        </is>
      </c>
      <c r="C57" t="n">
        <v>20250317</v>
      </c>
      <c r="D57" s="4" t="inlineStr">
        <is>
          <t>C033</t>
        </is>
      </c>
      <c r="E57" s="4" t="inlineStr">
        <is>
          <t>P048</t>
        </is>
      </c>
      <c r="F57" t="inlineStr">
        <is>
          <t>S</t>
        </is>
      </c>
      <c r="G57" s="4" t="inlineStr">
        <is>
          <t>CH02</t>
        </is>
      </c>
      <c r="H57" s="4" t="inlineStr">
        <is>
          <t>PR00</t>
        </is>
      </c>
      <c r="I57" s="8" t="n">
        <v>70</v>
      </c>
      <c r="J57" s="9" t="n">
        <v>0</v>
      </c>
      <c r="K57" s="10">
        <f>I57*(1-J57)</f>
        <v/>
      </c>
      <c r="L57" s="11" t="n">
        <v>1</v>
      </c>
      <c r="M57" s="10">
        <f>K57*L57</f>
        <v/>
      </c>
      <c r="N57" s="8" t="n">
        <v>33.72</v>
      </c>
      <c r="O57" s="10">
        <f>N57*L57</f>
        <v/>
      </c>
      <c r="P57" s="10">
        <f>M57-O57</f>
        <v/>
      </c>
      <c r="Q57" s="11" t="inlineStr">
        <is>
          <t>No</t>
        </is>
      </c>
      <c r="R57" s="11" t="n">
        <v>0</v>
      </c>
      <c r="S57" s="10">
        <f>M57-(R57*K57)</f>
        <v/>
      </c>
      <c r="T57" s="12">
        <f>VLOOKUP(E57,Dim_Product!$A$2:$Q$61,3,FALSE)</f>
        <v/>
      </c>
      <c r="U57" s="12">
        <f>VLOOKUP(E57,Dim_Product!$A$2:$Q$61,4,FALSE)</f>
        <v/>
      </c>
      <c r="V57" s="12">
        <f>VLOOKUP(D57,Dim_Customer!$A$2:$I$121,6,FALSE)</f>
        <v/>
      </c>
      <c r="W57" s="12">
        <f>VLOOKUP(G57,Dim_Channel!$A$2:$B$5,2,FALSE)</f>
        <v/>
      </c>
      <c r="X57" s="12">
        <f>VLOOKUP(H57,Dim_Promotion!$A$2:$G$11,2,FALSE)</f>
        <v/>
      </c>
    </row>
    <row r="58">
      <c r="A58" s="4" t="inlineStr">
        <is>
          <t>SL0057</t>
        </is>
      </c>
      <c r="B58" t="inlineStr">
        <is>
          <t>O010029</t>
        </is>
      </c>
      <c r="C58" t="n">
        <v>20251103</v>
      </c>
      <c r="D58" s="4" t="inlineStr">
        <is>
          <t>C084</t>
        </is>
      </c>
      <c r="E58" s="4" t="inlineStr">
        <is>
          <t>P060</t>
        </is>
      </c>
      <c r="F58" t="inlineStr">
        <is>
          <t>S</t>
        </is>
      </c>
      <c r="G58" s="4" t="inlineStr">
        <is>
          <t>CH01</t>
        </is>
      </c>
      <c r="H58" s="4" t="inlineStr">
        <is>
          <t>PR00</t>
        </is>
      </c>
      <c r="I58" s="8" t="n">
        <v>70</v>
      </c>
      <c r="J58" s="9" t="n">
        <v>0</v>
      </c>
      <c r="K58" s="10">
        <f>I58*(1-J58)</f>
        <v/>
      </c>
      <c r="L58" s="11" t="n">
        <v>1</v>
      </c>
      <c r="M58" s="10">
        <f>K58*L58</f>
        <v/>
      </c>
      <c r="N58" s="8" t="n">
        <v>35.46</v>
      </c>
      <c r="O58" s="10">
        <f>N58*L58</f>
        <v/>
      </c>
      <c r="P58" s="10">
        <f>M58-O58</f>
        <v/>
      </c>
      <c r="Q58" s="11" t="inlineStr">
        <is>
          <t>No</t>
        </is>
      </c>
      <c r="R58" s="11" t="n">
        <v>0</v>
      </c>
      <c r="S58" s="10">
        <f>M58-(R58*K58)</f>
        <v/>
      </c>
      <c r="T58" s="12">
        <f>VLOOKUP(E58,Dim_Product!$A$2:$Q$61,3,FALSE)</f>
        <v/>
      </c>
      <c r="U58" s="12">
        <f>VLOOKUP(E58,Dim_Product!$A$2:$Q$61,4,FALSE)</f>
        <v/>
      </c>
      <c r="V58" s="12">
        <f>VLOOKUP(D58,Dim_Customer!$A$2:$I$121,6,FALSE)</f>
        <v/>
      </c>
      <c r="W58" s="12">
        <f>VLOOKUP(G58,Dim_Channel!$A$2:$B$5,2,FALSE)</f>
        <v/>
      </c>
      <c r="X58" s="12">
        <f>VLOOKUP(H58,Dim_Promotion!$A$2:$G$11,2,FALSE)</f>
        <v/>
      </c>
    </row>
    <row r="59">
      <c r="A59" s="4" t="inlineStr">
        <is>
          <t>SL0058</t>
        </is>
      </c>
      <c r="B59" t="inlineStr">
        <is>
          <t>O010029</t>
        </is>
      </c>
      <c r="C59" t="n">
        <v>20250911</v>
      </c>
      <c r="D59" s="4" t="inlineStr">
        <is>
          <t>C073</t>
        </is>
      </c>
      <c r="E59" s="4" t="inlineStr">
        <is>
          <t>P053</t>
        </is>
      </c>
      <c r="F59" t="inlineStr">
        <is>
          <t>S</t>
        </is>
      </c>
      <c r="G59" s="4" t="inlineStr">
        <is>
          <t>CH04</t>
        </is>
      </c>
      <c r="H59" s="4" t="inlineStr">
        <is>
          <t>PR00</t>
        </is>
      </c>
      <c r="I59" s="8" t="n">
        <v>74</v>
      </c>
      <c r="J59" s="9" t="n">
        <v>0</v>
      </c>
      <c r="K59" s="10">
        <f>I59*(1-J59)</f>
        <v/>
      </c>
      <c r="L59" s="11" t="n">
        <v>1</v>
      </c>
      <c r="M59" s="10">
        <f>K59*L59</f>
        <v/>
      </c>
      <c r="N59" s="8" t="n">
        <v>33.47</v>
      </c>
      <c r="O59" s="10">
        <f>N59*L59</f>
        <v/>
      </c>
      <c r="P59" s="10">
        <f>M59-O59</f>
        <v/>
      </c>
      <c r="Q59" s="11" t="inlineStr">
        <is>
          <t>No</t>
        </is>
      </c>
      <c r="R59" s="11" t="n">
        <v>0</v>
      </c>
      <c r="S59" s="10">
        <f>M59-(R59*K59)</f>
        <v/>
      </c>
      <c r="T59" s="12">
        <f>VLOOKUP(E59,Dim_Product!$A$2:$Q$61,3,FALSE)</f>
        <v/>
      </c>
      <c r="U59" s="12">
        <f>VLOOKUP(E59,Dim_Product!$A$2:$Q$61,4,FALSE)</f>
        <v/>
      </c>
      <c r="V59" s="12">
        <f>VLOOKUP(D59,Dim_Customer!$A$2:$I$121,6,FALSE)</f>
        <v/>
      </c>
      <c r="W59" s="12">
        <f>VLOOKUP(G59,Dim_Channel!$A$2:$B$5,2,FALSE)</f>
        <v/>
      </c>
      <c r="X59" s="12">
        <f>VLOOKUP(H59,Dim_Promotion!$A$2:$G$11,2,FALSE)</f>
        <v/>
      </c>
    </row>
    <row r="60">
      <c r="A60" s="4" t="inlineStr">
        <is>
          <t>SL0059</t>
        </is>
      </c>
      <c r="B60" t="inlineStr">
        <is>
          <t>O010030</t>
        </is>
      </c>
      <c r="C60" t="n">
        <v>20251219</v>
      </c>
      <c r="D60" s="4" t="inlineStr">
        <is>
          <t>C085</t>
        </is>
      </c>
      <c r="E60" s="4" t="inlineStr">
        <is>
          <t>P042</t>
        </is>
      </c>
      <c r="F60" t="inlineStr">
        <is>
          <t>XS</t>
        </is>
      </c>
      <c r="G60" s="4" t="inlineStr">
        <is>
          <t>CH02</t>
        </is>
      </c>
      <c r="H60" s="4" t="inlineStr">
        <is>
          <t>PR00</t>
        </is>
      </c>
      <c r="I60" s="8" t="n">
        <v>77</v>
      </c>
      <c r="J60" s="9" t="n">
        <v>0</v>
      </c>
      <c r="K60" s="10">
        <f>I60*(1-J60)</f>
        <v/>
      </c>
      <c r="L60" s="11" t="n">
        <v>1</v>
      </c>
      <c r="M60" s="10">
        <f>K60*L60</f>
        <v/>
      </c>
      <c r="N60" s="8" t="n">
        <v>37.46</v>
      </c>
      <c r="O60" s="10">
        <f>N60*L60</f>
        <v/>
      </c>
      <c r="P60" s="10">
        <f>M60-O60</f>
        <v/>
      </c>
      <c r="Q60" s="11" t="inlineStr">
        <is>
          <t>No</t>
        </is>
      </c>
      <c r="R60" s="11" t="n">
        <v>0</v>
      </c>
      <c r="S60" s="10">
        <f>M60-(R60*K60)</f>
        <v/>
      </c>
      <c r="T60" s="12">
        <f>VLOOKUP(E60,Dim_Product!$A$2:$Q$61,3,FALSE)</f>
        <v/>
      </c>
      <c r="U60" s="12">
        <f>VLOOKUP(E60,Dim_Product!$A$2:$Q$61,4,FALSE)</f>
        <v/>
      </c>
      <c r="V60" s="12">
        <f>VLOOKUP(D60,Dim_Customer!$A$2:$I$121,6,FALSE)</f>
        <v/>
      </c>
      <c r="W60" s="12">
        <f>VLOOKUP(G60,Dim_Channel!$A$2:$B$5,2,FALSE)</f>
        <v/>
      </c>
      <c r="X60" s="12">
        <f>VLOOKUP(H60,Dim_Promotion!$A$2:$G$11,2,FALSE)</f>
        <v/>
      </c>
    </row>
    <row r="61">
      <c r="A61" s="4" t="inlineStr">
        <is>
          <t>SL0060</t>
        </is>
      </c>
      <c r="B61" t="inlineStr">
        <is>
          <t>O010030</t>
        </is>
      </c>
      <c r="C61" t="n">
        <v>20251026</v>
      </c>
      <c r="D61" s="4" t="inlineStr">
        <is>
          <t>C089</t>
        </is>
      </c>
      <c r="E61" s="4" t="inlineStr">
        <is>
          <t>P042</t>
        </is>
      </c>
      <c r="F61" t="inlineStr">
        <is>
          <t>XL</t>
        </is>
      </c>
      <c r="G61" s="4" t="inlineStr">
        <is>
          <t>CH01</t>
        </is>
      </c>
      <c r="H61" s="4" t="inlineStr">
        <is>
          <t>PR00</t>
        </is>
      </c>
      <c r="I61" s="8" t="n">
        <v>76</v>
      </c>
      <c r="J61" s="9" t="n">
        <v>0</v>
      </c>
      <c r="K61" s="10">
        <f>I61*(1-J61)</f>
        <v/>
      </c>
      <c r="L61" s="11" t="n">
        <v>1</v>
      </c>
      <c r="M61" s="10">
        <f>K61*L61</f>
        <v/>
      </c>
      <c r="N61" s="8" t="n">
        <v>37.62</v>
      </c>
      <c r="O61" s="10">
        <f>N61*L61</f>
        <v/>
      </c>
      <c r="P61" s="10">
        <f>M61-O61</f>
        <v/>
      </c>
      <c r="Q61" s="11" t="inlineStr">
        <is>
          <t>No</t>
        </is>
      </c>
      <c r="R61" s="11" t="n">
        <v>0</v>
      </c>
      <c r="S61" s="10">
        <f>M61-(R61*K61)</f>
        <v/>
      </c>
      <c r="T61" s="12">
        <f>VLOOKUP(E61,Dim_Product!$A$2:$Q$61,3,FALSE)</f>
        <v/>
      </c>
      <c r="U61" s="12">
        <f>VLOOKUP(E61,Dim_Product!$A$2:$Q$61,4,FALSE)</f>
        <v/>
      </c>
      <c r="V61" s="12">
        <f>VLOOKUP(D61,Dim_Customer!$A$2:$I$121,6,FALSE)</f>
        <v/>
      </c>
      <c r="W61" s="12">
        <f>VLOOKUP(G61,Dim_Channel!$A$2:$B$5,2,FALSE)</f>
        <v/>
      </c>
      <c r="X61" s="12">
        <f>VLOOKUP(H61,Dim_Promotion!$A$2:$G$11,2,FALSE)</f>
        <v/>
      </c>
    </row>
    <row r="62">
      <c r="A62" s="4" t="inlineStr">
        <is>
          <t>SL0061</t>
        </is>
      </c>
      <c r="B62" t="inlineStr">
        <is>
          <t>O010031</t>
        </is>
      </c>
      <c r="C62" t="n">
        <v>20251211</v>
      </c>
      <c r="D62" s="4" t="inlineStr">
        <is>
          <t>C004</t>
        </is>
      </c>
      <c r="E62" s="4" t="inlineStr">
        <is>
          <t>P025</t>
        </is>
      </c>
      <c r="F62" t="inlineStr">
        <is>
          <t>L</t>
        </is>
      </c>
      <c r="G62" s="4" t="inlineStr">
        <is>
          <t>CH03</t>
        </is>
      </c>
      <c r="H62" s="4" t="inlineStr">
        <is>
          <t>PR00</t>
        </is>
      </c>
      <c r="I62" s="8" t="n">
        <v>97</v>
      </c>
      <c r="J62" s="9" t="n">
        <v>0</v>
      </c>
      <c r="K62" s="10">
        <f>I62*(1-J62)</f>
        <v/>
      </c>
      <c r="L62" s="11" t="n">
        <v>1</v>
      </c>
      <c r="M62" s="10">
        <f>K62*L62</f>
        <v/>
      </c>
      <c r="N62" s="8" t="n">
        <v>44.33</v>
      </c>
      <c r="O62" s="10">
        <f>N62*L62</f>
        <v/>
      </c>
      <c r="P62" s="10">
        <f>M62-O62</f>
        <v/>
      </c>
      <c r="Q62" s="11" t="inlineStr">
        <is>
          <t>No</t>
        </is>
      </c>
      <c r="R62" s="11" t="n">
        <v>0</v>
      </c>
      <c r="S62" s="10">
        <f>M62-(R62*K62)</f>
        <v/>
      </c>
      <c r="T62" s="12">
        <f>VLOOKUP(E62,Dim_Product!$A$2:$Q$61,3,FALSE)</f>
        <v/>
      </c>
      <c r="U62" s="12">
        <f>VLOOKUP(E62,Dim_Product!$A$2:$Q$61,4,FALSE)</f>
        <v/>
      </c>
      <c r="V62" s="12">
        <f>VLOOKUP(D62,Dim_Customer!$A$2:$I$121,6,FALSE)</f>
        <v/>
      </c>
      <c r="W62" s="12">
        <f>VLOOKUP(G62,Dim_Channel!$A$2:$B$5,2,FALSE)</f>
        <v/>
      </c>
      <c r="X62" s="12">
        <f>VLOOKUP(H62,Dim_Promotion!$A$2:$G$11,2,FALSE)</f>
        <v/>
      </c>
    </row>
    <row r="63">
      <c r="A63" s="4" t="inlineStr">
        <is>
          <t>SL0062</t>
        </is>
      </c>
      <c r="B63" t="inlineStr">
        <is>
          <t>O010031</t>
        </is>
      </c>
      <c r="C63" t="n">
        <v>20251123</v>
      </c>
      <c r="D63" s="4" t="inlineStr">
        <is>
          <t>C010</t>
        </is>
      </c>
      <c r="E63" s="4" t="inlineStr">
        <is>
          <t>P005</t>
        </is>
      </c>
      <c r="F63" t="inlineStr">
        <is>
          <t>L</t>
        </is>
      </c>
      <c r="G63" s="4" t="inlineStr">
        <is>
          <t>CH02</t>
        </is>
      </c>
      <c r="H63" s="4" t="inlineStr">
        <is>
          <t>PR00</t>
        </is>
      </c>
      <c r="I63" s="8" t="n">
        <v>52</v>
      </c>
      <c r="J63" s="9" t="n">
        <v>0</v>
      </c>
      <c r="K63" s="10">
        <f>I63*(1-J63)</f>
        <v/>
      </c>
      <c r="L63" s="11" t="n">
        <v>1</v>
      </c>
      <c r="M63" s="10">
        <f>K63*L63</f>
        <v/>
      </c>
      <c r="N63" s="8" t="n">
        <v>19.71</v>
      </c>
      <c r="O63" s="10">
        <f>N63*L63</f>
        <v/>
      </c>
      <c r="P63" s="10">
        <f>M63-O63</f>
        <v/>
      </c>
      <c r="Q63" s="11" t="inlineStr">
        <is>
          <t>No</t>
        </is>
      </c>
      <c r="R63" s="11" t="n">
        <v>0</v>
      </c>
      <c r="S63" s="10">
        <f>M63-(R63*K63)</f>
        <v/>
      </c>
      <c r="T63" s="12">
        <f>VLOOKUP(E63,Dim_Product!$A$2:$Q$61,3,FALSE)</f>
        <v/>
      </c>
      <c r="U63" s="12">
        <f>VLOOKUP(E63,Dim_Product!$A$2:$Q$61,4,FALSE)</f>
        <v/>
      </c>
      <c r="V63" s="12">
        <f>VLOOKUP(D63,Dim_Customer!$A$2:$I$121,6,FALSE)</f>
        <v/>
      </c>
      <c r="W63" s="12">
        <f>VLOOKUP(G63,Dim_Channel!$A$2:$B$5,2,FALSE)</f>
        <v/>
      </c>
      <c r="X63" s="12">
        <f>VLOOKUP(H63,Dim_Promotion!$A$2:$G$11,2,FALSE)</f>
        <v/>
      </c>
    </row>
    <row r="64">
      <c r="A64" s="4" t="inlineStr">
        <is>
          <t>SL0063</t>
        </is>
      </c>
      <c r="B64" t="inlineStr">
        <is>
          <t>O010032</t>
        </is>
      </c>
      <c r="C64" t="n">
        <v>20250625</v>
      </c>
      <c r="D64" s="4" t="inlineStr">
        <is>
          <t>C035</t>
        </is>
      </c>
      <c r="E64" s="4" t="inlineStr">
        <is>
          <t>P006</t>
        </is>
      </c>
      <c r="F64" t="inlineStr">
        <is>
          <t>M</t>
        </is>
      </c>
      <c r="G64" s="4" t="inlineStr">
        <is>
          <t>CH02</t>
        </is>
      </c>
      <c r="H64" s="4" t="inlineStr">
        <is>
          <t>PR00</t>
        </is>
      </c>
      <c r="I64" s="8" t="n">
        <v>44</v>
      </c>
      <c r="J64" s="9" t="n">
        <v>0</v>
      </c>
      <c r="K64" s="10">
        <f>I64*(1-J64)</f>
        <v/>
      </c>
      <c r="L64" s="11" t="n">
        <v>1</v>
      </c>
      <c r="M64" s="10">
        <f>K64*L64</f>
        <v/>
      </c>
      <c r="N64" s="8" t="n">
        <v>21.03</v>
      </c>
      <c r="O64" s="10">
        <f>N64*L64</f>
        <v/>
      </c>
      <c r="P64" s="10">
        <f>M64-O64</f>
        <v/>
      </c>
      <c r="Q64" s="11" t="inlineStr">
        <is>
          <t>No</t>
        </is>
      </c>
      <c r="R64" s="11" t="n">
        <v>0</v>
      </c>
      <c r="S64" s="10">
        <f>M64-(R64*K64)</f>
        <v/>
      </c>
      <c r="T64" s="12">
        <f>VLOOKUP(E64,Dim_Product!$A$2:$Q$61,3,FALSE)</f>
        <v/>
      </c>
      <c r="U64" s="12">
        <f>VLOOKUP(E64,Dim_Product!$A$2:$Q$61,4,FALSE)</f>
        <v/>
      </c>
      <c r="V64" s="12">
        <f>VLOOKUP(D64,Dim_Customer!$A$2:$I$121,6,FALSE)</f>
        <v/>
      </c>
      <c r="W64" s="12">
        <f>VLOOKUP(G64,Dim_Channel!$A$2:$B$5,2,FALSE)</f>
        <v/>
      </c>
      <c r="X64" s="12">
        <f>VLOOKUP(H64,Dim_Promotion!$A$2:$G$11,2,FALSE)</f>
        <v/>
      </c>
    </row>
    <row r="65">
      <c r="A65" s="4" t="inlineStr">
        <is>
          <t>SL0064</t>
        </is>
      </c>
      <c r="B65" t="inlineStr">
        <is>
          <t>O010032</t>
        </is>
      </c>
      <c r="C65" t="n">
        <v>20250811</v>
      </c>
      <c r="D65" s="4" t="inlineStr">
        <is>
          <t>C111</t>
        </is>
      </c>
      <c r="E65" s="4" t="inlineStr">
        <is>
          <t>P022</t>
        </is>
      </c>
      <c r="F65" t="inlineStr">
        <is>
          <t>M</t>
        </is>
      </c>
      <c r="G65" s="4" t="inlineStr">
        <is>
          <t>CH01</t>
        </is>
      </c>
      <c r="H65" s="4" t="inlineStr">
        <is>
          <t>PR06</t>
        </is>
      </c>
      <c r="I65" s="8" t="n">
        <v>60</v>
      </c>
      <c r="J65" s="9" t="n">
        <v>0.1</v>
      </c>
      <c r="K65" s="10">
        <f>I65*(1-J65)</f>
        <v/>
      </c>
      <c r="L65" s="11" t="n">
        <v>1</v>
      </c>
      <c r="M65" s="10">
        <f>K65*L65</f>
        <v/>
      </c>
      <c r="N65" s="8" t="n">
        <v>25.74</v>
      </c>
      <c r="O65" s="10">
        <f>N65*L65</f>
        <v/>
      </c>
      <c r="P65" s="10">
        <f>M65-O65</f>
        <v/>
      </c>
      <c r="Q65" s="11" t="inlineStr">
        <is>
          <t>No</t>
        </is>
      </c>
      <c r="R65" s="11" t="n">
        <v>0</v>
      </c>
      <c r="S65" s="10">
        <f>M65-(R65*K65)</f>
        <v/>
      </c>
      <c r="T65" s="12">
        <f>VLOOKUP(E65,Dim_Product!$A$2:$Q$61,3,FALSE)</f>
        <v/>
      </c>
      <c r="U65" s="12">
        <f>VLOOKUP(E65,Dim_Product!$A$2:$Q$61,4,FALSE)</f>
        <v/>
      </c>
      <c r="V65" s="12">
        <f>VLOOKUP(D65,Dim_Customer!$A$2:$I$121,6,FALSE)</f>
        <v/>
      </c>
      <c r="W65" s="12">
        <f>VLOOKUP(G65,Dim_Channel!$A$2:$B$5,2,FALSE)</f>
        <v/>
      </c>
      <c r="X65" s="12">
        <f>VLOOKUP(H65,Dim_Promotion!$A$2:$G$11,2,FALSE)</f>
        <v/>
      </c>
    </row>
    <row r="66">
      <c r="A66" s="4" t="inlineStr">
        <is>
          <t>SL0065</t>
        </is>
      </c>
      <c r="B66" t="inlineStr">
        <is>
          <t>O010033</t>
        </is>
      </c>
      <c r="C66" t="n">
        <v>20250310</v>
      </c>
      <c r="D66" s="4" t="inlineStr">
        <is>
          <t>C035</t>
        </is>
      </c>
      <c r="E66" s="4" t="inlineStr">
        <is>
          <t>P028</t>
        </is>
      </c>
      <c r="F66" t="inlineStr">
        <is>
          <t>M</t>
        </is>
      </c>
      <c r="G66" s="4" t="inlineStr">
        <is>
          <t>CH01</t>
        </is>
      </c>
      <c r="H66" s="4" t="inlineStr">
        <is>
          <t>PR00</t>
        </is>
      </c>
      <c r="I66" s="8" t="n">
        <v>97</v>
      </c>
      <c r="J66" s="9" t="n">
        <v>0.08</v>
      </c>
      <c r="K66" s="10">
        <f>I66*(1-J66)</f>
        <v/>
      </c>
      <c r="L66" s="11" t="n">
        <v>2</v>
      </c>
      <c r="M66" s="10">
        <f>K66*L66</f>
        <v/>
      </c>
      <c r="N66" s="8" t="n">
        <v>48.47</v>
      </c>
      <c r="O66" s="10">
        <f>N66*L66</f>
        <v/>
      </c>
      <c r="P66" s="10">
        <f>M66-O66</f>
        <v/>
      </c>
      <c r="Q66" s="11" t="inlineStr">
        <is>
          <t>No</t>
        </is>
      </c>
      <c r="R66" s="11" t="n">
        <v>0</v>
      </c>
      <c r="S66" s="10">
        <f>M66-(R66*K66)</f>
        <v/>
      </c>
      <c r="T66" s="12">
        <f>VLOOKUP(E66,Dim_Product!$A$2:$Q$61,3,FALSE)</f>
        <v/>
      </c>
      <c r="U66" s="12">
        <f>VLOOKUP(E66,Dim_Product!$A$2:$Q$61,4,FALSE)</f>
        <v/>
      </c>
      <c r="V66" s="12">
        <f>VLOOKUP(D66,Dim_Customer!$A$2:$I$121,6,FALSE)</f>
        <v/>
      </c>
      <c r="W66" s="12">
        <f>VLOOKUP(G66,Dim_Channel!$A$2:$B$5,2,FALSE)</f>
        <v/>
      </c>
      <c r="X66" s="12">
        <f>VLOOKUP(H66,Dim_Promotion!$A$2:$G$11,2,FALSE)</f>
        <v/>
      </c>
    </row>
    <row r="67">
      <c r="A67" s="4" t="inlineStr">
        <is>
          <t>SL0066</t>
        </is>
      </c>
      <c r="B67" t="inlineStr">
        <is>
          <t>O010033</t>
        </is>
      </c>
      <c r="C67" t="n">
        <v>20250705</v>
      </c>
      <c r="D67" s="4" t="inlineStr">
        <is>
          <t>C039</t>
        </is>
      </c>
      <c r="E67" s="4" t="inlineStr">
        <is>
          <t>P001</t>
        </is>
      </c>
      <c r="F67" t="inlineStr">
        <is>
          <t>XL</t>
        </is>
      </c>
      <c r="G67" s="4" t="inlineStr">
        <is>
          <t>CH01</t>
        </is>
      </c>
      <c r="H67" s="4" t="inlineStr">
        <is>
          <t>PR05</t>
        </is>
      </c>
      <c r="I67" s="8" t="n">
        <v>41</v>
      </c>
      <c r="J67" s="9" t="n">
        <v>0.2</v>
      </c>
      <c r="K67" s="10">
        <f>I67*(1-J67)</f>
        <v/>
      </c>
      <c r="L67" s="11" t="n">
        <v>1</v>
      </c>
      <c r="M67" s="10">
        <f>K67*L67</f>
        <v/>
      </c>
      <c r="N67" s="8" t="n">
        <v>17.49</v>
      </c>
      <c r="O67" s="10">
        <f>N67*L67</f>
        <v/>
      </c>
      <c r="P67" s="10">
        <f>M67-O67</f>
        <v/>
      </c>
      <c r="Q67" s="11" t="inlineStr">
        <is>
          <t>No</t>
        </is>
      </c>
      <c r="R67" s="11" t="n">
        <v>0</v>
      </c>
      <c r="S67" s="10">
        <f>M67-(R67*K67)</f>
        <v/>
      </c>
      <c r="T67" s="12">
        <f>VLOOKUP(E67,Dim_Product!$A$2:$Q$61,3,FALSE)</f>
        <v/>
      </c>
      <c r="U67" s="12">
        <f>VLOOKUP(E67,Dim_Product!$A$2:$Q$61,4,FALSE)</f>
        <v/>
      </c>
      <c r="V67" s="12">
        <f>VLOOKUP(D67,Dim_Customer!$A$2:$I$121,6,FALSE)</f>
        <v/>
      </c>
      <c r="W67" s="12">
        <f>VLOOKUP(G67,Dim_Channel!$A$2:$B$5,2,FALSE)</f>
        <v/>
      </c>
      <c r="X67" s="12">
        <f>VLOOKUP(H67,Dim_Promotion!$A$2:$G$11,2,FALSE)</f>
        <v/>
      </c>
    </row>
    <row r="68">
      <c r="A68" s="4" t="inlineStr">
        <is>
          <t>SL0067</t>
        </is>
      </c>
      <c r="B68" t="inlineStr">
        <is>
          <t>O010034</t>
        </is>
      </c>
      <c r="C68" t="n">
        <v>20251205</v>
      </c>
      <c r="D68" s="4" t="inlineStr">
        <is>
          <t>C039</t>
        </is>
      </c>
      <c r="E68" s="4" t="inlineStr">
        <is>
          <t>P018</t>
        </is>
      </c>
      <c r="F68" t="inlineStr">
        <is>
          <t>S</t>
        </is>
      </c>
      <c r="G68" s="4" t="inlineStr">
        <is>
          <t>CH01</t>
        </is>
      </c>
      <c r="H68" s="4" t="inlineStr">
        <is>
          <t>PR00</t>
        </is>
      </c>
      <c r="I68" s="8" t="n">
        <v>64</v>
      </c>
      <c r="J68" s="9" t="n">
        <v>0</v>
      </c>
      <c r="K68" s="10">
        <f>I68*(1-J68)</f>
        <v/>
      </c>
      <c r="L68" s="11" t="n">
        <v>2</v>
      </c>
      <c r="M68" s="10">
        <f>K68*L68</f>
        <v/>
      </c>
      <c r="N68" s="8" t="n">
        <v>31.56</v>
      </c>
      <c r="O68" s="10">
        <f>N68*L68</f>
        <v/>
      </c>
      <c r="P68" s="10">
        <f>M68-O68</f>
        <v/>
      </c>
      <c r="Q68" s="11" t="inlineStr">
        <is>
          <t>No</t>
        </is>
      </c>
      <c r="R68" s="11" t="n">
        <v>0</v>
      </c>
      <c r="S68" s="10">
        <f>M68-(R68*K68)</f>
        <v/>
      </c>
      <c r="T68" s="12">
        <f>VLOOKUP(E68,Dim_Product!$A$2:$Q$61,3,FALSE)</f>
        <v/>
      </c>
      <c r="U68" s="12">
        <f>VLOOKUP(E68,Dim_Product!$A$2:$Q$61,4,FALSE)</f>
        <v/>
      </c>
      <c r="V68" s="12">
        <f>VLOOKUP(D68,Dim_Customer!$A$2:$I$121,6,FALSE)</f>
        <v/>
      </c>
      <c r="W68" s="12">
        <f>VLOOKUP(G68,Dim_Channel!$A$2:$B$5,2,FALSE)</f>
        <v/>
      </c>
      <c r="X68" s="12">
        <f>VLOOKUP(H68,Dim_Promotion!$A$2:$G$11,2,FALSE)</f>
        <v/>
      </c>
    </row>
    <row r="69">
      <c r="A69" s="4" t="inlineStr">
        <is>
          <t>SL0068</t>
        </is>
      </c>
      <c r="B69" t="inlineStr">
        <is>
          <t>O010034</t>
        </is>
      </c>
      <c r="C69" t="n">
        <v>20251111</v>
      </c>
      <c r="D69" s="4" t="inlineStr">
        <is>
          <t>C049</t>
        </is>
      </c>
      <c r="E69" s="4" t="inlineStr">
        <is>
          <t>P020</t>
        </is>
      </c>
      <c r="F69" t="inlineStr">
        <is>
          <t>S</t>
        </is>
      </c>
      <c r="G69" s="4" t="inlineStr">
        <is>
          <t>CH04</t>
        </is>
      </c>
      <c r="H69" s="4" t="inlineStr">
        <is>
          <t>PR00</t>
        </is>
      </c>
      <c r="I69" s="8" t="n">
        <v>62</v>
      </c>
      <c r="J69" s="9" t="n">
        <v>0</v>
      </c>
      <c r="K69" s="10">
        <f>I69*(1-J69)</f>
        <v/>
      </c>
      <c r="L69" s="11" t="n">
        <v>3</v>
      </c>
      <c r="M69" s="10">
        <f>K69*L69</f>
        <v/>
      </c>
      <c r="N69" s="8" t="n">
        <v>30.23</v>
      </c>
      <c r="O69" s="10">
        <f>N69*L69</f>
        <v/>
      </c>
      <c r="P69" s="10">
        <f>M69-O69</f>
        <v/>
      </c>
      <c r="Q69" s="11" t="inlineStr">
        <is>
          <t>No</t>
        </is>
      </c>
      <c r="R69" s="11" t="n">
        <v>0</v>
      </c>
      <c r="S69" s="10">
        <f>M69-(R69*K69)</f>
        <v/>
      </c>
      <c r="T69" s="12">
        <f>VLOOKUP(E69,Dim_Product!$A$2:$Q$61,3,FALSE)</f>
        <v/>
      </c>
      <c r="U69" s="12">
        <f>VLOOKUP(E69,Dim_Product!$A$2:$Q$61,4,FALSE)</f>
        <v/>
      </c>
      <c r="V69" s="12">
        <f>VLOOKUP(D69,Dim_Customer!$A$2:$I$121,6,FALSE)</f>
        <v/>
      </c>
      <c r="W69" s="12">
        <f>VLOOKUP(G69,Dim_Channel!$A$2:$B$5,2,FALSE)</f>
        <v/>
      </c>
      <c r="X69" s="12">
        <f>VLOOKUP(H69,Dim_Promotion!$A$2:$G$11,2,FALSE)</f>
        <v/>
      </c>
    </row>
    <row r="70">
      <c r="A70" s="4" t="inlineStr">
        <is>
          <t>SL0069</t>
        </is>
      </c>
      <c r="B70" t="inlineStr">
        <is>
          <t>O010035</t>
        </is>
      </c>
      <c r="C70" t="n">
        <v>20250610</v>
      </c>
      <c r="D70" s="4" t="inlineStr">
        <is>
          <t>C107</t>
        </is>
      </c>
      <c r="E70" s="4" t="inlineStr">
        <is>
          <t>P047</t>
        </is>
      </c>
      <c r="F70" t="inlineStr">
        <is>
          <t>M</t>
        </is>
      </c>
      <c r="G70" s="4" t="inlineStr">
        <is>
          <t>CH02</t>
        </is>
      </c>
      <c r="H70" s="4" t="inlineStr">
        <is>
          <t>PR00</t>
        </is>
      </c>
      <c r="I70" s="8" t="n">
        <v>72</v>
      </c>
      <c r="J70" s="9" t="n">
        <v>0</v>
      </c>
      <c r="K70" s="10">
        <f>I70*(1-J70)</f>
        <v/>
      </c>
      <c r="L70" s="11" t="n">
        <v>1</v>
      </c>
      <c r="M70" s="10">
        <f>K70*L70</f>
        <v/>
      </c>
      <c r="N70" s="8" t="n">
        <v>31.85</v>
      </c>
      <c r="O70" s="10">
        <f>N70*L70</f>
        <v/>
      </c>
      <c r="P70" s="10">
        <f>M70-O70</f>
        <v/>
      </c>
      <c r="Q70" s="11" t="inlineStr">
        <is>
          <t>No</t>
        </is>
      </c>
      <c r="R70" s="11" t="n">
        <v>0</v>
      </c>
      <c r="S70" s="10">
        <f>M70-(R70*K70)</f>
        <v/>
      </c>
      <c r="T70" s="12">
        <f>VLOOKUP(E70,Dim_Product!$A$2:$Q$61,3,FALSE)</f>
        <v/>
      </c>
      <c r="U70" s="12">
        <f>VLOOKUP(E70,Dim_Product!$A$2:$Q$61,4,FALSE)</f>
        <v/>
      </c>
      <c r="V70" s="12">
        <f>VLOOKUP(D70,Dim_Customer!$A$2:$I$121,6,FALSE)</f>
        <v/>
      </c>
      <c r="W70" s="12">
        <f>VLOOKUP(G70,Dim_Channel!$A$2:$B$5,2,FALSE)</f>
        <v/>
      </c>
      <c r="X70" s="12">
        <f>VLOOKUP(H70,Dim_Promotion!$A$2:$G$11,2,FALSE)</f>
        <v/>
      </c>
    </row>
    <row r="71">
      <c r="A71" s="4" t="inlineStr">
        <is>
          <t>SL0070</t>
        </is>
      </c>
      <c r="B71" t="inlineStr">
        <is>
          <t>O010035</t>
        </is>
      </c>
      <c r="C71" t="n">
        <v>20251216</v>
      </c>
      <c r="D71" s="4" t="inlineStr">
        <is>
          <t>C075</t>
        </is>
      </c>
      <c r="E71" s="4" t="inlineStr">
        <is>
          <t>P023</t>
        </is>
      </c>
      <c r="F71" t="inlineStr">
        <is>
          <t>XL</t>
        </is>
      </c>
      <c r="G71" s="4" t="inlineStr">
        <is>
          <t>CH03</t>
        </is>
      </c>
      <c r="H71" s="4" t="inlineStr">
        <is>
          <t>PR00</t>
        </is>
      </c>
      <c r="I71" s="8" t="n">
        <v>56</v>
      </c>
      <c r="J71" s="9" t="n">
        <v>0</v>
      </c>
      <c r="K71" s="10">
        <f>I71*(1-J71)</f>
        <v/>
      </c>
      <c r="L71" s="11" t="n">
        <v>1</v>
      </c>
      <c r="M71" s="10">
        <f>K71*L71</f>
        <v/>
      </c>
      <c r="N71" s="8" t="n">
        <v>26.75</v>
      </c>
      <c r="O71" s="10">
        <f>N71*L71</f>
        <v/>
      </c>
      <c r="P71" s="10">
        <f>M71-O71</f>
        <v/>
      </c>
      <c r="Q71" s="11" t="inlineStr">
        <is>
          <t>No</t>
        </is>
      </c>
      <c r="R71" s="11" t="n">
        <v>0</v>
      </c>
      <c r="S71" s="10">
        <f>M71-(R71*K71)</f>
        <v/>
      </c>
      <c r="T71" s="12">
        <f>VLOOKUP(E71,Dim_Product!$A$2:$Q$61,3,FALSE)</f>
        <v/>
      </c>
      <c r="U71" s="12">
        <f>VLOOKUP(E71,Dim_Product!$A$2:$Q$61,4,FALSE)</f>
        <v/>
      </c>
      <c r="V71" s="12">
        <f>VLOOKUP(D71,Dim_Customer!$A$2:$I$121,6,FALSE)</f>
        <v/>
      </c>
      <c r="W71" s="12">
        <f>VLOOKUP(G71,Dim_Channel!$A$2:$B$5,2,FALSE)</f>
        <v/>
      </c>
      <c r="X71" s="12">
        <f>VLOOKUP(H71,Dim_Promotion!$A$2:$G$11,2,FALSE)</f>
        <v/>
      </c>
    </row>
    <row r="72">
      <c r="A72" s="4" t="inlineStr">
        <is>
          <t>SL0071</t>
        </is>
      </c>
      <c r="B72" t="inlineStr">
        <is>
          <t>O010036</t>
        </is>
      </c>
      <c r="C72" t="n">
        <v>20251204</v>
      </c>
      <c r="D72" s="4" t="inlineStr">
        <is>
          <t>C099</t>
        </is>
      </c>
      <c r="E72" s="4" t="inlineStr">
        <is>
          <t>P014</t>
        </is>
      </c>
      <c r="F72" t="inlineStr">
        <is>
          <t>M</t>
        </is>
      </c>
      <c r="G72" s="4" t="inlineStr">
        <is>
          <t>CH02</t>
        </is>
      </c>
      <c r="H72" s="4" t="inlineStr">
        <is>
          <t>PR00</t>
        </is>
      </c>
      <c r="I72" s="8" t="n">
        <v>61</v>
      </c>
      <c r="J72" s="9" t="n">
        <v>0</v>
      </c>
      <c r="K72" s="10">
        <f>I72*(1-J72)</f>
        <v/>
      </c>
      <c r="L72" s="11" t="n">
        <v>3</v>
      </c>
      <c r="M72" s="10">
        <f>K72*L72</f>
        <v/>
      </c>
      <c r="N72" s="8" t="n">
        <v>27</v>
      </c>
      <c r="O72" s="10">
        <f>N72*L72</f>
        <v/>
      </c>
      <c r="P72" s="10">
        <f>M72-O72</f>
        <v/>
      </c>
      <c r="Q72" s="11" t="inlineStr">
        <is>
          <t>No</t>
        </is>
      </c>
      <c r="R72" s="11" t="n">
        <v>0</v>
      </c>
      <c r="S72" s="10">
        <f>M72-(R72*K72)</f>
        <v/>
      </c>
      <c r="T72" s="12">
        <f>VLOOKUP(E72,Dim_Product!$A$2:$Q$61,3,FALSE)</f>
        <v/>
      </c>
      <c r="U72" s="12">
        <f>VLOOKUP(E72,Dim_Product!$A$2:$Q$61,4,FALSE)</f>
        <v/>
      </c>
      <c r="V72" s="12">
        <f>VLOOKUP(D72,Dim_Customer!$A$2:$I$121,6,FALSE)</f>
        <v/>
      </c>
      <c r="W72" s="12">
        <f>VLOOKUP(G72,Dim_Channel!$A$2:$B$5,2,FALSE)</f>
        <v/>
      </c>
      <c r="X72" s="12">
        <f>VLOOKUP(H72,Dim_Promotion!$A$2:$G$11,2,FALSE)</f>
        <v/>
      </c>
    </row>
    <row r="73">
      <c r="A73" s="4" t="inlineStr">
        <is>
          <t>SL0072</t>
        </is>
      </c>
      <c r="B73" t="inlineStr">
        <is>
          <t>O010036</t>
        </is>
      </c>
      <c r="C73" t="n">
        <v>20250204</v>
      </c>
      <c r="D73" s="4" t="inlineStr">
        <is>
          <t>C034</t>
        </is>
      </c>
      <c r="E73" s="4" t="inlineStr">
        <is>
          <t>P032</t>
        </is>
      </c>
      <c r="F73" t="inlineStr">
        <is>
          <t>S</t>
        </is>
      </c>
      <c r="G73" s="4" t="inlineStr">
        <is>
          <t>CH02</t>
        </is>
      </c>
      <c r="H73" s="4" t="inlineStr">
        <is>
          <t>PR00</t>
        </is>
      </c>
      <c r="I73" s="8" t="n">
        <v>116</v>
      </c>
      <c r="J73" s="9" t="n">
        <v>0</v>
      </c>
      <c r="K73" s="10">
        <f>I73*(1-J73)</f>
        <v/>
      </c>
      <c r="L73" s="11" t="n">
        <v>1</v>
      </c>
      <c r="M73" s="10">
        <f>K73*L73</f>
        <v/>
      </c>
      <c r="N73" s="8" t="n">
        <v>55.39</v>
      </c>
      <c r="O73" s="10">
        <f>N73*L73</f>
        <v/>
      </c>
      <c r="P73" s="10">
        <f>M73-O73</f>
        <v/>
      </c>
      <c r="Q73" s="11" t="inlineStr">
        <is>
          <t>No</t>
        </is>
      </c>
      <c r="R73" s="11" t="n">
        <v>0</v>
      </c>
      <c r="S73" s="10">
        <f>M73-(R73*K73)</f>
        <v/>
      </c>
      <c r="T73" s="12">
        <f>VLOOKUP(E73,Dim_Product!$A$2:$Q$61,3,FALSE)</f>
        <v/>
      </c>
      <c r="U73" s="12">
        <f>VLOOKUP(E73,Dim_Product!$A$2:$Q$61,4,FALSE)</f>
        <v/>
      </c>
      <c r="V73" s="12">
        <f>VLOOKUP(D73,Dim_Customer!$A$2:$I$121,6,FALSE)</f>
        <v/>
      </c>
      <c r="W73" s="12">
        <f>VLOOKUP(G73,Dim_Channel!$A$2:$B$5,2,FALSE)</f>
        <v/>
      </c>
      <c r="X73" s="12">
        <f>VLOOKUP(H73,Dim_Promotion!$A$2:$G$11,2,FALSE)</f>
        <v/>
      </c>
    </row>
    <row r="74">
      <c r="A74" s="4" t="inlineStr">
        <is>
          <t>SL0073</t>
        </is>
      </c>
      <c r="B74" t="inlineStr">
        <is>
          <t>O010037</t>
        </is>
      </c>
      <c r="C74" t="n">
        <v>20250710</v>
      </c>
      <c r="D74" s="4" t="inlineStr">
        <is>
          <t>C054</t>
        </is>
      </c>
      <c r="E74" s="4" t="inlineStr">
        <is>
          <t>P055</t>
        </is>
      </c>
      <c r="F74" t="inlineStr">
        <is>
          <t>L</t>
        </is>
      </c>
      <c r="G74" s="4" t="inlineStr">
        <is>
          <t>CH03</t>
        </is>
      </c>
      <c r="H74" s="4" t="inlineStr">
        <is>
          <t>PR00</t>
        </is>
      </c>
      <c r="I74" s="8" t="n">
        <v>70</v>
      </c>
      <c r="J74" s="9" t="n">
        <v>0</v>
      </c>
      <c r="K74" s="10">
        <f>I74*(1-J74)</f>
        <v/>
      </c>
      <c r="L74" s="11" t="n">
        <v>1</v>
      </c>
      <c r="M74" s="10">
        <f>K74*L74</f>
        <v/>
      </c>
      <c r="N74" s="8" t="n">
        <v>33.74</v>
      </c>
      <c r="O74" s="10">
        <f>N74*L74</f>
        <v/>
      </c>
      <c r="P74" s="10">
        <f>M74-O74</f>
        <v/>
      </c>
      <c r="Q74" s="11" t="inlineStr">
        <is>
          <t>No</t>
        </is>
      </c>
      <c r="R74" s="11" t="n">
        <v>0</v>
      </c>
      <c r="S74" s="10">
        <f>M74-(R74*K74)</f>
        <v/>
      </c>
      <c r="T74" s="12">
        <f>VLOOKUP(E74,Dim_Product!$A$2:$Q$61,3,FALSE)</f>
        <v/>
      </c>
      <c r="U74" s="12">
        <f>VLOOKUP(E74,Dim_Product!$A$2:$Q$61,4,FALSE)</f>
        <v/>
      </c>
      <c r="V74" s="12">
        <f>VLOOKUP(D74,Dim_Customer!$A$2:$I$121,6,FALSE)</f>
        <v/>
      </c>
      <c r="W74" s="12">
        <f>VLOOKUP(G74,Dim_Channel!$A$2:$B$5,2,FALSE)</f>
        <v/>
      </c>
      <c r="X74" s="12">
        <f>VLOOKUP(H74,Dim_Promotion!$A$2:$G$11,2,FALSE)</f>
        <v/>
      </c>
    </row>
    <row r="75">
      <c r="A75" s="4" t="inlineStr">
        <is>
          <t>SL0074</t>
        </is>
      </c>
      <c r="B75" t="inlineStr">
        <is>
          <t>O010037</t>
        </is>
      </c>
      <c r="C75" t="n">
        <v>20250715</v>
      </c>
      <c r="D75" s="4" t="inlineStr">
        <is>
          <t>C093</t>
        </is>
      </c>
      <c r="E75" s="4" t="inlineStr">
        <is>
          <t>P041</t>
        </is>
      </c>
      <c r="F75" t="inlineStr">
        <is>
          <t>S</t>
        </is>
      </c>
      <c r="G75" s="4" t="inlineStr">
        <is>
          <t>CH04</t>
        </is>
      </c>
      <c r="H75" s="4" t="inlineStr">
        <is>
          <t>PR00</t>
        </is>
      </c>
      <c r="I75" s="8" t="n">
        <v>76</v>
      </c>
      <c r="J75" s="9" t="n">
        <v>0</v>
      </c>
      <c r="K75" s="10">
        <f>I75*(1-J75)</f>
        <v/>
      </c>
      <c r="L75" s="11" t="n">
        <v>1</v>
      </c>
      <c r="M75" s="10">
        <f>K75*L75</f>
        <v/>
      </c>
      <c r="N75" s="8" t="n">
        <v>37.61</v>
      </c>
      <c r="O75" s="10">
        <f>N75*L75</f>
        <v/>
      </c>
      <c r="P75" s="10">
        <f>M75-O75</f>
        <v/>
      </c>
      <c r="Q75" s="11" t="inlineStr">
        <is>
          <t>No</t>
        </is>
      </c>
      <c r="R75" s="11" t="n">
        <v>0</v>
      </c>
      <c r="S75" s="10">
        <f>M75-(R75*K75)</f>
        <v/>
      </c>
      <c r="T75" s="12">
        <f>VLOOKUP(E75,Dim_Product!$A$2:$Q$61,3,FALSE)</f>
        <v/>
      </c>
      <c r="U75" s="12">
        <f>VLOOKUP(E75,Dim_Product!$A$2:$Q$61,4,FALSE)</f>
        <v/>
      </c>
      <c r="V75" s="12">
        <f>VLOOKUP(D75,Dim_Customer!$A$2:$I$121,6,FALSE)</f>
        <v/>
      </c>
      <c r="W75" s="12">
        <f>VLOOKUP(G75,Dim_Channel!$A$2:$B$5,2,FALSE)</f>
        <v/>
      </c>
      <c r="X75" s="12">
        <f>VLOOKUP(H75,Dim_Promotion!$A$2:$G$11,2,FALSE)</f>
        <v/>
      </c>
    </row>
    <row r="76">
      <c r="A76" s="4" t="inlineStr">
        <is>
          <t>SL0075</t>
        </is>
      </c>
      <c r="B76" t="inlineStr">
        <is>
          <t>O010038</t>
        </is>
      </c>
      <c r="C76" t="n">
        <v>20250406</v>
      </c>
      <c r="D76" s="4" t="inlineStr">
        <is>
          <t>C071</t>
        </is>
      </c>
      <c r="E76" s="4" t="inlineStr">
        <is>
          <t>P009</t>
        </is>
      </c>
      <c r="F76" t="inlineStr">
        <is>
          <t>XL</t>
        </is>
      </c>
      <c r="G76" s="4" t="inlineStr">
        <is>
          <t>CH02</t>
        </is>
      </c>
      <c r="H76" s="4" t="inlineStr">
        <is>
          <t>PR00</t>
        </is>
      </c>
      <c r="I76" s="8" t="n">
        <v>48</v>
      </c>
      <c r="J76" s="9" t="n">
        <v>0</v>
      </c>
      <c r="K76" s="10">
        <f>I76*(1-J76)</f>
        <v/>
      </c>
      <c r="L76" s="11" t="n">
        <v>1</v>
      </c>
      <c r="M76" s="10">
        <f>K76*L76</f>
        <v/>
      </c>
      <c r="N76" s="8" t="n">
        <v>19.37</v>
      </c>
      <c r="O76" s="10">
        <f>N76*L76</f>
        <v/>
      </c>
      <c r="P76" s="10">
        <f>M76-O76</f>
        <v/>
      </c>
      <c r="Q76" s="11" t="inlineStr">
        <is>
          <t>No</t>
        </is>
      </c>
      <c r="R76" s="11" t="n">
        <v>0</v>
      </c>
      <c r="S76" s="10">
        <f>M76-(R76*K76)</f>
        <v/>
      </c>
      <c r="T76" s="12">
        <f>VLOOKUP(E76,Dim_Product!$A$2:$Q$61,3,FALSE)</f>
        <v/>
      </c>
      <c r="U76" s="12">
        <f>VLOOKUP(E76,Dim_Product!$A$2:$Q$61,4,FALSE)</f>
        <v/>
      </c>
      <c r="V76" s="12">
        <f>VLOOKUP(D76,Dim_Customer!$A$2:$I$121,6,FALSE)</f>
        <v/>
      </c>
      <c r="W76" s="12">
        <f>VLOOKUP(G76,Dim_Channel!$A$2:$B$5,2,FALSE)</f>
        <v/>
      </c>
      <c r="X76" s="12">
        <f>VLOOKUP(H76,Dim_Promotion!$A$2:$G$11,2,FALSE)</f>
        <v/>
      </c>
    </row>
    <row r="77">
      <c r="A77" s="4" t="inlineStr">
        <is>
          <t>SL0076</t>
        </is>
      </c>
      <c r="B77" t="inlineStr">
        <is>
          <t>O010038</t>
        </is>
      </c>
      <c r="C77" t="n">
        <v>20251029</v>
      </c>
      <c r="D77" s="4" t="inlineStr">
        <is>
          <t>C026</t>
        </is>
      </c>
      <c r="E77" s="4" t="inlineStr">
        <is>
          <t>P025</t>
        </is>
      </c>
      <c r="F77" t="inlineStr">
        <is>
          <t>S</t>
        </is>
      </c>
      <c r="G77" s="4" t="inlineStr">
        <is>
          <t>CH01</t>
        </is>
      </c>
      <c r="H77" s="4" t="inlineStr">
        <is>
          <t>PR00</t>
        </is>
      </c>
      <c r="I77" s="8" t="n">
        <v>93</v>
      </c>
      <c r="J77" s="9" t="n">
        <v>0</v>
      </c>
      <c r="K77" s="10">
        <f>I77*(1-J77)</f>
        <v/>
      </c>
      <c r="L77" s="11" t="n">
        <v>1</v>
      </c>
      <c r="M77" s="10">
        <f>K77*L77</f>
        <v/>
      </c>
      <c r="N77" s="8" t="n">
        <v>46.26</v>
      </c>
      <c r="O77" s="10">
        <f>N77*L77</f>
        <v/>
      </c>
      <c r="P77" s="10">
        <f>M77-O77</f>
        <v/>
      </c>
      <c r="Q77" s="11" t="inlineStr">
        <is>
          <t>No</t>
        </is>
      </c>
      <c r="R77" s="11" t="n">
        <v>0</v>
      </c>
      <c r="S77" s="10">
        <f>M77-(R77*K77)</f>
        <v/>
      </c>
      <c r="T77" s="12">
        <f>VLOOKUP(E77,Dim_Product!$A$2:$Q$61,3,FALSE)</f>
        <v/>
      </c>
      <c r="U77" s="12">
        <f>VLOOKUP(E77,Dim_Product!$A$2:$Q$61,4,FALSE)</f>
        <v/>
      </c>
      <c r="V77" s="12">
        <f>VLOOKUP(D77,Dim_Customer!$A$2:$I$121,6,FALSE)</f>
        <v/>
      </c>
      <c r="W77" s="12">
        <f>VLOOKUP(G77,Dim_Channel!$A$2:$B$5,2,FALSE)</f>
        <v/>
      </c>
      <c r="X77" s="12">
        <f>VLOOKUP(H77,Dim_Promotion!$A$2:$G$11,2,FALSE)</f>
        <v/>
      </c>
    </row>
    <row r="78">
      <c r="A78" s="4" t="inlineStr">
        <is>
          <t>SL0077</t>
        </is>
      </c>
      <c r="B78" t="inlineStr">
        <is>
          <t>O010039</t>
        </is>
      </c>
      <c r="C78" t="n">
        <v>20250607</v>
      </c>
      <c r="D78" s="4" t="inlineStr">
        <is>
          <t>C059</t>
        </is>
      </c>
      <c r="E78" s="4" t="inlineStr">
        <is>
          <t>P006</t>
        </is>
      </c>
      <c r="F78" t="inlineStr">
        <is>
          <t>L</t>
        </is>
      </c>
      <c r="G78" s="4" t="inlineStr">
        <is>
          <t>CH04</t>
        </is>
      </c>
      <c r="H78" s="4" t="inlineStr">
        <is>
          <t>PR00</t>
        </is>
      </c>
      <c r="I78" s="8" t="n">
        <v>47</v>
      </c>
      <c r="J78" s="9" t="n">
        <v>0</v>
      </c>
      <c r="K78" s="10">
        <f>I78*(1-J78)</f>
        <v/>
      </c>
      <c r="L78" s="11" t="n">
        <v>1</v>
      </c>
      <c r="M78" s="10">
        <f>K78*L78</f>
        <v/>
      </c>
      <c r="N78" s="8" t="n">
        <v>21.02</v>
      </c>
      <c r="O78" s="10">
        <f>N78*L78</f>
        <v/>
      </c>
      <c r="P78" s="10">
        <f>M78-O78</f>
        <v/>
      </c>
      <c r="Q78" s="11" t="inlineStr">
        <is>
          <t>No</t>
        </is>
      </c>
      <c r="R78" s="11" t="n">
        <v>0</v>
      </c>
      <c r="S78" s="10">
        <f>M78-(R78*K78)</f>
        <v/>
      </c>
      <c r="T78" s="12">
        <f>VLOOKUP(E78,Dim_Product!$A$2:$Q$61,3,FALSE)</f>
        <v/>
      </c>
      <c r="U78" s="12">
        <f>VLOOKUP(E78,Dim_Product!$A$2:$Q$61,4,FALSE)</f>
        <v/>
      </c>
      <c r="V78" s="12">
        <f>VLOOKUP(D78,Dim_Customer!$A$2:$I$121,6,FALSE)</f>
        <v/>
      </c>
      <c r="W78" s="12">
        <f>VLOOKUP(G78,Dim_Channel!$A$2:$B$5,2,FALSE)</f>
        <v/>
      </c>
      <c r="X78" s="12">
        <f>VLOOKUP(H78,Dim_Promotion!$A$2:$G$11,2,FALSE)</f>
        <v/>
      </c>
    </row>
    <row r="79">
      <c r="A79" s="4" t="inlineStr">
        <is>
          <t>SL0078</t>
        </is>
      </c>
      <c r="B79" t="inlineStr">
        <is>
          <t>O010039</t>
        </is>
      </c>
      <c r="C79" t="n">
        <v>20250827</v>
      </c>
      <c r="D79" s="4" t="inlineStr">
        <is>
          <t>C087</t>
        </is>
      </c>
      <c r="E79" s="4" t="inlineStr">
        <is>
          <t>P041</t>
        </is>
      </c>
      <c r="F79" t="inlineStr">
        <is>
          <t>M</t>
        </is>
      </c>
      <c r="G79" s="4" t="inlineStr">
        <is>
          <t>CH01</t>
        </is>
      </c>
      <c r="H79" s="4" t="inlineStr">
        <is>
          <t>PR00</t>
        </is>
      </c>
      <c r="I79" s="8" t="n">
        <v>78</v>
      </c>
      <c r="J79" s="9" t="n">
        <v>0</v>
      </c>
      <c r="K79" s="10">
        <f>I79*(1-J79)</f>
        <v/>
      </c>
      <c r="L79" s="11" t="n">
        <v>1</v>
      </c>
      <c r="M79" s="10">
        <f>K79*L79</f>
        <v/>
      </c>
      <c r="N79" s="8" t="n">
        <v>38.09</v>
      </c>
      <c r="O79" s="10">
        <f>N79*L79</f>
        <v/>
      </c>
      <c r="P79" s="10">
        <f>M79-O79</f>
        <v/>
      </c>
      <c r="Q79" s="11" t="inlineStr">
        <is>
          <t>No</t>
        </is>
      </c>
      <c r="R79" s="11" t="n">
        <v>0</v>
      </c>
      <c r="S79" s="10">
        <f>M79-(R79*K79)</f>
        <v/>
      </c>
      <c r="T79" s="12">
        <f>VLOOKUP(E79,Dim_Product!$A$2:$Q$61,3,FALSE)</f>
        <v/>
      </c>
      <c r="U79" s="12">
        <f>VLOOKUP(E79,Dim_Product!$A$2:$Q$61,4,FALSE)</f>
        <v/>
      </c>
      <c r="V79" s="12">
        <f>VLOOKUP(D79,Dim_Customer!$A$2:$I$121,6,FALSE)</f>
        <v/>
      </c>
      <c r="W79" s="12">
        <f>VLOOKUP(G79,Dim_Channel!$A$2:$B$5,2,FALSE)</f>
        <v/>
      </c>
      <c r="X79" s="12">
        <f>VLOOKUP(H79,Dim_Promotion!$A$2:$G$11,2,FALSE)</f>
        <v/>
      </c>
    </row>
    <row r="80">
      <c r="A80" s="4" t="inlineStr">
        <is>
          <t>SL0079</t>
        </is>
      </c>
      <c r="B80" t="inlineStr">
        <is>
          <t>O010040</t>
        </is>
      </c>
      <c r="C80" t="n">
        <v>20250620</v>
      </c>
      <c r="D80" s="4" t="inlineStr">
        <is>
          <t>C018</t>
        </is>
      </c>
      <c r="E80" s="4" t="inlineStr">
        <is>
          <t>P033</t>
        </is>
      </c>
      <c r="F80" t="inlineStr">
        <is>
          <t>L</t>
        </is>
      </c>
      <c r="G80" s="4" t="inlineStr">
        <is>
          <t>CH02</t>
        </is>
      </c>
      <c r="H80" s="4" t="inlineStr">
        <is>
          <t>PR05</t>
        </is>
      </c>
      <c r="I80" s="8" t="n">
        <v>86</v>
      </c>
      <c r="J80" s="9" t="n">
        <v>0.2</v>
      </c>
      <c r="K80" s="10">
        <f>I80*(1-J80)</f>
        <v/>
      </c>
      <c r="L80" s="11" t="n">
        <v>1</v>
      </c>
      <c r="M80" s="10">
        <f>K80*L80</f>
        <v/>
      </c>
      <c r="N80" s="8" t="n">
        <v>42.39</v>
      </c>
      <c r="O80" s="10">
        <f>N80*L80</f>
        <v/>
      </c>
      <c r="P80" s="10">
        <f>M80-O80</f>
        <v/>
      </c>
      <c r="Q80" s="11" t="inlineStr">
        <is>
          <t>No</t>
        </is>
      </c>
      <c r="R80" s="11" t="n">
        <v>0</v>
      </c>
      <c r="S80" s="10">
        <f>M80-(R80*K80)</f>
        <v/>
      </c>
      <c r="T80" s="12">
        <f>VLOOKUP(E80,Dim_Product!$A$2:$Q$61,3,FALSE)</f>
        <v/>
      </c>
      <c r="U80" s="12">
        <f>VLOOKUP(E80,Dim_Product!$A$2:$Q$61,4,FALSE)</f>
        <v/>
      </c>
      <c r="V80" s="12">
        <f>VLOOKUP(D80,Dim_Customer!$A$2:$I$121,6,FALSE)</f>
        <v/>
      </c>
      <c r="W80" s="12">
        <f>VLOOKUP(G80,Dim_Channel!$A$2:$B$5,2,FALSE)</f>
        <v/>
      </c>
      <c r="X80" s="12">
        <f>VLOOKUP(H80,Dim_Promotion!$A$2:$G$11,2,FALSE)</f>
        <v/>
      </c>
    </row>
    <row r="81">
      <c r="A81" s="4" t="inlineStr">
        <is>
          <t>SL0080</t>
        </is>
      </c>
      <c r="B81" t="inlineStr">
        <is>
          <t>O010040</t>
        </is>
      </c>
      <c r="C81" t="n">
        <v>20250515</v>
      </c>
      <c r="D81" s="4" t="inlineStr">
        <is>
          <t>C080</t>
        </is>
      </c>
      <c r="E81" s="4" t="inlineStr">
        <is>
          <t>P003</t>
        </is>
      </c>
      <c r="F81" t="inlineStr">
        <is>
          <t>S</t>
        </is>
      </c>
      <c r="G81" s="4" t="inlineStr">
        <is>
          <t>CH01</t>
        </is>
      </c>
      <c r="H81" s="4" t="inlineStr">
        <is>
          <t>PR00</t>
        </is>
      </c>
      <c r="I81" s="8" t="n">
        <v>44</v>
      </c>
      <c r="J81" s="9" t="n">
        <v>0</v>
      </c>
      <c r="K81" s="10">
        <f>I81*(1-J81)</f>
        <v/>
      </c>
      <c r="L81" s="11" t="n">
        <v>1</v>
      </c>
      <c r="M81" s="10">
        <f>K81*L81</f>
        <v/>
      </c>
      <c r="N81" s="8" t="n">
        <v>20.09</v>
      </c>
      <c r="O81" s="10">
        <f>N81*L81</f>
        <v/>
      </c>
      <c r="P81" s="10">
        <f>M81-O81</f>
        <v/>
      </c>
      <c r="Q81" s="11" t="inlineStr">
        <is>
          <t>No</t>
        </is>
      </c>
      <c r="R81" s="11" t="n">
        <v>0</v>
      </c>
      <c r="S81" s="10">
        <f>M81-(R81*K81)</f>
        <v/>
      </c>
      <c r="T81" s="12">
        <f>VLOOKUP(E81,Dim_Product!$A$2:$Q$61,3,FALSE)</f>
        <v/>
      </c>
      <c r="U81" s="12">
        <f>VLOOKUP(E81,Dim_Product!$A$2:$Q$61,4,FALSE)</f>
        <v/>
      </c>
      <c r="V81" s="12">
        <f>VLOOKUP(D81,Dim_Customer!$A$2:$I$121,6,FALSE)</f>
        <v/>
      </c>
      <c r="W81" s="12">
        <f>VLOOKUP(G81,Dim_Channel!$A$2:$B$5,2,FALSE)</f>
        <v/>
      </c>
      <c r="X81" s="12">
        <f>VLOOKUP(H81,Dim_Promotion!$A$2:$G$11,2,FALSE)</f>
        <v/>
      </c>
    </row>
    <row r="82">
      <c r="A82" s="4" t="inlineStr">
        <is>
          <t>SL0081</t>
        </is>
      </c>
      <c r="B82" t="inlineStr">
        <is>
          <t>O010041</t>
        </is>
      </c>
      <c r="C82" t="n">
        <v>20251015</v>
      </c>
      <c r="D82" s="4" t="inlineStr">
        <is>
          <t>C063</t>
        </is>
      </c>
      <c r="E82" s="4" t="inlineStr">
        <is>
          <t>P009</t>
        </is>
      </c>
      <c r="F82" t="inlineStr">
        <is>
          <t>L</t>
        </is>
      </c>
      <c r="G82" s="4" t="inlineStr">
        <is>
          <t>CH01</t>
        </is>
      </c>
      <c r="H82" s="4" t="inlineStr">
        <is>
          <t>PR00</t>
        </is>
      </c>
      <c r="I82" s="8" t="n">
        <v>48</v>
      </c>
      <c r="J82" s="9" t="n">
        <v>0</v>
      </c>
      <c r="K82" s="10">
        <f>I82*(1-J82)</f>
        <v/>
      </c>
      <c r="L82" s="11" t="n">
        <v>1</v>
      </c>
      <c r="M82" s="10">
        <f>K82*L82</f>
        <v/>
      </c>
      <c r="N82" s="8" t="n">
        <v>19.14</v>
      </c>
      <c r="O82" s="10">
        <f>N82*L82</f>
        <v/>
      </c>
      <c r="P82" s="10">
        <f>M82-O82</f>
        <v/>
      </c>
      <c r="Q82" s="11" t="inlineStr">
        <is>
          <t>No</t>
        </is>
      </c>
      <c r="R82" s="11" t="n">
        <v>0</v>
      </c>
      <c r="S82" s="10">
        <f>M82-(R82*K82)</f>
        <v/>
      </c>
      <c r="T82" s="12">
        <f>VLOOKUP(E82,Dim_Product!$A$2:$Q$61,3,FALSE)</f>
        <v/>
      </c>
      <c r="U82" s="12">
        <f>VLOOKUP(E82,Dim_Product!$A$2:$Q$61,4,FALSE)</f>
        <v/>
      </c>
      <c r="V82" s="12">
        <f>VLOOKUP(D82,Dim_Customer!$A$2:$I$121,6,FALSE)</f>
        <v/>
      </c>
      <c r="W82" s="12">
        <f>VLOOKUP(G82,Dim_Channel!$A$2:$B$5,2,FALSE)</f>
        <v/>
      </c>
      <c r="X82" s="12">
        <f>VLOOKUP(H82,Dim_Promotion!$A$2:$G$11,2,FALSE)</f>
        <v/>
      </c>
    </row>
    <row r="83">
      <c r="A83" s="4" t="inlineStr">
        <is>
          <t>SL0082</t>
        </is>
      </c>
      <c r="B83" t="inlineStr">
        <is>
          <t>O010041</t>
        </is>
      </c>
      <c r="C83" t="n">
        <v>20251018</v>
      </c>
      <c r="D83" s="4" t="inlineStr">
        <is>
          <t>C066</t>
        </is>
      </c>
      <c r="E83" s="4" t="inlineStr">
        <is>
          <t>P006</t>
        </is>
      </c>
      <c r="F83" t="inlineStr">
        <is>
          <t>L</t>
        </is>
      </c>
      <c r="G83" s="4" t="inlineStr">
        <is>
          <t>CH03</t>
        </is>
      </c>
      <c r="H83" s="4" t="inlineStr">
        <is>
          <t>PR00</t>
        </is>
      </c>
      <c r="I83" s="8" t="n">
        <v>44</v>
      </c>
      <c r="J83" s="9" t="n">
        <v>0</v>
      </c>
      <c r="K83" s="10">
        <f>I83*(1-J83)</f>
        <v/>
      </c>
      <c r="L83" s="11" t="n">
        <v>2</v>
      </c>
      <c r="M83" s="10">
        <f>K83*L83</f>
        <v/>
      </c>
      <c r="N83" s="8" t="n">
        <v>21.14</v>
      </c>
      <c r="O83" s="10">
        <f>N83*L83</f>
        <v/>
      </c>
      <c r="P83" s="10">
        <f>M83-O83</f>
        <v/>
      </c>
      <c r="Q83" s="11" t="inlineStr">
        <is>
          <t>No</t>
        </is>
      </c>
      <c r="R83" s="11" t="n">
        <v>0</v>
      </c>
      <c r="S83" s="10">
        <f>M83-(R83*K83)</f>
        <v/>
      </c>
      <c r="T83" s="12">
        <f>VLOOKUP(E83,Dim_Product!$A$2:$Q$61,3,FALSE)</f>
        <v/>
      </c>
      <c r="U83" s="12">
        <f>VLOOKUP(E83,Dim_Product!$A$2:$Q$61,4,FALSE)</f>
        <v/>
      </c>
      <c r="V83" s="12">
        <f>VLOOKUP(D83,Dim_Customer!$A$2:$I$121,6,FALSE)</f>
        <v/>
      </c>
      <c r="W83" s="12">
        <f>VLOOKUP(G83,Dim_Channel!$A$2:$B$5,2,FALSE)</f>
        <v/>
      </c>
      <c r="X83" s="12">
        <f>VLOOKUP(H83,Dim_Promotion!$A$2:$G$11,2,FALSE)</f>
        <v/>
      </c>
    </row>
    <row r="84">
      <c r="A84" s="4" t="inlineStr">
        <is>
          <t>SL0083</t>
        </is>
      </c>
      <c r="B84" t="inlineStr">
        <is>
          <t>O010042</t>
        </is>
      </c>
      <c r="C84" t="n">
        <v>20250624</v>
      </c>
      <c r="D84" s="4" t="inlineStr">
        <is>
          <t>C107</t>
        </is>
      </c>
      <c r="E84" s="4" t="inlineStr">
        <is>
          <t>P038</t>
        </is>
      </c>
      <c r="F84" t="inlineStr">
        <is>
          <t>L</t>
        </is>
      </c>
      <c r="G84" s="4" t="inlineStr">
        <is>
          <t>CH01</t>
        </is>
      </c>
      <c r="H84" s="4" t="inlineStr">
        <is>
          <t>PR00</t>
        </is>
      </c>
      <c r="I84" s="8" t="n">
        <v>72</v>
      </c>
      <c r="J84" s="9" t="n">
        <v>0</v>
      </c>
      <c r="K84" s="10">
        <f>I84*(1-J84)</f>
        <v/>
      </c>
      <c r="L84" s="11" t="n">
        <v>1</v>
      </c>
      <c r="M84" s="10">
        <f>K84*L84</f>
        <v/>
      </c>
      <c r="N84" s="8" t="n">
        <v>34.31</v>
      </c>
      <c r="O84" s="10">
        <f>N84*L84</f>
        <v/>
      </c>
      <c r="P84" s="10">
        <f>M84-O84</f>
        <v/>
      </c>
      <c r="Q84" s="11" t="inlineStr">
        <is>
          <t>No</t>
        </is>
      </c>
      <c r="R84" s="11" t="n">
        <v>0</v>
      </c>
      <c r="S84" s="10">
        <f>M84-(R84*K84)</f>
        <v/>
      </c>
      <c r="T84" s="12">
        <f>VLOOKUP(E84,Dim_Product!$A$2:$Q$61,3,FALSE)</f>
        <v/>
      </c>
      <c r="U84" s="12">
        <f>VLOOKUP(E84,Dim_Product!$A$2:$Q$61,4,FALSE)</f>
        <v/>
      </c>
      <c r="V84" s="12">
        <f>VLOOKUP(D84,Dim_Customer!$A$2:$I$121,6,FALSE)</f>
        <v/>
      </c>
      <c r="W84" s="12">
        <f>VLOOKUP(G84,Dim_Channel!$A$2:$B$5,2,FALSE)</f>
        <v/>
      </c>
      <c r="X84" s="12">
        <f>VLOOKUP(H84,Dim_Promotion!$A$2:$G$11,2,FALSE)</f>
        <v/>
      </c>
    </row>
    <row r="85">
      <c r="A85" s="4" t="inlineStr">
        <is>
          <t>SL0084</t>
        </is>
      </c>
      <c r="B85" t="inlineStr">
        <is>
          <t>O010042</t>
        </is>
      </c>
      <c r="C85" t="n">
        <v>20250426</v>
      </c>
      <c r="D85" s="4" t="inlineStr">
        <is>
          <t>C095</t>
        </is>
      </c>
      <c r="E85" s="4" t="inlineStr">
        <is>
          <t>P034</t>
        </is>
      </c>
      <c r="F85" t="inlineStr">
        <is>
          <t>L</t>
        </is>
      </c>
      <c r="G85" s="4" t="inlineStr">
        <is>
          <t>CH04</t>
        </is>
      </c>
      <c r="H85" s="4" t="inlineStr">
        <is>
          <t>PR00</t>
        </is>
      </c>
      <c r="I85" s="8" t="n">
        <v>90</v>
      </c>
      <c r="J85" s="9" t="n">
        <v>0</v>
      </c>
      <c r="K85" s="10">
        <f>I85*(1-J85)</f>
        <v/>
      </c>
      <c r="L85" s="11" t="n">
        <v>2</v>
      </c>
      <c r="M85" s="10">
        <f>K85*L85</f>
        <v/>
      </c>
      <c r="N85" s="8" t="n">
        <v>45.25</v>
      </c>
      <c r="O85" s="10">
        <f>N85*L85</f>
        <v/>
      </c>
      <c r="P85" s="10">
        <f>M85-O85</f>
        <v/>
      </c>
      <c r="Q85" s="11" t="inlineStr">
        <is>
          <t>No</t>
        </is>
      </c>
      <c r="R85" s="11" t="n">
        <v>0</v>
      </c>
      <c r="S85" s="10">
        <f>M85-(R85*K85)</f>
        <v/>
      </c>
      <c r="T85" s="12">
        <f>VLOOKUP(E85,Dim_Product!$A$2:$Q$61,3,FALSE)</f>
        <v/>
      </c>
      <c r="U85" s="12">
        <f>VLOOKUP(E85,Dim_Product!$A$2:$Q$61,4,FALSE)</f>
        <v/>
      </c>
      <c r="V85" s="12">
        <f>VLOOKUP(D85,Dim_Customer!$A$2:$I$121,6,FALSE)</f>
        <v/>
      </c>
      <c r="W85" s="12">
        <f>VLOOKUP(G85,Dim_Channel!$A$2:$B$5,2,FALSE)</f>
        <v/>
      </c>
      <c r="X85" s="12">
        <f>VLOOKUP(H85,Dim_Promotion!$A$2:$G$11,2,FALSE)</f>
        <v/>
      </c>
    </row>
    <row r="86">
      <c r="A86" s="4" t="inlineStr">
        <is>
          <t>SL0085</t>
        </is>
      </c>
      <c r="B86" t="inlineStr">
        <is>
          <t>O010043</t>
        </is>
      </c>
      <c r="C86" t="n">
        <v>20250720</v>
      </c>
      <c r="D86" s="4" t="inlineStr">
        <is>
          <t>C069</t>
        </is>
      </c>
      <c r="E86" s="4" t="inlineStr">
        <is>
          <t>P016</t>
        </is>
      </c>
      <c r="F86" t="inlineStr">
        <is>
          <t>XL</t>
        </is>
      </c>
      <c r="G86" s="4" t="inlineStr">
        <is>
          <t>CH01</t>
        </is>
      </c>
      <c r="H86" s="4" t="inlineStr">
        <is>
          <t>PR00</t>
        </is>
      </c>
      <c r="I86" s="8" t="n">
        <v>58</v>
      </c>
      <c r="J86" s="9" t="n">
        <v>0</v>
      </c>
      <c r="K86" s="10">
        <f>I86*(1-J86)</f>
        <v/>
      </c>
      <c r="L86" s="11" t="n">
        <v>3</v>
      </c>
      <c r="M86" s="10">
        <f>K86*L86</f>
        <v/>
      </c>
      <c r="N86" s="8" t="n">
        <v>27.73</v>
      </c>
      <c r="O86" s="10">
        <f>N86*L86</f>
        <v/>
      </c>
      <c r="P86" s="10">
        <f>M86-O86</f>
        <v/>
      </c>
      <c r="Q86" s="11" t="inlineStr">
        <is>
          <t>No</t>
        </is>
      </c>
      <c r="R86" s="11" t="n">
        <v>0</v>
      </c>
      <c r="S86" s="10">
        <f>M86-(R86*K86)</f>
        <v/>
      </c>
      <c r="T86" s="12">
        <f>VLOOKUP(E86,Dim_Product!$A$2:$Q$61,3,FALSE)</f>
        <v/>
      </c>
      <c r="U86" s="12">
        <f>VLOOKUP(E86,Dim_Product!$A$2:$Q$61,4,FALSE)</f>
        <v/>
      </c>
      <c r="V86" s="12">
        <f>VLOOKUP(D86,Dim_Customer!$A$2:$I$121,6,FALSE)</f>
        <v/>
      </c>
      <c r="W86" s="12">
        <f>VLOOKUP(G86,Dim_Channel!$A$2:$B$5,2,FALSE)</f>
        <v/>
      </c>
      <c r="X86" s="12">
        <f>VLOOKUP(H86,Dim_Promotion!$A$2:$G$11,2,FALSE)</f>
        <v/>
      </c>
    </row>
    <row r="87">
      <c r="A87" s="4" t="inlineStr">
        <is>
          <t>SL0086</t>
        </is>
      </c>
      <c r="B87" t="inlineStr">
        <is>
          <t>O010043</t>
        </is>
      </c>
      <c r="C87" t="n">
        <v>20251228</v>
      </c>
      <c r="D87" s="4" t="inlineStr">
        <is>
          <t>C084</t>
        </is>
      </c>
      <c r="E87" s="4" t="inlineStr">
        <is>
          <t>P014</t>
        </is>
      </c>
      <c r="F87" t="inlineStr">
        <is>
          <t>XL</t>
        </is>
      </c>
      <c r="G87" s="4" t="inlineStr">
        <is>
          <t>CH03</t>
        </is>
      </c>
      <c r="H87" s="4" t="inlineStr">
        <is>
          <t>PR00</t>
        </is>
      </c>
      <c r="I87" s="8" t="n">
        <v>61</v>
      </c>
      <c r="J87" s="9" t="n">
        <v>0</v>
      </c>
      <c r="K87" s="10">
        <f>I87*(1-J87)</f>
        <v/>
      </c>
      <c r="L87" s="11" t="n">
        <v>1</v>
      </c>
      <c r="M87" s="10">
        <f>K87*L87</f>
        <v/>
      </c>
      <c r="N87" s="8" t="n">
        <v>27.48</v>
      </c>
      <c r="O87" s="10">
        <f>N87*L87</f>
        <v/>
      </c>
      <c r="P87" s="10">
        <f>M87-O87</f>
        <v/>
      </c>
      <c r="Q87" s="11" t="inlineStr">
        <is>
          <t>No</t>
        </is>
      </c>
      <c r="R87" s="11" t="n">
        <v>0</v>
      </c>
      <c r="S87" s="10">
        <f>M87-(R87*K87)</f>
        <v/>
      </c>
      <c r="T87" s="12">
        <f>VLOOKUP(E87,Dim_Product!$A$2:$Q$61,3,FALSE)</f>
        <v/>
      </c>
      <c r="U87" s="12">
        <f>VLOOKUP(E87,Dim_Product!$A$2:$Q$61,4,FALSE)</f>
        <v/>
      </c>
      <c r="V87" s="12">
        <f>VLOOKUP(D87,Dim_Customer!$A$2:$I$121,6,FALSE)</f>
        <v/>
      </c>
      <c r="W87" s="12">
        <f>VLOOKUP(G87,Dim_Channel!$A$2:$B$5,2,FALSE)</f>
        <v/>
      </c>
      <c r="X87" s="12">
        <f>VLOOKUP(H87,Dim_Promotion!$A$2:$G$11,2,FALSE)</f>
        <v/>
      </c>
    </row>
    <row r="88">
      <c r="A88" s="4" t="inlineStr">
        <is>
          <t>SL0087</t>
        </is>
      </c>
      <c r="B88" t="inlineStr">
        <is>
          <t>O010044</t>
        </is>
      </c>
      <c r="C88" t="n">
        <v>20250603</v>
      </c>
      <c r="D88" s="4" t="inlineStr">
        <is>
          <t>C082</t>
        </is>
      </c>
      <c r="E88" s="4" t="inlineStr">
        <is>
          <t>P047</t>
        </is>
      </c>
      <c r="F88" t="inlineStr">
        <is>
          <t>S</t>
        </is>
      </c>
      <c r="G88" s="4" t="inlineStr">
        <is>
          <t>CH04</t>
        </is>
      </c>
      <c r="H88" s="4" t="inlineStr">
        <is>
          <t>PR00</t>
        </is>
      </c>
      <c r="I88" s="8" t="n">
        <v>73</v>
      </c>
      <c r="J88" s="9" t="n">
        <v>0</v>
      </c>
      <c r="K88" s="10">
        <f>I88*(1-J88)</f>
        <v/>
      </c>
      <c r="L88" s="11" t="n">
        <v>3</v>
      </c>
      <c r="M88" s="10">
        <f>K88*L88</f>
        <v/>
      </c>
      <c r="N88" s="8" t="n">
        <v>30.99</v>
      </c>
      <c r="O88" s="10">
        <f>N88*L88</f>
        <v/>
      </c>
      <c r="P88" s="10">
        <f>M88-O88</f>
        <v/>
      </c>
      <c r="Q88" s="11" t="inlineStr">
        <is>
          <t>Yes</t>
        </is>
      </c>
      <c r="R88" s="11" t="n">
        <v>1</v>
      </c>
      <c r="S88" s="10">
        <f>M88-(R88*K88)</f>
        <v/>
      </c>
      <c r="T88" s="12">
        <f>VLOOKUP(E88,Dim_Product!$A$2:$Q$61,3,FALSE)</f>
        <v/>
      </c>
      <c r="U88" s="12">
        <f>VLOOKUP(E88,Dim_Product!$A$2:$Q$61,4,FALSE)</f>
        <v/>
      </c>
      <c r="V88" s="12">
        <f>VLOOKUP(D88,Dim_Customer!$A$2:$I$121,6,FALSE)</f>
        <v/>
      </c>
      <c r="W88" s="12">
        <f>VLOOKUP(G88,Dim_Channel!$A$2:$B$5,2,FALSE)</f>
        <v/>
      </c>
      <c r="X88" s="12">
        <f>VLOOKUP(H88,Dim_Promotion!$A$2:$G$11,2,FALSE)</f>
        <v/>
      </c>
    </row>
    <row r="89">
      <c r="A89" s="4" t="inlineStr">
        <is>
          <t>SL0088</t>
        </is>
      </c>
      <c r="B89" t="inlineStr">
        <is>
          <t>O010044</t>
        </is>
      </c>
      <c r="C89" t="n">
        <v>20251015</v>
      </c>
      <c r="D89" s="4" t="inlineStr">
        <is>
          <t>C082</t>
        </is>
      </c>
      <c r="E89" s="4" t="inlineStr">
        <is>
          <t>P039</t>
        </is>
      </c>
      <c r="F89" t="inlineStr">
        <is>
          <t>XS</t>
        </is>
      </c>
      <c r="G89" s="4" t="inlineStr">
        <is>
          <t>CH04</t>
        </is>
      </c>
      <c r="H89" s="4" t="inlineStr">
        <is>
          <t>PR00</t>
        </is>
      </c>
      <c r="I89" s="8" t="n">
        <v>74</v>
      </c>
      <c r="J89" s="9" t="n">
        <v>0</v>
      </c>
      <c r="K89" s="10">
        <f>I89*(1-J89)</f>
        <v/>
      </c>
      <c r="L89" s="11" t="n">
        <v>1</v>
      </c>
      <c r="M89" s="10">
        <f>K89*L89</f>
        <v/>
      </c>
      <c r="N89" s="8" t="n">
        <v>35.98</v>
      </c>
      <c r="O89" s="10">
        <f>N89*L89</f>
        <v/>
      </c>
      <c r="P89" s="10">
        <f>M89-O89</f>
        <v/>
      </c>
      <c r="Q89" s="11" t="inlineStr">
        <is>
          <t>No</t>
        </is>
      </c>
      <c r="R89" s="11" t="n">
        <v>0</v>
      </c>
      <c r="S89" s="10">
        <f>M89-(R89*K89)</f>
        <v/>
      </c>
      <c r="T89" s="12">
        <f>VLOOKUP(E89,Dim_Product!$A$2:$Q$61,3,FALSE)</f>
        <v/>
      </c>
      <c r="U89" s="12">
        <f>VLOOKUP(E89,Dim_Product!$A$2:$Q$61,4,FALSE)</f>
        <v/>
      </c>
      <c r="V89" s="12">
        <f>VLOOKUP(D89,Dim_Customer!$A$2:$I$121,6,FALSE)</f>
        <v/>
      </c>
      <c r="W89" s="12">
        <f>VLOOKUP(G89,Dim_Channel!$A$2:$B$5,2,FALSE)</f>
        <v/>
      </c>
      <c r="X89" s="12">
        <f>VLOOKUP(H89,Dim_Promotion!$A$2:$G$11,2,FALSE)</f>
        <v/>
      </c>
    </row>
    <row r="90">
      <c r="A90" s="4" t="inlineStr">
        <is>
          <t>SL0089</t>
        </is>
      </c>
      <c r="B90" t="inlineStr">
        <is>
          <t>O010045</t>
        </is>
      </c>
      <c r="C90" t="n">
        <v>20250805</v>
      </c>
      <c r="D90" s="4" t="inlineStr">
        <is>
          <t>C073</t>
        </is>
      </c>
      <c r="E90" s="4" t="inlineStr">
        <is>
          <t>P003</t>
        </is>
      </c>
      <c r="F90" t="inlineStr">
        <is>
          <t>XL</t>
        </is>
      </c>
      <c r="G90" s="4" t="inlineStr">
        <is>
          <t>CH01</t>
        </is>
      </c>
      <c r="H90" s="4" t="inlineStr">
        <is>
          <t>PR00</t>
        </is>
      </c>
      <c r="I90" s="8" t="n">
        <v>43</v>
      </c>
      <c r="J90" s="9" t="n">
        <v>0</v>
      </c>
      <c r="K90" s="10">
        <f>I90*(1-J90)</f>
        <v/>
      </c>
      <c r="L90" s="11" t="n">
        <v>1</v>
      </c>
      <c r="M90" s="10">
        <f>K90*L90</f>
        <v/>
      </c>
      <c r="N90" s="8" t="n">
        <v>20.75</v>
      </c>
      <c r="O90" s="10">
        <f>N90*L90</f>
        <v/>
      </c>
      <c r="P90" s="10">
        <f>M90-O90</f>
        <v/>
      </c>
      <c r="Q90" s="11" t="inlineStr">
        <is>
          <t>No</t>
        </is>
      </c>
      <c r="R90" s="11" t="n">
        <v>0</v>
      </c>
      <c r="S90" s="10">
        <f>M90-(R90*K90)</f>
        <v/>
      </c>
      <c r="T90" s="12">
        <f>VLOOKUP(E90,Dim_Product!$A$2:$Q$61,3,FALSE)</f>
        <v/>
      </c>
      <c r="U90" s="12">
        <f>VLOOKUP(E90,Dim_Product!$A$2:$Q$61,4,FALSE)</f>
        <v/>
      </c>
      <c r="V90" s="12">
        <f>VLOOKUP(D90,Dim_Customer!$A$2:$I$121,6,FALSE)</f>
        <v/>
      </c>
      <c r="W90" s="12">
        <f>VLOOKUP(G90,Dim_Channel!$A$2:$B$5,2,FALSE)</f>
        <v/>
      </c>
      <c r="X90" s="12">
        <f>VLOOKUP(H90,Dim_Promotion!$A$2:$G$11,2,FALSE)</f>
        <v/>
      </c>
    </row>
    <row r="91">
      <c r="A91" s="4" t="inlineStr">
        <is>
          <t>SL0090</t>
        </is>
      </c>
      <c r="B91" t="inlineStr">
        <is>
          <t>O010045</t>
        </is>
      </c>
      <c r="C91" t="n">
        <v>20250905</v>
      </c>
      <c r="D91" s="4" t="inlineStr">
        <is>
          <t>C113</t>
        </is>
      </c>
      <c r="E91" s="4" t="inlineStr">
        <is>
          <t>P038</t>
        </is>
      </c>
      <c r="F91" t="inlineStr">
        <is>
          <t>XL</t>
        </is>
      </c>
      <c r="G91" s="4" t="inlineStr">
        <is>
          <t>CH01</t>
        </is>
      </c>
      <c r="H91" s="4" t="inlineStr">
        <is>
          <t>PR00</t>
        </is>
      </c>
      <c r="I91" s="8" t="n">
        <v>74</v>
      </c>
      <c r="J91" s="9" t="n">
        <v>0</v>
      </c>
      <c r="K91" s="10">
        <f>I91*(1-J91)</f>
        <v/>
      </c>
      <c r="L91" s="11" t="n">
        <v>1</v>
      </c>
      <c r="M91" s="10">
        <f>K91*L91</f>
        <v/>
      </c>
      <c r="N91" s="8" t="n">
        <v>33.62</v>
      </c>
      <c r="O91" s="10">
        <f>N91*L91</f>
        <v/>
      </c>
      <c r="P91" s="10">
        <f>M91-O91</f>
        <v/>
      </c>
      <c r="Q91" s="11" t="inlineStr">
        <is>
          <t>Yes</t>
        </is>
      </c>
      <c r="R91" s="11" t="n">
        <v>1</v>
      </c>
      <c r="S91" s="10">
        <f>M91-(R91*K91)</f>
        <v/>
      </c>
      <c r="T91" s="12">
        <f>VLOOKUP(E91,Dim_Product!$A$2:$Q$61,3,FALSE)</f>
        <v/>
      </c>
      <c r="U91" s="12">
        <f>VLOOKUP(E91,Dim_Product!$A$2:$Q$61,4,FALSE)</f>
        <v/>
      </c>
      <c r="V91" s="12">
        <f>VLOOKUP(D91,Dim_Customer!$A$2:$I$121,6,FALSE)</f>
        <v/>
      </c>
      <c r="W91" s="12">
        <f>VLOOKUP(G91,Dim_Channel!$A$2:$B$5,2,FALSE)</f>
        <v/>
      </c>
      <c r="X91" s="12">
        <f>VLOOKUP(H91,Dim_Promotion!$A$2:$G$11,2,FALSE)</f>
        <v/>
      </c>
    </row>
    <row r="92">
      <c r="A92" s="4" t="inlineStr">
        <is>
          <t>SL0091</t>
        </is>
      </c>
      <c r="B92" t="inlineStr">
        <is>
          <t>O010046</t>
        </is>
      </c>
      <c r="C92" t="n">
        <v>20251025</v>
      </c>
      <c r="D92" s="4" t="inlineStr">
        <is>
          <t>C030</t>
        </is>
      </c>
      <c r="E92" s="4" t="inlineStr">
        <is>
          <t>P024</t>
        </is>
      </c>
      <c r="F92" t="inlineStr">
        <is>
          <t>S</t>
        </is>
      </c>
      <c r="G92" s="4" t="inlineStr">
        <is>
          <t>CH02</t>
        </is>
      </c>
      <c r="H92" s="4" t="inlineStr">
        <is>
          <t>PR00</t>
        </is>
      </c>
      <c r="I92" s="8" t="n">
        <v>62</v>
      </c>
      <c r="J92" s="9" t="n">
        <v>0</v>
      </c>
      <c r="K92" s="10">
        <f>I92*(1-J92)</f>
        <v/>
      </c>
      <c r="L92" s="11" t="n">
        <v>1</v>
      </c>
      <c r="M92" s="10">
        <f>K92*L92</f>
        <v/>
      </c>
      <c r="N92" s="8" t="n">
        <v>27.56</v>
      </c>
      <c r="O92" s="10">
        <f>N92*L92</f>
        <v/>
      </c>
      <c r="P92" s="10">
        <f>M92-O92</f>
        <v/>
      </c>
      <c r="Q92" s="11" t="inlineStr">
        <is>
          <t>Yes</t>
        </is>
      </c>
      <c r="R92" s="11" t="n">
        <v>1</v>
      </c>
      <c r="S92" s="10">
        <f>M92-(R92*K92)</f>
        <v/>
      </c>
      <c r="T92" s="12">
        <f>VLOOKUP(E92,Dim_Product!$A$2:$Q$61,3,FALSE)</f>
        <v/>
      </c>
      <c r="U92" s="12">
        <f>VLOOKUP(E92,Dim_Product!$A$2:$Q$61,4,FALSE)</f>
        <v/>
      </c>
      <c r="V92" s="12">
        <f>VLOOKUP(D92,Dim_Customer!$A$2:$I$121,6,FALSE)</f>
        <v/>
      </c>
      <c r="W92" s="12">
        <f>VLOOKUP(G92,Dim_Channel!$A$2:$B$5,2,FALSE)</f>
        <v/>
      </c>
      <c r="X92" s="12">
        <f>VLOOKUP(H92,Dim_Promotion!$A$2:$G$11,2,FALSE)</f>
        <v/>
      </c>
    </row>
    <row r="93">
      <c r="A93" s="4" t="inlineStr">
        <is>
          <t>SL0092</t>
        </is>
      </c>
      <c r="B93" t="inlineStr">
        <is>
          <t>O010046</t>
        </is>
      </c>
      <c r="C93" t="n">
        <v>20251128</v>
      </c>
      <c r="D93" s="4" t="inlineStr">
        <is>
          <t>C055</t>
        </is>
      </c>
      <c r="E93" s="4" t="inlineStr">
        <is>
          <t>P041</t>
        </is>
      </c>
      <c r="F93" t="inlineStr">
        <is>
          <t>S</t>
        </is>
      </c>
      <c r="G93" s="4" t="inlineStr">
        <is>
          <t>CH01</t>
        </is>
      </c>
      <c r="H93" s="4" t="inlineStr">
        <is>
          <t>PR08</t>
        </is>
      </c>
      <c r="I93" s="8" t="n">
        <v>76</v>
      </c>
      <c r="J93" s="9" t="n">
        <v>0.25</v>
      </c>
      <c r="K93" s="10">
        <f>I93*(1-J93)</f>
        <v/>
      </c>
      <c r="L93" s="11" t="n">
        <v>1</v>
      </c>
      <c r="M93" s="10">
        <f>K93*L93</f>
        <v/>
      </c>
      <c r="N93" s="8" t="n">
        <v>39.25</v>
      </c>
      <c r="O93" s="10">
        <f>N93*L93</f>
        <v/>
      </c>
      <c r="P93" s="10">
        <f>M93-O93</f>
        <v/>
      </c>
      <c r="Q93" s="11" t="inlineStr">
        <is>
          <t>No</t>
        </is>
      </c>
      <c r="R93" s="11" t="n">
        <v>0</v>
      </c>
      <c r="S93" s="10">
        <f>M93-(R93*K93)</f>
        <v/>
      </c>
      <c r="T93" s="12">
        <f>VLOOKUP(E93,Dim_Product!$A$2:$Q$61,3,FALSE)</f>
        <v/>
      </c>
      <c r="U93" s="12">
        <f>VLOOKUP(E93,Dim_Product!$A$2:$Q$61,4,FALSE)</f>
        <v/>
      </c>
      <c r="V93" s="12">
        <f>VLOOKUP(D93,Dim_Customer!$A$2:$I$121,6,FALSE)</f>
        <v/>
      </c>
      <c r="W93" s="12">
        <f>VLOOKUP(G93,Dim_Channel!$A$2:$B$5,2,FALSE)</f>
        <v/>
      </c>
      <c r="X93" s="12">
        <f>VLOOKUP(H93,Dim_Promotion!$A$2:$G$11,2,FALSE)</f>
        <v/>
      </c>
    </row>
    <row r="94">
      <c r="A94" s="4" t="inlineStr">
        <is>
          <t>SL0093</t>
        </is>
      </c>
      <c r="B94" t="inlineStr">
        <is>
          <t>O010047</t>
        </is>
      </c>
      <c r="C94" t="n">
        <v>20251025</v>
      </c>
      <c r="D94" s="4" t="inlineStr">
        <is>
          <t>C112</t>
        </is>
      </c>
      <c r="E94" s="4" t="inlineStr">
        <is>
          <t>P008</t>
        </is>
      </c>
      <c r="F94" t="inlineStr">
        <is>
          <t>S</t>
        </is>
      </c>
      <c r="G94" s="4" t="inlineStr">
        <is>
          <t>CH02</t>
        </is>
      </c>
      <c r="H94" s="4" t="inlineStr">
        <is>
          <t>PR00</t>
        </is>
      </c>
      <c r="I94" s="8" t="n">
        <v>52</v>
      </c>
      <c r="J94" s="9" t="n">
        <v>0</v>
      </c>
      <c r="K94" s="10">
        <f>I94*(1-J94)</f>
        <v/>
      </c>
      <c r="L94" s="11" t="n">
        <v>1</v>
      </c>
      <c r="M94" s="10">
        <f>K94*L94</f>
        <v/>
      </c>
      <c r="N94" s="8" t="n">
        <v>22.75</v>
      </c>
      <c r="O94" s="10">
        <f>N94*L94</f>
        <v/>
      </c>
      <c r="P94" s="10">
        <f>M94-O94</f>
        <v/>
      </c>
      <c r="Q94" s="11" t="inlineStr">
        <is>
          <t>No</t>
        </is>
      </c>
      <c r="R94" s="11" t="n">
        <v>0</v>
      </c>
      <c r="S94" s="10">
        <f>M94-(R94*K94)</f>
        <v/>
      </c>
      <c r="T94" s="12">
        <f>VLOOKUP(E94,Dim_Product!$A$2:$Q$61,3,FALSE)</f>
        <v/>
      </c>
      <c r="U94" s="12">
        <f>VLOOKUP(E94,Dim_Product!$A$2:$Q$61,4,FALSE)</f>
        <v/>
      </c>
      <c r="V94" s="12">
        <f>VLOOKUP(D94,Dim_Customer!$A$2:$I$121,6,FALSE)</f>
        <v/>
      </c>
      <c r="W94" s="12">
        <f>VLOOKUP(G94,Dim_Channel!$A$2:$B$5,2,FALSE)</f>
        <v/>
      </c>
      <c r="X94" s="12">
        <f>VLOOKUP(H94,Dim_Promotion!$A$2:$G$11,2,FALSE)</f>
        <v/>
      </c>
    </row>
    <row r="95">
      <c r="A95" s="4" t="inlineStr">
        <is>
          <t>SL0094</t>
        </is>
      </c>
      <c r="B95" t="inlineStr">
        <is>
          <t>O010047</t>
        </is>
      </c>
      <c r="C95" t="n">
        <v>20250928</v>
      </c>
      <c r="D95" s="4" t="inlineStr">
        <is>
          <t>C028</t>
        </is>
      </c>
      <c r="E95" s="4" t="inlineStr">
        <is>
          <t>P005</t>
        </is>
      </c>
      <c r="F95" t="inlineStr">
        <is>
          <t>L</t>
        </is>
      </c>
      <c r="G95" s="4" t="inlineStr">
        <is>
          <t>CH02</t>
        </is>
      </c>
      <c r="H95" s="4" t="inlineStr">
        <is>
          <t>PR00</t>
        </is>
      </c>
      <c r="I95" s="8" t="n">
        <v>53</v>
      </c>
      <c r="J95" s="9" t="n">
        <v>0</v>
      </c>
      <c r="K95" s="10">
        <f>I95*(1-J95)</f>
        <v/>
      </c>
      <c r="L95" s="11" t="n">
        <v>1</v>
      </c>
      <c r="M95" s="10">
        <f>K95*L95</f>
        <v/>
      </c>
      <c r="N95" s="8" t="n">
        <v>19.77</v>
      </c>
      <c r="O95" s="10">
        <f>N95*L95</f>
        <v/>
      </c>
      <c r="P95" s="10">
        <f>M95-O95</f>
        <v/>
      </c>
      <c r="Q95" s="11" t="inlineStr">
        <is>
          <t>No</t>
        </is>
      </c>
      <c r="R95" s="11" t="n">
        <v>0</v>
      </c>
      <c r="S95" s="10">
        <f>M95-(R95*K95)</f>
        <v/>
      </c>
      <c r="T95" s="12">
        <f>VLOOKUP(E95,Dim_Product!$A$2:$Q$61,3,FALSE)</f>
        <v/>
      </c>
      <c r="U95" s="12">
        <f>VLOOKUP(E95,Dim_Product!$A$2:$Q$61,4,FALSE)</f>
        <v/>
      </c>
      <c r="V95" s="12">
        <f>VLOOKUP(D95,Dim_Customer!$A$2:$I$121,6,FALSE)</f>
        <v/>
      </c>
      <c r="W95" s="12">
        <f>VLOOKUP(G95,Dim_Channel!$A$2:$B$5,2,FALSE)</f>
        <v/>
      </c>
      <c r="X95" s="12">
        <f>VLOOKUP(H95,Dim_Promotion!$A$2:$G$11,2,FALSE)</f>
        <v/>
      </c>
    </row>
    <row r="96">
      <c r="A96" s="4" t="inlineStr">
        <is>
          <t>SL0095</t>
        </is>
      </c>
      <c r="B96" t="inlineStr">
        <is>
          <t>O010048</t>
        </is>
      </c>
      <c r="C96" t="n">
        <v>20250218</v>
      </c>
      <c r="D96" s="4" t="inlineStr">
        <is>
          <t>C077</t>
        </is>
      </c>
      <c r="E96" s="4" t="inlineStr">
        <is>
          <t>P035</t>
        </is>
      </c>
      <c r="F96" t="inlineStr">
        <is>
          <t>XL</t>
        </is>
      </c>
      <c r="G96" s="4" t="inlineStr">
        <is>
          <t>CH03</t>
        </is>
      </c>
      <c r="H96" s="4" t="inlineStr">
        <is>
          <t>PR00</t>
        </is>
      </c>
      <c r="I96" s="8" t="n">
        <v>88</v>
      </c>
      <c r="J96" s="9" t="n">
        <v>0</v>
      </c>
      <c r="K96" s="10">
        <f>I96*(1-J96)</f>
        <v/>
      </c>
      <c r="L96" s="11" t="n">
        <v>1</v>
      </c>
      <c r="M96" s="10">
        <f>K96*L96</f>
        <v/>
      </c>
      <c r="N96" s="8" t="n">
        <v>43.71</v>
      </c>
      <c r="O96" s="10">
        <f>N96*L96</f>
        <v/>
      </c>
      <c r="P96" s="10">
        <f>M96-O96</f>
        <v/>
      </c>
      <c r="Q96" s="11" t="inlineStr">
        <is>
          <t>No</t>
        </is>
      </c>
      <c r="R96" s="11" t="n">
        <v>0</v>
      </c>
      <c r="S96" s="10">
        <f>M96-(R96*K96)</f>
        <v/>
      </c>
      <c r="T96" s="12">
        <f>VLOOKUP(E96,Dim_Product!$A$2:$Q$61,3,FALSE)</f>
        <v/>
      </c>
      <c r="U96" s="12">
        <f>VLOOKUP(E96,Dim_Product!$A$2:$Q$61,4,FALSE)</f>
        <v/>
      </c>
      <c r="V96" s="12">
        <f>VLOOKUP(D96,Dim_Customer!$A$2:$I$121,6,FALSE)</f>
        <v/>
      </c>
      <c r="W96" s="12">
        <f>VLOOKUP(G96,Dim_Channel!$A$2:$B$5,2,FALSE)</f>
        <v/>
      </c>
      <c r="X96" s="12">
        <f>VLOOKUP(H96,Dim_Promotion!$A$2:$G$11,2,FALSE)</f>
        <v/>
      </c>
    </row>
    <row r="97">
      <c r="A97" s="4" t="inlineStr">
        <is>
          <t>SL0096</t>
        </is>
      </c>
      <c r="B97" t="inlineStr">
        <is>
          <t>O010048</t>
        </is>
      </c>
      <c r="C97" t="n">
        <v>20250621</v>
      </c>
      <c r="D97" s="4" t="inlineStr">
        <is>
          <t>C007</t>
        </is>
      </c>
      <c r="E97" s="4" t="inlineStr">
        <is>
          <t>P046</t>
        </is>
      </c>
      <c r="F97" t="inlineStr">
        <is>
          <t>S</t>
        </is>
      </c>
      <c r="G97" s="4" t="inlineStr">
        <is>
          <t>CH01</t>
        </is>
      </c>
      <c r="H97" s="4" t="inlineStr">
        <is>
          <t>PR00</t>
        </is>
      </c>
      <c r="I97" s="8" t="n">
        <v>64</v>
      </c>
      <c r="J97" s="9" t="n">
        <v>0</v>
      </c>
      <c r="K97" s="10">
        <f>I97*(1-J97)</f>
        <v/>
      </c>
      <c r="L97" s="11" t="n">
        <v>1</v>
      </c>
      <c r="M97" s="10">
        <f>K97*L97</f>
        <v/>
      </c>
      <c r="N97" s="8" t="n">
        <v>34.28</v>
      </c>
      <c r="O97" s="10">
        <f>N97*L97</f>
        <v/>
      </c>
      <c r="P97" s="10">
        <f>M97-O97</f>
        <v/>
      </c>
      <c r="Q97" s="11" t="inlineStr">
        <is>
          <t>No</t>
        </is>
      </c>
      <c r="R97" s="11" t="n">
        <v>0</v>
      </c>
      <c r="S97" s="10">
        <f>M97-(R97*K97)</f>
        <v/>
      </c>
      <c r="T97" s="12">
        <f>VLOOKUP(E97,Dim_Product!$A$2:$Q$61,3,FALSE)</f>
        <v/>
      </c>
      <c r="U97" s="12">
        <f>VLOOKUP(E97,Dim_Product!$A$2:$Q$61,4,FALSE)</f>
        <v/>
      </c>
      <c r="V97" s="12">
        <f>VLOOKUP(D97,Dim_Customer!$A$2:$I$121,6,FALSE)</f>
        <v/>
      </c>
      <c r="W97" s="12">
        <f>VLOOKUP(G97,Dim_Channel!$A$2:$B$5,2,FALSE)</f>
        <v/>
      </c>
      <c r="X97" s="12">
        <f>VLOOKUP(H97,Dim_Promotion!$A$2:$G$11,2,FALSE)</f>
        <v/>
      </c>
    </row>
    <row r="98">
      <c r="A98" s="4" t="inlineStr">
        <is>
          <t>SL0097</t>
        </is>
      </c>
      <c r="B98" t="inlineStr">
        <is>
          <t>O010049</t>
        </is>
      </c>
      <c r="C98" t="n">
        <v>20251205</v>
      </c>
      <c r="D98" s="4" t="inlineStr">
        <is>
          <t>C050</t>
        </is>
      </c>
      <c r="E98" s="4" t="inlineStr">
        <is>
          <t>P051</t>
        </is>
      </c>
      <c r="F98" t="inlineStr">
        <is>
          <t>M</t>
        </is>
      </c>
      <c r="G98" s="4" t="inlineStr">
        <is>
          <t>CH02</t>
        </is>
      </c>
      <c r="H98" s="4" t="inlineStr">
        <is>
          <t>PR09</t>
        </is>
      </c>
      <c r="I98" s="8" t="n">
        <v>68</v>
      </c>
      <c r="J98" s="9" t="n">
        <v>0.15</v>
      </c>
      <c r="K98" s="10">
        <f>I98*(1-J98)</f>
        <v/>
      </c>
      <c r="L98" s="11" t="n">
        <v>1</v>
      </c>
      <c r="M98" s="10">
        <f>K98*L98</f>
        <v/>
      </c>
      <c r="N98" s="8" t="n">
        <v>28.54</v>
      </c>
      <c r="O98" s="10">
        <f>N98*L98</f>
        <v/>
      </c>
      <c r="P98" s="10">
        <f>M98-O98</f>
        <v/>
      </c>
      <c r="Q98" s="11" t="inlineStr">
        <is>
          <t>No</t>
        </is>
      </c>
      <c r="R98" s="11" t="n">
        <v>0</v>
      </c>
      <c r="S98" s="10">
        <f>M98-(R98*K98)</f>
        <v/>
      </c>
      <c r="T98" s="12">
        <f>VLOOKUP(E98,Dim_Product!$A$2:$Q$61,3,FALSE)</f>
        <v/>
      </c>
      <c r="U98" s="12">
        <f>VLOOKUP(E98,Dim_Product!$A$2:$Q$61,4,FALSE)</f>
        <v/>
      </c>
      <c r="V98" s="12">
        <f>VLOOKUP(D98,Dim_Customer!$A$2:$I$121,6,FALSE)</f>
        <v/>
      </c>
      <c r="W98" s="12">
        <f>VLOOKUP(G98,Dim_Channel!$A$2:$B$5,2,FALSE)</f>
        <v/>
      </c>
      <c r="X98" s="12">
        <f>VLOOKUP(H98,Dim_Promotion!$A$2:$G$11,2,FALSE)</f>
        <v/>
      </c>
    </row>
    <row r="99">
      <c r="A99" s="4" t="inlineStr">
        <is>
          <t>SL0098</t>
        </is>
      </c>
      <c r="B99" t="inlineStr">
        <is>
          <t>O010049</t>
        </is>
      </c>
      <c r="C99" t="n">
        <v>20250102</v>
      </c>
      <c r="D99" s="4" t="inlineStr">
        <is>
          <t>C102</t>
        </is>
      </c>
      <c r="E99" s="4" t="inlineStr">
        <is>
          <t>P022</t>
        </is>
      </c>
      <c r="F99" t="inlineStr">
        <is>
          <t>L</t>
        </is>
      </c>
      <c r="G99" s="4" t="inlineStr">
        <is>
          <t>CH03</t>
        </is>
      </c>
      <c r="H99" s="4" t="inlineStr">
        <is>
          <t>PR00</t>
        </is>
      </c>
      <c r="I99" s="8" t="n">
        <v>61</v>
      </c>
      <c r="J99" s="9" t="n">
        <v>0</v>
      </c>
      <c r="K99" s="10">
        <f>I99*(1-J99)</f>
        <v/>
      </c>
      <c r="L99" s="11" t="n">
        <v>1</v>
      </c>
      <c r="M99" s="10">
        <f>K99*L99</f>
        <v/>
      </c>
      <c r="N99" s="8" t="n">
        <v>26.32</v>
      </c>
      <c r="O99" s="10">
        <f>N99*L99</f>
        <v/>
      </c>
      <c r="P99" s="10">
        <f>M99-O99</f>
        <v/>
      </c>
      <c r="Q99" s="11" t="inlineStr">
        <is>
          <t>No</t>
        </is>
      </c>
      <c r="R99" s="11" t="n">
        <v>0</v>
      </c>
      <c r="S99" s="10">
        <f>M99-(R99*K99)</f>
        <v/>
      </c>
      <c r="T99" s="12">
        <f>VLOOKUP(E99,Dim_Product!$A$2:$Q$61,3,FALSE)</f>
        <v/>
      </c>
      <c r="U99" s="12">
        <f>VLOOKUP(E99,Dim_Product!$A$2:$Q$61,4,FALSE)</f>
        <v/>
      </c>
      <c r="V99" s="12">
        <f>VLOOKUP(D99,Dim_Customer!$A$2:$I$121,6,FALSE)</f>
        <v/>
      </c>
      <c r="W99" s="12">
        <f>VLOOKUP(G99,Dim_Channel!$A$2:$B$5,2,FALSE)</f>
        <v/>
      </c>
      <c r="X99" s="12">
        <f>VLOOKUP(H99,Dim_Promotion!$A$2:$G$11,2,FALSE)</f>
        <v/>
      </c>
    </row>
    <row r="100">
      <c r="A100" s="4" t="inlineStr">
        <is>
          <t>SL0099</t>
        </is>
      </c>
      <c r="B100" t="inlineStr">
        <is>
          <t>O010050</t>
        </is>
      </c>
      <c r="C100" t="n">
        <v>20250510</v>
      </c>
      <c r="D100" s="4" t="inlineStr">
        <is>
          <t>C011</t>
        </is>
      </c>
      <c r="E100" s="4" t="inlineStr">
        <is>
          <t>P029</t>
        </is>
      </c>
      <c r="F100" t="inlineStr">
        <is>
          <t>L</t>
        </is>
      </c>
      <c r="G100" s="4" t="inlineStr">
        <is>
          <t>CH04</t>
        </is>
      </c>
      <c r="H100" s="4" t="inlineStr">
        <is>
          <t>PR00</t>
        </is>
      </c>
      <c r="I100" s="8" t="n">
        <v>108</v>
      </c>
      <c r="J100" s="9" t="n">
        <v>0</v>
      </c>
      <c r="K100" s="10">
        <f>I100*(1-J100)</f>
        <v/>
      </c>
      <c r="L100" s="11" t="n">
        <v>1</v>
      </c>
      <c r="M100" s="10">
        <f>K100*L100</f>
        <v/>
      </c>
      <c r="N100" s="8" t="n">
        <v>56.35</v>
      </c>
      <c r="O100" s="10">
        <f>N100*L100</f>
        <v/>
      </c>
      <c r="P100" s="10">
        <f>M100-O100</f>
        <v/>
      </c>
      <c r="Q100" s="11" t="inlineStr">
        <is>
          <t>No</t>
        </is>
      </c>
      <c r="R100" s="11" t="n">
        <v>0</v>
      </c>
      <c r="S100" s="10">
        <f>M100-(R100*K100)</f>
        <v/>
      </c>
      <c r="T100" s="12">
        <f>VLOOKUP(E100,Dim_Product!$A$2:$Q$61,3,FALSE)</f>
        <v/>
      </c>
      <c r="U100" s="12">
        <f>VLOOKUP(E100,Dim_Product!$A$2:$Q$61,4,FALSE)</f>
        <v/>
      </c>
      <c r="V100" s="12">
        <f>VLOOKUP(D100,Dim_Customer!$A$2:$I$121,6,FALSE)</f>
        <v/>
      </c>
      <c r="W100" s="12">
        <f>VLOOKUP(G100,Dim_Channel!$A$2:$B$5,2,FALSE)</f>
        <v/>
      </c>
      <c r="X100" s="12">
        <f>VLOOKUP(H100,Dim_Promotion!$A$2:$G$11,2,FALSE)</f>
        <v/>
      </c>
    </row>
    <row r="101">
      <c r="A101" s="4" t="inlineStr">
        <is>
          <t>SL0100</t>
        </is>
      </c>
      <c r="B101" t="inlineStr">
        <is>
          <t>O010050</t>
        </is>
      </c>
      <c r="C101" t="n">
        <v>20250408</v>
      </c>
      <c r="D101" s="4" t="inlineStr">
        <is>
          <t>C012</t>
        </is>
      </c>
      <c r="E101" s="4" t="inlineStr">
        <is>
          <t>P055</t>
        </is>
      </c>
      <c r="F101" t="inlineStr">
        <is>
          <t>M</t>
        </is>
      </c>
      <c r="G101" s="4" t="inlineStr">
        <is>
          <t>CH01</t>
        </is>
      </c>
      <c r="H101" s="4" t="inlineStr">
        <is>
          <t>PR00</t>
        </is>
      </c>
      <c r="I101" s="8" t="n">
        <v>70</v>
      </c>
      <c r="J101" s="9" t="n">
        <v>0</v>
      </c>
      <c r="K101" s="10">
        <f>I101*(1-J101)</f>
        <v/>
      </c>
      <c r="L101" s="11" t="n">
        <v>1</v>
      </c>
      <c r="M101" s="10">
        <f>K101*L101</f>
        <v/>
      </c>
      <c r="N101" s="8" t="n">
        <v>34.76</v>
      </c>
      <c r="O101" s="10">
        <f>N101*L101</f>
        <v/>
      </c>
      <c r="P101" s="10">
        <f>M101-O101</f>
        <v/>
      </c>
      <c r="Q101" s="11" t="inlineStr">
        <is>
          <t>No</t>
        </is>
      </c>
      <c r="R101" s="11" t="n">
        <v>0</v>
      </c>
      <c r="S101" s="10">
        <f>M101-(R101*K101)</f>
        <v/>
      </c>
      <c r="T101" s="12">
        <f>VLOOKUP(E101,Dim_Product!$A$2:$Q$61,3,FALSE)</f>
        <v/>
      </c>
      <c r="U101" s="12">
        <f>VLOOKUP(E101,Dim_Product!$A$2:$Q$61,4,FALSE)</f>
        <v/>
      </c>
      <c r="V101" s="12">
        <f>VLOOKUP(D101,Dim_Customer!$A$2:$I$121,6,FALSE)</f>
        <v/>
      </c>
      <c r="W101" s="12">
        <f>VLOOKUP(G101,Dim_Channel!$A$2:$B$5,2,FALSE)</f>
        <v/>
      </c>
      <c r="X101" s="12">
        <f>VLOOKUP(H101,Dim_Promotion!$A$2:$G$11,2,FALSE)</f>
        <v/>
      </c>
    </row>
    <row r="102">
      <c r="A102" s="4" t="inlineStr">
        <is>
          <t>SL0101</t>
        </is>
      </c>
      <c r="B102" t="inlineStr">
        <is>
          <t>O010051</t>
        </is>
      </c>
      <c r="C102" t="n">
        <v>20250312</v>
      </c>
      <c r="D102" s="4" t="inlineStr">
        <is>
          <t>C067</t>
        </is>
      </c>
      <c r="E102" s="4" t="inlineStr">
        <is>
          <t>P014</t>
        </is>
      </c>
      <c r="F102" t="inlineStr">
        <is>
          <t>L</t>
        </is>
      </c>
      <c r="G102" s="4" t="inlineStr">
        <is>
          <t>CH04</t>
        </is>
      </c>
      <c r="H102" s="4" t="inlineStr">
        <is>
          <t>PR00</t>
        </is>
      </c>
      <c r="I102" s="8" t="n">
        <v>58</v>
      </c>
      <c r="J102" s="9" t="n">
        <v>0</v>
      </c>
      <c r="K102" s="10">
        <f>I102*(1-J102)</f>
        <v/>
      </c>
      <c r="L102" s="11" t="n">
        <v>1</v>
      </c>
      <c r="M102" s="10">
        <f>K102*L102</f>
        <v/>
      </c>
      <c r="N102" s="8" t="n">
        <v>27.16</v>
      </c>
      <c r="O102" s="10">
        <f>N102*L102</f>
        <v/>
      </c>
      <c r="P102" s="10">
        <f>M102-O102</f>
        <v/>
      </c>
      <c r="Q102" s="11" t="inlineStr">
        <is>
          <t>No</t>
        </is>
      </c>
      <c r="R102" s="11" t="n">
        <v>0</v>
      </c>
      <c r="S102" s="10">
        <f>M102-(R102*K102)</f>
        <v/>
      </c>
      <c r="T102" s="12">
        <f>VLOOKUP(E102,Dim_Product!$A$2:$Q$61,3,FALSE)</f>
        <v/>
      </c>
      <c r="U102" s="12">
        <f>VLOOKUP(E102,Dim_Product!$A$2:$Q$61,4,FALSE)</f>
        <v/>
      </c>
      <c r="V102" s="12">
        <f>VLOOKUP(D102,Dim_Customer!$A$2:$I$121,6,FALSE)</f>
        <v/>
      </c>
      <c r="W102" s="12">
        <f>VLOOKUP(G102,Dim_Channel!$A$2:$B$5,2,FALSE)</f>
        <v/>
      </c>
      <c r="X102" s="12">
        <f>VLOOKUP(H102,Dim_Promotion!$A$2:$G$11,2,FALSE)</f>
        <v/>
      </c>
    </row>
    <row r="103">
      <c r="A103" s="4" t="inlineStr">
        <is>
          <t>SL0102</t>
        </is>
      </c>
      <c r="B103" t="inlineStr">
        <is>
          <t>O010051</t>
        </is>
      </c>
      <c r="C103" t="n">
        <v>20250419</v>
      </c>
      <c r="D103" s="4" t="inlineStr">
        <is>
          <t>C081</t>
        </is>
      </c>
      <c r="E103" s="4" t="inlineStr">
        <is>
          <t>P005</t>
        </is>
      </c>
      <c r="F103" t="inlineStr">
        <is>
          <t>M</t>
        </is>
      </c>
      <c r="G103" s="4" t="inlineStr">
        <is>
          <t>CH01</t>
        </is>
      </c>
      <c r="H103" s="4" t="inlineStr">
        <is>
          <t>PR00</t>
        </is>
      </c>
      <c r="I103" s="8" t="n">
        <v>52</v>
      </c>
      <c r="J103" s="9" t="n">
        <v>0</v>
      </c>
      <c r="K103" s="10">
        <f>I103*(1-J103)</f>
        <v/>
      </c>
      <c r="L103" s="11" t="n">
        <v>2</v>
      </c>
      <c r="M103" s="10">
        <f>K103*L103</f>
        <v/>
      </c>
      <c r="N103" s="8" t="n">
        <v>20.67</v>
      </c>
      <c r="O103" s="10">
        <f>N103*L103</f>
        <v/>
      </c>
      <c r="P103" s="10">
        <f>M103-O103</f>
        <v/>
      </c>
      <c r="Q103" s="11" t="inlineStr">
        <is>
          <t>No</t>
        </is>
      </c>
      <c r="R103" s="11" t="n">
        <v>0</v>
      </c>
      <c r="S103" s="10">
        <f>M103-(R103*K103)</f>
        <v/>
      </c>
      <c r="T103" s="12">
        <f>VLOOKUP(E103,Dim_Product!$A$2:$Q$61,3,FALSE)</f>
        <v/>
      </c>
      <c r="U103" s="12">
        <f>VLOOKUP(E103,Dim_Product!$A$2:$Q$61,4,FALSE)</f>
        <v/>
      </c>
      <c r="V103" s="12">
        <f>VLOOKUP(D103,Dim_Customer!$A$2:$I$121,6,FALSE)</f>
        <v/>
      </c>
      <c r="W103" s="12">
        <f>VLOOKUP(G103,Dim_Channel!$A$2:$B$5,2,FALSE)</f>
        <v/>
      </c>
      <c r="X103" s="12">
        <f>VLOOKUP(H103,Dim_Promotion!$A$2:$G$11,2,FALSE)</f>
        <v/>
      </c>
    </row>
    <row r="104">
      <c r="A104" s="4" t="inlineStr">
        <is>
          <t>SL0103</t>
        </is>
      </c>
      <c r="B104" t="inlineStr">
        <is>
          <t>O010052</t>
        </is>
      </c>
      <c r="C104" t="n">
        <v>20250224</v>
      </c>
      <c r="D104" s="4" t="inlineStr">
        <is>
          <t>C066</t>
        </is>
      </c>
      <c r="E104" s="4" t="inlineStr">
        <is>
          <t>P001</t>
        </is>
      </c>
      <c r="F104" t="inlineStr">
        <is>
          <t>M</t>
        </is>
      </c>
      <c r="G104" s="4" t="inlineStr">
        <is>
          <t>CH04</t>
        </is>
      </c>
      <c r="H104" s="4" t="inlineStr">
        <is>
          <t>PR00</t>
        </is>
      </c>
      <c r="I104" s="8" t="n">
        <v>38</v>
      </c>
      <c r="J104" s="9" t="n">
        <v>0</v>
      </c>
      <c r="K104" s="10">
        <f>I104*(1-J104)</f>
        <v/>
      </c>
      <c r="L104" s="11" t="n">
        <v>1</v>
      </c>
      <c r="M104" s="10">
        <f>K104*L104</f>
        <v/>
      </c>
      <c r="N104" s="8" t="n">
        <v>17.59</v>
      </c>
      <c r="O104" s="10">
        <f>N104*L104</f>
        <v/>
      </c>
      <c r="P104" s="10">
        <f>M104-O104</f>
        <v/>
      </c>
      <c r="Q104" s="11" t="inlineStr">
        <is>
          <t>No</t>
        </is>
      </c>
      <c r="R104" s="11" t="n">
        <v>0</v>
      </c>
      <c r="S104" s="10">
        <f>M104-(R104*K104)</f>
        <v/>
      </c>
      <c r="T104" s="12">
        <f>VLOOKUP(E104,Dim_Product!$A$2:$Q$61,3,FALSE)</f>
        <v/>
      </c>
      <c r="U104" s="12">
        <f>VLOOKUP(E104,Dim_Product!$A$2:$Q$61,4,FALSE)</f>
        <v/>
      </c>
      <c r="V104" s="12">
        <f>VLOOKUP(D104,Dim_Customer!$A$2:$I$121,6,FALSE)</f>
        <v/>
      </c>
      <c r="W104" s="12">
        <f>VLOOKUP(G104,Dim_Channel!$A$2:$B$5,2,FALSE)</f>
        <v/>
      </c>
      <c r="X104" s="12">
        <f>VLOOKUP(H104,Dim_Promotion!$A$2:$G$11,2,FALSE)</f>
        <v/>
      </c>
    </row>
    <row r="105">
      <c r="A105" s="4" t="inlineStr">
        <is>
          <t>SL0104</t>
        </is>
      </c>
      <c r="B105" t="inlineStr">
        <is>
          <t>O010052</t>
        </is>
      </c>
      <c r="C105" t="n">
        <v>20250611</v>
      </c>
      <c r="D105" s="4" t="inlineStr">
        <is>
          <t>C032</t>
        </is>
      </c>
      <c r="E105" s="4" t="inlineStr">
        <is>
          <t>P024</t>
        </is>
      </c>
      <c r="F105" t="inlineStr">
        <is>
          <t>M</t>
        </is>
      </c>
      <c r="G105" s="4" t="inlineStr">
        <is>
          <t>CH01</t>
        </is>
      </c>
      <c r="H105" s="4" t="inlineStr">
        <is>
          <t>PR00</t>
        </is>
      </c>
      <c r="I105" s="8" t="n">
        <v>58</v>
      </c>
      <c r="J105" s="9" t="n">
        <v>0</v>
      </c>
      <c r="K105" s="10">
        <f>I105*(1-J105)</f>
        <v/>
      </c>
      <c r="L105" s="11" t="n">
        <v>1</v>
      </c>
      <c r="M105" s="10">
        <f>K105*L105</f>
        <v/>
      </c>
      <c r="N105" s="8" t="n">
        <v>27.76</v>
      </c>
      <c r="O105" s="10">
        <f>N105*L105</f>
        <v/>
      </c>
      <c r="P105" s="10">
        <f>M105-O105</f>
        <v/>
      </c>
      <c r="Q105" s="11" t="inlineStr">
        <is>
          <t>No</t>
        </is>
      </c>
      <c r="R105" s="11" t="n">
        <v>0</v>
      </c>
      <c r="S105" s="10">
        <f>M105-(R105*K105)</f>
        <v/>
      </c>
      <c r="T105" s="12">
        <f>VLOOKUP(E105,Dim_Product!$A$2:$Q$61,3,FALSE)</f>
        <v/>
      </c>
      <c r="U105" s="12">
        <f>VLOOKUP(E105,Dim_Product!$A$2:$Q$61,4,FALSE)</f>
        <v/>
      </c>
      <c r="V105" s="12">
        <f>VLOOKUP(D105,Dim_Customer!$A$2:$I$121,6,FALSE)</f>
        <v/>
      </c>
      <c r="W105" s="12">
        <f>VLOOKUP(G105,Dim_Channel!$A$2:$B$5,2,FALSE)</f>
        <v/>
      </c>
      <c r="X105" s="12">
        <f>VLOOKUP(H105,Dim_Promotion!$A$2:$G$11,2,FALSE)</f>
        <v/>
      </c>
    </row>
    <row r="106">
      <c r="A106" s="4" t="inlineStr">
        <is>
          <t>SL0105</t>
        </is>
      </c>
      <c r="B106" t="inlineStr">
        <is>
          <t>O010053</t>
        </is>
      </c>
      <c r="C106" t="n">
        <v>20251203</v>
      </c>
      <c r="D106" s="4" t="inlineStr">
        <is>
          <t>C113</t>
        </is>
      </c>
      <c r="E106" s="4" t="inlineStr">
        <is>
          <t>P026</t>
        </is>
      </c>
      <c r="F106" t="inlineStr">
        <is>
          <t>XL</t>
        </is>
      </c>
      <c r="G106" s="4" t="inlineStr">
        <is>
          <t>CH01</t>
        </is>
      </c>
      <c r="H106" s="4" t="inlineStr">
        <is>
          <t>PR00</t>
        </is>
      </c>
      <c r="I106" s="8" t="n">
        <v>93</v>
      </c>
      <c r="J106" s="9" t="n">
        <v>0.05</v>
      </c>
      <c r="K106" s="10">
        <f>I106*(1-J106)</f>
        <v/>
      </c>
      <c r="L106" s="11" t="n">
        <v>1</v>
      </c>
      <c r="M106" s="10">
        <f>K106*L106</f>
        <v/>
      </c>
      <c r="N106" s="8" t="n">
        <v>44.92</v>
      </c>
      <c r="O106" s="10">
        <f>N106*L106</f>
        <v/>
      </c>
      <c r="P106" s="10">
        <f>M106-O106</f>
        <v/>
      </c>
      <c r="Q106" s="11" t="inlineStr">
        <is>
          <t>No</t>
        </is>
      </c>
      <c r="R106" s="11" t="n">
        <v>0</v>
      </c>
      <c r="S106" s="10">
        <f>M106-(R106*K106)</f>
        <v/>
      </c>
      <c r="T106" s="12">
        <f>VLOOKUP(E106,Dim_Product!$A$2:$Q$61,3,FALSE)</f>
        <v/>
      </c>
      <c r="U106" s="12">
        <f>VLOOKUP(E106,Dim_Product!$A$2:$Q$61,4,FALSE)</f>
        <v/>
      </c>
      <c r="V106" s="12">
        <f>VLOOKUP(D106,Dim_Customer!$A$2:$I$121,6,FALSE)</f>
        <v/>
      </c>
      <c r="W106" s="12">
        <f>VLOOKUP(G106,Dim_Channel!$A$2:$B$5,2,FALSE)</f>
        <v/>
      </c>
      <c r="X106" s="12">
        <f>VLOOKUP(H106,Dim_Promotion!$A$2:$G$11,2,FALSE)</f>
        <v/>
      </c>
    </row>
    <row r="107">
      <c r="A107" s="4" t="inlineStr">
        <is>
          <t>SL0106</t>
        </is>
      </c>
      <c r="B107" t="inlineStr">
        <is>
          <t>O010053</t>
        </is>
      </c>
      <c r="C107" t="n">
        <v>20250719</v>
      </c>
      <c r="D107" s="4" t="inlineStr">
        <is>
          <t>C064</t>
        </is>
      </c>
      <c r="E107" s="4" t="inlineStr">
        <is>
          <t>P043</t>
        </is>
      </c>
      <c r="F107" t="inlineStr">
        <is>
          <t>L</t>
        </is>
      </c>
      <c r="G107" s="4" t="inlineStr">
        <is>
          <t>CH01</t>
        </is>
      </c>
      <c r="H107" s="4" t="inlineStr">
        <is>
          <t>PR00</t>
        </is>
      </c>
      <c r="I107" s="8" t="n">
        <v>78</v>
      </c>
      <c r="J107" s="9" t="n">
        <v>0.08</v>
      </c>
      <c r="K107" s="10">
        <f>I107*(1-J107)</f>
        <v/>
      </c>
      <c r="L107" s="11" t="n">
        <v>3</v>
      </c>
      <c r="M107" s="10">
        <f>K107*L107</f>
        <v/>
      </c>
      <c r="N107" s="8" t="n">
        <v>37.24</v>
      </c>
      <c r="O107" s="10">
        <f>N107*L107</f>
        <v/>
      </c>
      <c r="P107" s="10">
        <f>M107-O107</f>
        <v/>
      </c>
      <c r="Q107" s="11" t="inlineStr">
        <is>
          <t>No</t>
        </is>
      </c>
      <c r="R107" s="11" t="n">
        <v>0</v>
      </c>
      <c r="S107" s="10">
        <f>M107-(R107*K107)</f>
        <v/>
      </c>
      <c r="T107" s="12">
        <f>VLOOKUP(E107,Dim_Product!$A$2:$Q$61,3,FALSE)</f>
        <v/>
      </c>
      <c r="U107" s="12">
        <f>VLOOKUP(E107,Dim_Product!$A$2:$Q$61,4,FALSE)</f>
        <v/>
      </c>
      <c r="V107" s="12">
        <f>VLOOKUP(D107,Dim_Customer!$A$2:$I$121,6,FALSE)</f>
        <v/>
      </c>
      <c r="W107" s="12">
        <f>VLOOKUP(G107,Dim_Channel!$A$2:$B$5,2,FALSE)</f>
        <v/>
      </c>
      <c r="X107" s="12">
        <f>VLOOKUP(H107,Dim_Promotion!$A$2:$G$11,2,FALSE)</f>
        <v/>
      </c>
    </row>
    <row r="108">
      <c r="A108" s="4" t="inlineStr">
        <is>
          <t>SL0107</t>
        </is>
      </c>
      <c r="B108" t="inlineStr">
        <is>
          <t>O010054</t>
        </is>
      </c>
      <c r="C108" t="n">
        <v>20251124</v>
      </c>
      <c r="D108" s="4" t="inlineStr">
        <is>
          <t>C040</t>
        </is>
      </c>
      <c r="E108" s="4" t="inlineStr">
        <is>
          <t>P006</t>
        </is>
      </c>
      <c r="F108" t="inlineStr">
        <is>
          <t>M</t>
        </is>
      </c>
      <c r="G108" s="4" t="inlineStr">
        <is>
          <t>CH04</t>
        </is>
      </c>
      <c r="H108" s="4" t="inlineStr">
        <is>
          <t>PR00</t>
        </is>
      </c>
      <c r="I108" s="8" t="n">
        <v>46</v>
      </c>
      <c r="J108" s="9" t="n">
        <v>0</v>
      </c>
      <c r="K108" s="10">
        <f>I108*(1-J108)</f>
        <v/>
      </c>
      <c r="L108" s="11" t="n">
        <v>1</v>
      </c>
      <c r="M108" s="10">
        <f>K108*L108</f>
        <v/>
      </c>
      <c r="N108" s="8" t="n">
        <v>21.74</v>
      </c>
      <c r="O108" s="10">
        <f>N108*L108</f>
        <v/>
      </c>
      <c r="P108" s="10">
        <f>M108-O108</f>
        <v/>
      </c>
      <c r="Q108" s="11" t="inlineStr">
        <is>
          <t>No</t>
        </is>
      </c>
      <c r="R108" s="11" t="n">
        <v>0</v>
      </c>
      <c r="S108" s="10">
        <f>M108-(R108*K108)</f>
        <v/>
      </c>
      <c r="T108" s="12">
        <f>VLOOKUP(E108,Dim_Product!$A$2:$Q$61,3,FALSE)</f>
        <v/>
      </c>
      <c r="U108" s="12">
        <f>VLOOKUP(E108,Dim_Product!$A$2:$Q$61,4,FALSE)</f>
        <v/>
      </c>
      <c r="V108" s="12">
        <f>VLOOKUP(D108,Dim_Customer!$A$2:$I$121,6,FALSE)</f>
        <v/>
      </c>
      <c r="W108" s="12">
        <f>VLOOKUP(G108,Dim_Channel!$A$2:$B$5,2,FALSE)</f>
        <v/>
      </c>
      <c r="X108" s="12">
        <f>VLOOKUP(H108,Dim_Promotion!$A$2:$G$11,2,FALSE)</f>
        <v/>
      </c>
    </row>
    <row r="109">
      <c r="A109" s="4" t="inlineStr">
        <is>
          <t>SL0108</t>
        </is>
      </c>
      <c r="B109" t="inlineStr">
        <is>
          <t>O010054</t>
        </is>
      </c>
      <c r="C109" t="n">
        <v>20250723</v>
      </c>
      <c r="D109" s="4" t="inlineStr">
        <is>
          <t>C115</t>
        </is>
      </c>
      <c r="E109" s="4" t="inlineStr">
        <is>
          <t>P005</t>
        </is>
      </c>
      <c r="F109" t="inlineStr">
        <is>
          <t>S</t>
        </is>
      </c>
      <c r="G109" s="4" t="inlineStr">
        <is>
          <t>CH03</t>
        </is>
      </c>
      <c r="H109" s="4" t="inlineStr">
        <is>
          <t>PR00</t>
        </is>
      </c>
      <c r="I109" s="8" t="n">
        <v>54</v>
      </c>
      <c r="J109" s="9" t="n">
        <v>0</v>
      </c>
      <c r="K109" s="10">
        <f>I109*(1-J109)</f>
        <v/>
      </c>
      <c r="L109" s="11" t="n">
        <v>1</v>
      </c>
      <c r="M109" s="10">
        <f>K109*L109</f>
        <v/>
      </c>
      <c r="N109" s="8" t="n">
        <v>20.39</v>
      </c>
      <c r="O109" s="10">
        <f>N109*L109</f>
        <v/>
      </c>
      <c r="P109" s="10">
        <f>M109-O109</f>
        <v/>
      </c>
      <c r="Q109" s="11" t="inlineStr">
        <is>
          <t>No</t>
        </is>
      </c>
      <c r="R109" s="11" t="n">
        <v>0</v>
      </c>
      <c r="S109" s="10">
        <f>M109-(R109*K109)</f>
        <v/>
      </c>
      <c r="T109" s="12">
        <f>VLOOKUP(E109,Dim_Product!$A$2:$Q$61,3,FALSE)</f>
        <v/>
      </c>
      <c r="U109" s="12">
        <f>VLOOKUP(E109,Dim_Product!$A$2:$Q$61,4,FALSE)</f>
        <v/>
      </c>
      <c r="V109" s="12">
        <f>VLOOKUP(D109,Dim_Customer!$A$2:$I$121,6,FALSE)</f>
        <v/>
      </c>
      <c r="W109" s="12">
        <f>VLOOKUP(G109,Dim_Channel!$A$2:$B$5,2,FALSE)</f>
        <v/>
      </c>
      <c r="X109" s="12">
        <f>VLOOKUP(H109,Dim_Promotion!$A$2:$G$11,2,FALSE)</f>
        <v/>
      </c>
    </row>
    <row r="110">
      <c r="A110" s="4" t="inlineStr">
        <is>
          <t>SL0109</t>
        </is>
      </c>
      <c r="B110" t="inlineStr">
        <is>
          <t>O010055</t>
        </is>
      </c>
      <c r="C110" t="n">
        <v>20250528</v>
      </c>
      <c r="D110" s="4" t="inlineStr">
        <is>
          <t>C041</t>
        </is>
      </c>
      <c r="E110" s="4" t="inlineStr">
        <is>
          <t>P055</t>
        </is>
      </c>
      <c r="F110" t="inlineStr">
        <is>
          <t>L</t>
        </is>
      </c>
      <c r="G110" s="4" t="inlineStr">
        <is>
          <t>CH01</t>
        </is>
      </c>
      <c r="H110" s="4" t="inlineStr">
        <is>
          <t>PR00</t>
        </is>
      </c>
      <c r="I110" s="8" t="n">
        <v>70</v>
      </c>
      <c r="J110" s="9" t="n">
        <v>0</v>
      </c>
      <c r="K110" s="10">
        <f>I110*(1-J110)</f>
        <v/>
      </c>
      <c r="L110" s="11" t="n">
        <v>1</v>
      </c>
      <c r="M110" s="10">
        <f>K110*L110</f>
        <v/>
      </c>
      <c r="N110" s="8" t="n">
        <v>34.89</v>
      </c>
      <c r="O110" s="10">
        <f>N110*L110</f>
        <v/>
      </c>
      <c r="P110" s="10">
        <f>M110-O110</f>
        <v/>
      </c>
      <c r="Q110" s="11" t="inlineStr">
        <is>
          <t>No</t>
        </is>
      </c>
      <c r="R110" s="11" t="n">
        <v>0</v>
      </c>
      <c r="S110" s="10">
        <f>M110-(R110*K110)</f>
        <v/>
      </c>
      <c r="T110" s="12">
        <f>VLOOKUP(E110,Dim_Product!$A$2:$Q$61,3,FALSE)</f>
        <v/>
      </c>
      <c r="U110" s="12">
        <f>VLOOKUP(E110,Dim_Product!$A$2:$Q$61,4,FALSE)</f>
        <v/>
      </c>
      <c r="V110" s="12">
        <f>VLOOKUP(D110,Dim_Customer!$A$2:$I$121,6,FALSE)</f>
        <v/>
      </c>
      <c r="W110" s="12">
        <f>VLOOKUP(G110,Dim_Channel!$A$2:$B$5,2,FALSE)</f>
        <v/>
      </c>
      <c r="X110" s="12">
        <f>VLOOKUP(H110,Dim_Promotion!$A$2:$G$11,2,FALSE)</f>
        <v/>
      </c>
    </row>
    <row r="111">
      <c r="A111" s="4" t="inlineStr">
        <is>
          <t>SL0110</t>
        </is>
      </c>
      <c r="B111" t="inlineStr">
        <is>
          <t>O010055</t>
        </is>
      </c>
      <c r="C111" t="n">
        <v>20250215</v>
      </c>
      <c r="D111" s="4" t="inlineStr">
        <is>
          <t>C060</t>
        </is>
      </c>
      <c r="E111" s="4" t="inlineStr">
        <is>
          <t>P018</t>
        </is>
      </c>
      <c r="F111" t="inlineStr">
        <is>
          <t>S</t>
        </is>
      </c>
      <c r="G111" s="4" t="inlineStr">
        <is>
          <t>CH03</t>
        </is>
      </c>
      <c r="H111" s="4" t="inlineStr">
        <is>
          <t>PR00</t>
        </is>
      </c>
      <c r="I111" s="8" t="n">
        <v>65</v>
      </c>
      <c r="J111" s="9" t="n">
        <v>0</v>
      </c>
      <c r="K111" s="10">
        <f>I111*(1-J111)</f>
        <v/>
      </c>
      <c r="L111" s="11" t="n">
        <v>1</v>
      </c>
      <c r="M111" s="10">
        <f>K111*L111</f>
        <v/>
      </c>
      <c r="N111" s="8" t="n">
        <v>30.6</v>
      </c>
      <c r="O111" s="10">
        <f>N111*L111</f>
        <v/>
      </c>
      <c r="P111" s="10">
        <f>M111-O111</f>
        <v/>
      </c>
      <c r="Q111" s="11" t="inlineStr">
        <is>
          <t>No</t>
        </is>
      </c>
      <c r="R111" s="11" t="n">
        <v>0</v>
      </c>
      <c r="S111" s="10">
        <f>M111-(R111*K111)</f>
        <v/>
      </c>
      <c r="T111" s="12">
        <f>VLOOKUP(E111,Dim_Product!$A$2:$Q$61,3,FALSE)</f>
        <v/>
      </c>
      <c r="U111" s="12">
        <f>VLOOKUP(E111,Dim_Product!$A$2:$Q$61,4,FALSE)</f>
        <v/>
      </c>
      <c r="V111" s="12">
        <f>VLOOKUP(D111,Dim_Customer!$A$2:$I$121,6,FALSE)</f>
        <v/>
      </c>
      <c r="W111" s="12">
        <f>VLOOKUP(G111,Dim_Channel!$A$2:$B$5,2,FALSE)</f>
        <v/>
      </c>
      <c r="X111" s="12">
        <f>VLOOKUP(H111,Dim_Promotion!$A$2:$G$11,2,FALSE)</f>
        <v/>
      </c>
    </row>
    <row r="112">
      <c r="A112" s="4" t="inlineStr">
        <is>
          <t>SL0111</t>
        </is>
      </c>
      <c r="B112" t="inlineStr">
        <is>
          <t>O010056</t>
        </is>
      </c>
      <c r="C112" t="n">
        <v>20250927</v>
      </c>
      <c r="D112" s="4" t="inlineStr">
        <is>
          <t>C091</t>
        </is>
      </c>
      <c r="E112" s="4" t="inlineStr">
        <is>
          <t>P041</t>
        </is>
      </c>
      <c r="F112" t="inlineStr">
        <is>
          <t>L</t>
        </is>
      </c>
      <c r="G112" s="4" t="inlineStr">
        <is>
          <t>CH02</t>
        </is>
      </c>
      <c r="H112" s="4" t="inlineStr">
        <is>
          <t>PR00</t>
        </is>
      </c>
      <c r="I112" s="8" t="n">
        <v>78</v>
      </c>
      <c r="J112" s="9" t="n">
        <v>0</v>
      </c>
      <c r="K112" s="10">
        <f>I112*(1-J112)</f>
        <v/>
      </c>
      <c r="L112" s="11" t="n">
        <v>3</v>
      </c>
      <c r="M112" s="10">
        <f>K112*L112</f>
        <v/>
      </c>
      <c r="N112" s="8" t="n">
        <v>38.14</v>
      </c>
      <c r="O112" s="10">
        <f>N112*L112</f>
        <v/>
      </c>
      <c r="P112" s="10">
        <f>M112-O112</f>
        <v/>
      </c>
      <c r="Q112" s="11" t="inlineStr">
        <is>
          <t>No</t>
        </is>
      </c>
      <c r="R112" s="11" t="n">
        <v>0</v>
      </c>
      <c r="S112" s="10">
        <f>M112-(R112*K112)</f>
        <v/>
      </c>
      <c r="T112" s="12">
        <f>VLOOKUP(E112,Dim_Product!$A$2:$Q$61,3,FALSE)</f>
        <v/>
      </c>
      <c r="U112" s="12">
        <f>VLOOKUP(E112,Dim_Product!$A$2:$Q$61,4,FALSE)</f>
        <v/>
      </c>
      <c r="V112" s="12">
        <f>VLOOKUP(D112,Dim_Customer!$A$2:$I$121,6,FALSE)</f>
        <v/>
      </c>
      <c r="W112" s="12">
        <f>VLOOKUP(G112,Dim_Channel!$A$2:$B$5,2,FALSE)</f>
        <v/>
      </c>
      <c r="X112" s="12">
        <f>VLOOKUP(H112,Dim_Promotion!$A$2:$G$11,2,FALSE)</f>
        <v/>
      </c>
    </row>
    <row r="113">
      <c r="A113" s="4" t="inlineStr">
        <is>
          <t>SL0112</t>
        </is>
      </c>
      <c r="B113" t="inlineStr">
        <is>
          <t>O010056</t>
        </is>
      </c>
      <c r="C113" t="n">
        <v>20250527</v>
      </c>
      <c r="D113" s="4" t="inlineStr">
        <is>
          <t>C023</t>
        </is>
      </c>
      <c r="E113" s="4" t="inlineStr">
        <is>
          <t>P002</t>
        </is>
      </c>
      <c r="F113" t="inlineStr">
        <is>
          <t>M</t>
        </is>
      </c>
      <c r="G113" s="4" t="inlineStr">
        <is>
          <t>CH03</t>
        </is>
      </c>
      <c r="H113" s="4" t="inlineStr">
        <is>
          <t>PR00</t>
        </is>
      </c>
      <c r="I113" s="8" t="n">
        <v>41</v>
      </c>
      <c r="J113" s="9" t="n">
        <v>0</v>
      </c>
      <c r="K113" s="10">
        <f>I113*(1-J113)</f>
        <v/>
      </c>
      <c r="L113" s="11" t="n">
        <v>1</v>
      </c>
      <c r="M113" s="10">
        <f>K113*L113</f>
        <v/>
      </c>
      <c r="N113" s="8" t="n">
        <v>17.47</v>
      </c>
      <c r="O113" s="10">
        <f>N113*L113</f>
        <v/>
      </c>
      <c r="P113" s="10">
        <f>M113-O113</f>
        <v/>
      </c>
      <c r="Q113" s="11" t="inlineStr">
        <is>
          <t>No</t>
        </is>
      </c>
      <c r="R113" s="11" t="n">
        <v>0</v>
      </c>
      <c r="S113" s="10">
        <f>M113-(R113*K113)</f>
        <v/>
      </c>
      <c r="T113" s="12">
        <f>VLOOKUP(E113,Dim_Product!$A$2:$Q$61,3,FALSE)</f>
        <v/>
      </c>
      <c r="U113" s="12">
        <f>VLOOKUP(E113,Dim_Product!$A$2:$Q$61,4,FALSE)</f>
        <v/>
      </c>
      <c r="V113" s="12">
        <f>VLOOKUP(D113,Dim_Customer!$A$2:$I$121,6,FALSE)</f>
        <v/>
      </c>
      <c r="W113" s="12">
        <f>VLOOKUP(G113,Dim_Channel!$A$2:$B$5,2,FALSE)</f>
        <v/>
      </c>
      <c r="X113" s="12">
        <f>VLOOKUP(H113,Dim_Promotion!$A$2:$G$11,2,FALSE)</f>
        <v/>
      </c>
    </row>
    <row r="114">
      <c r="A114" s="4" t="inlineStr">
        <is>
          <t>SL0113</t>
        </is>
      </c>
      <c r="B114" t="inlineStr">
        <is>
          <t>O010057</t>
        </is>
      </c>
      <c r="C114" t="n">
        <v>20250125</v>
      </c>
      <c r="D114" s="4" t="inlineStr">
        <is>
          <t>C029</t>
        </is>
      </c>
      <c r="E114" s="4" t="inlineStr">
        <is>
          <t>P021</t>
        </is>
      </c>
      <c r="F114" t="inlineStr">
        <is>
          <t>L</t>
        </is>
      </c>
      <c r="G114" s="4" t="inlineStr">
        <is>
          <t>CH02</t>
        </is>
      </c>
      <c r="H114" s="4" t="inlineStr">
        <is>
          <t>PR00</t>
        </is>
      </c>
      <c r="I114" s="8" t="n">
        <v>52</v>
      </c>
      <c r="J114" s="9" t="n">
        <v>0</v>
      </c>
      <c r="K114" s="10">
        <f>I114*(1-J114)</f>
        <v/>
      </c>
      <c r="L114" s="11" t="n">
        <v>1</v>
      </c>
      <c r="M114" s="10">
        <f>K114*L114</f>
        <v/>
      </c>
      <c r="N114" s="8" t="n">
        <v>27.55</v>
      </c>
      <c r="O114" s="10">
        <f>N114*L114</f>
        <v/>
      </c>
      <c r="P114" s="10">
        <f>M114-O114</f>
        <v/>
      </c>
      <c r="Q114" s="11" t="inlineStr">
        <is>
          <t>No</t>
        </is>
      </c>
      <c r="R114" s="11" t="n">
        <v>0</v>
      </c>
      <c r="S114" s="10">
        <f>M114-(R114*K114)</f>
        <v/>
      </c>
      <c r="T114" s="12">
        <f>VLOOKUP(E114,Dim_Product!$A$2:$Q$61,3,FALSE)</f>
        <v/>
      </c>
      <c r="U114" s="12">
        <f>VLOOKUP(E114,Dim_Product!$A$2:$Q$61,4,FALSE)</f>
        <v/>
      </c>
      <c r="V114" s="12">
        <f>VLOOKUP(D114,Dim_Customer!$A$2:$I$121,6,FALSE)</f>
        <v/>
      </c>
      <c r="W114" s="12">
        <f>VLOOKUP(G114,Dim_Channel!$A$2:$B$5,2,FALSE)</f>
        <v/>
      </c>
      <c r="X114" s="12">
        <f>VLOOKUP(H114,Dim_Promotion!$A$2:$G$11,2,FALSE)</f>
        <v/>
      </c>
    </row>
    <row r="115">
      <c r="A115" s="4" t="inlineStr">
        <is>
          <t>SL0114</t>
        </is>
      </c>
      <c r="B115" t="inlineStr">
        <is>
          <t>O010057</t>
        </is>
      </c>
      <c r="C115" t="n">
        <v>20250605</v>
      </c>
      <c r="D115" s="4" t="inlineStr">
        <is>
          <t>C012</t>
        </is>
      </c>
      <c r="E115" s="4" t="inlineStr">
        <is>
          <t>P019</t>
        </is>
      </c>
      <c r="F115" t="inlineStr">
        <is>
          <t>M</t>
        </is>
      </c>
      <c r="G115" s="4" t="inlineStr">
        <is>
          <t>CH01</t>
        </is>
      </c>
      <c r="H115" s="4" t="inlineStr">
        <is>
          <t>PR00</t>
        </is>
      </c>
      <c r="I115" s="8" t="n">
        <v>65</v>
      </c>
      <c r="J115" s="9" t="n">
        <v>0</v>
      </c>
      <c r="K115" s="10">
        <f>I115*(1-J115)</f>
        <v/>
      </c>
      <c r="L115" s="11" t="n">
        <v>1</v>
      </c>
      <c r="M115" s="10">
        <f>K115*L115</f>
        <v/>
      </c>
      <c r="N115" s="8" t="n">
        <v>32.09</v>
      </c>
      <c r="O115" s="10">
        <f>N115*L115</f>
        <v/>
      </c>
      <c r="P115" s="10">
        <f>M115-O115</f>
        <v/>
      </c>
      <c r="Q115" s="11" t="inlineStr">
        <is>
          <t>No</t>
        </is>
      </c>
      <c r="R115" s="11" t="n">
        <v>0</v>
      </c>
      <c r="S115" s="10">
        <f>M115-(R115*K115)</f>
        <v/>
      </c>
      <c r="T115" s="12">
        <f>VLOOKUP(E115,Dim_Product!$A$2:$Q$61,3,FALSE)</f>
        <v/>
      </c>
      <c r="U115" s="12">
        <f>VLOOKUP(E115,Dim_Product!$A$2:$Q$61,4,FALSE)</f>
        <v/>
      </c>
      <c r="V115" s="12">
        <f>VLOOKUP(D115,Dim_Customer!$A$2:$I$121,6,FALSE)</f>
        <v/>
      </c>
      <c r="W115" s="12">
        <f>VLOOKUP(G115,Dim_Channel!$A$2:$B$5,2,FALSE)</f>
        <v/>
      </c>
      <c r="X115" s="12">
        <f>VLOOKUP(H115,Dim_Promotion!$A$2:$G$11,2,FALSE)</f>
        <v/>
      </c>
    </row>
    <row r="116">
      <c r="A116" s="4" t="inlineStr">
        <is>
          <t>SL0115</t>
        </is>
      </c>
      <c r="B116" t="inlineStr">
        <is>
          <t>O010058</t>
        </is>
      </c>
      <c r="C116" t="n">
        <v>20250630</v>
      </c>
      <c r="D116" s="4" t="inlineStr">
        <is>
          <t>C024</t>
        </is>
      </c>
      <c r="E116" s="4" t="inlineStr">
        <is>
          <t>P015</t>
        </is>
      </c>
      <c r="F116" t="inlineStr">
        <is>
          <t>S</t>
        </is>
      </c>
      <c r="G116" s="4" t="inlineStr">
        <is>
          <t>CH02</t>
        </is>
      </c>
      <c r="H116" s="4" t="inlineStr">
        <is>
          <t>PR05</t>
        </is>
      </c>
      <c r="I116" s="8" t="n">
        <v>56</v>
      </c>
      <c r="J116" s="9" t="n">
        <v>0.2</v>
      </c>
      <c r="K116" s="10">
        <f>I116*(1-J116)</f>
        <v/>
      </c>
      <c r="L116" s="11" t="n">
        <v>1</v>
      </c>
      <c r="M116" s="10">
        <f>K116*L116</f>
        <v/>
      </c>
      <c r="N116" s="8" t="n">
        <v>26.86</v>
      </c>
      <c r="O116" s="10">
        <f>N116*L116</f>
        <v/>
      </c>
      <c r="P116" s="10">
        <f>M116-O116</f>
        <v/>
      </c>
      <c r="Q116" s="11" t="inlineStr">
        <is>
          <t>No</t>
        </is>
      </c>
      <c r="R116" s="11" t="n">
        <v>0</v>
      </c>
      <c r="S116" s="10">
        <f>M116-(R116*K116)</f>
        <v/>
      </c>
      <c r="T116" s="12">
        <f>VLOOKUP(E116,Dim_Product!$A$2:$Q$61,3,FALSE)</f>
        <v/>
      </c>
      <c r="U116" s="12">
        <f>VLOOKUP(E116,Dim_Product!$A$2:$Q$61,4,FALSE)</f>
        <v/>
      </c>
      <c r="V116" s="12">
        <f>VLOOKUP(D116,Dim_Customer!$A$2:$I$121,6,FALSE)</f>
        <v/>
      </c>
      <c r="W116" s="12">
        <f>VLOOKUP(G116,Dim_Channel!$A$2:$B$5,2,FALSE)</f>
        <v/>
      </c>
      <c r="X116" s="12">
        <f>VLOOKUP(H116,Dim_Promotion!$A$2:$G$11,2,FALSE)</f>
        <v/>
      </c>
    </row>
    <row r="117">
      <c r="A117" s="4" t="inlineStr">
        <is>
          <t>SL0116</t>
        </is>
      </c>
      <c r="B117" t="inlineStr">
        <is>
          <t>O010058</t>
        </is>
      </c>
      <c r="C117" t="n">
        <v>20250213</v>
      </c>
      <c r="D117" s="4" t="inlineStr">
        <is>
          <t>C018</t>
        </is>
      </c>
      <c r="E117" s="4" t="inlineStr">
        <is>
          <t>P024</t>
        </is>
      </c>
      <c r="F117" t="inlineStr">
        <is>
          <t>XL</t>
        </is>
      </c>
      <c r="G117" s="4" t="inlineStr">
        <is>
          <t>CH01</t>
        </is>
      </c>
      <c r="H117" s="4" t="inlineStr">
        <is>
          <t>PR00</t>
        </is>
      </c>
      <c r="I117" s="8" t="n">
        <v>58</v>
      </c>
      <c r="J117" s="9" t="n">
        <v>0</v>
      </c>
      <c r="K117" s="10">
        <f>I117*(1-J117)</f>
        <v/>
      </c>
      <c r="L117" s="11" t="n">
        <v>4</v>
      </c>
      <c r="M117" s="10">
        <f>K117*L117</f>
        <v/>
      </c>
      <c r="N117" s="8" t="n">
        <v>27.73</v>
      </c>
      <c r="O117" s="10">
        <f>N117*L117</f>
        <v/>
      </c>
      <c r="P117" s="10">
        <f>M117-O117</f>
        <v/>
      </c>
      <c r="Q117" s="11" t="inlineStr">
        <is>
          <t>No</t>
        </is>
      </c>
      <c r="R117" s="11" t="n">
        <v>0</v>
      </c>
      <c r="S117" s="10">
        <f>M117-(R117*K117)</f>
        <v/>
      </c>
      <c r="T117" s="12">
        <f>VLOOKUP(E117,Dim_Product!$A$2:$Q$61,3,FALSE)</f>
        <v/>
      </c>
      <c r="U117" s="12">
        <f>VLOOKUP(E117,Dim_Product!$A$2:$Q$61,4,FALSE)</f>
        <v/>
      </c>
      <c r="V117" s="12">
        <f>VLOOKUP(D117,Dim_Customer!$A$2:$I$121,6,FALSE)</f>
        <v/>
      </c>
      <c r="W117" s="12">
        <f>VLOOKUP(G117,Dim_Channel!$A$2:$B$5,2,FALSE)</f>
        <v/>
      </c>
      <c r="X117" s="12">
        <f>VLOOKUP(H117,Dim_Promotion!$A$2:$G$11,2,FALSE)</f>
        <v/>
      </c>
    </row>
    <row r="118">
      <c r="A118" s="4" t="inlineStr">
        <is>
          <t>SL0117</t>
        </is>
      </c>
      <c r="B118" t="inlineStr">
        <is>
          <t>O010059</t>
        </is>
      </c>
      <c r="C118" t="n">
        <v>20250816</v>
      </c>
      <c r="D118" s="4" t="inlineStr">
        <is>
          <t>C045</t>
        </is>
      </c>
      <c r="E118" s="4" t="inlineStr">
        <is>
          <t>P054</t>
        </is>
      </c>
      <c r="F118" t="inlineStr">
        <is>
          <t>S</t>
        </is>
      </c>
      <c r="G118" s="4" t="inlineStr">
        <is>
          <t>CH02</t>
        </is>
      </c>
      <c r="H118" s="4" t="inlineStr">
        <is>
          <t>PR00</t>
        </is>
      </c>
      <c r="I118" s="8" t="n">
        <v>74</v>
      </c>
      <c r="J118" s="9" t="n">
        <v>0</v>
      </c>
      <c r="K118" s="10">
        <f>I118*(1-J118)</f>
        <v/>
      </c>
      <c r="L118" s="11" t="n">
        <v>1</v>
      </c>
      <c r="M118" s="10">
        <f>K118*L118</f>
        <v/>
      </c>
      <c r="N118" s="8" t="n">
        <v>31.89</v>
      </c>
      <c r="O118" s="10">
        <f>N118*L118</f>
        <v/>
      </c>
      <c r="P118" s="10">
        <f>M118-O118</f>
        <v/>
      </c>
      <c r="Q118" s="11" t="inlineStr">
        <is>
          <t>No</t>
        </is>
      </c>
      <c r="R118" s="11" t="n">
        <v>0</v>
      </c>
      <c r="S118" s="10">
        <f>M118-(R118*K118)</f>
        <v/>
      </c>
      <c r="T118" s="12">
        <f>VLOOKUP(E118,Dim_Product!$A$2:$Q$61,3,FALSE)</f>
        <v/>
      </c>
      <c r="U118" s="12">
        <f>VLOOKUP(E118,Dim_Product!$A$2:$Q$61,4,FALSE)</f>
        <v/>
      </c>
      <c r="V118" s="12">
        <f>VLOOKUP(D118,Dim_Customer!$A$2:$I$121,6,FALSE)</f>
        <v/>
      </c>
      <c r="W118" s="12">
        <f>VLOOKUP(G118,Dim_Channel!$A$2:$B$5,2,FALSE)</f>
        <v/>
      </c>
      <c r="X118" s="12">
        <f>VLOOKUP(H118,Dim_Promotion!$A$2:$G$11,2,FALSE)</f>
        <v/>
      </c>
    </row>
    <row r="119">
      <c r="A119" s="4" t="inlineStr">
        <is>
          <t>SL0118</t>
        </is>
      </c>
      <c r="B119" t="inlineStr">
        <is>
          <t>O010059</t>
        </is>
      </c>
      <c r="C119" t="n">
        <v>20251116</v>
      </c>
      <c r="D119" s="4" t="inlineStr">
        <is>
          <t>C068</t>
        </is>
      </c>
      <c r="E119" s="4" t="inlineStr">
        <is>
          <t>P020</t>
        </is>
      </c>
      <c r="F119" t="inlineStr">
        <is>
          <t>S</t>
        </is>
      </c>
      <c r="G119" s="4" t="inlineStr">
        <is>
          <t>CH01</t>
        </is>
      </c>
      <c r="H119" s="4" t="inlineStr">
        <is>
          <t>PR00</t>
        </is>
      </c>
      <c r="I119" s="8" t="n">
        <v>66</v>
      </c>
      <c r="J119" s="9" t="n">
        <v>0</v>
      </c>
      <c r="K119" s="10">
        <f>I119*(1-J119)</f>
        <v/>
      </c>
      <c r="L119" s="11" t="n">
        <v>2</v>
      </c>
      <c r="M119" s="10">
        <f>K119*L119</f>
        <v/>
      </c>
      <c r="N119" s="8" t="n">
        <v>31.05</v>
      </c>
      <c r="O119" s="10">
        <f>N119*L119</f>
        <v/>
      </c>
      <c r="P119" s="10">
        <f>M119-O119</f>
        <v/>
      </c>
      <c r="Q119" s="11" t="inlineStr">
        <is>
          <t>Yes</t>
        </is>
      </c>
      <c r="R119" s="11" t="n">
        <v>1</v>
      </c>
      <c r="S119" s="10">
        <f>M119-(R119*K119)</f>
        <v/>
      </c>
      <c r="T119" s="12">
        <f>VLOOKUP(E119,Dim_Product!$A$2:$Q$61,3,FALSE)</f>
        <v/>
      </c>
      <c r="U119" s="12">
        <f>VLOOKUP(E119,Dim_Product!$A$2:$Q$61,4,FALSE)</f>
        <v/>
      </c>
      <c r="V119" s="12">
        <f>VLOOKUP(D119,Dim_Customer!$A$2:$I$121,6,FALSE)</f>
        <v/>
      </c>
      <c r="W119" s="12">
        <f>VLOOKUP(G119,Dim_Channel!$A$2:$B$5,2,FALSE)</f>
        <v/>
      </c>
      <c r="X119" s="12">
        <f>VLOOKUP(H119,Dim_Promotion!$A$2:$G$11,2,FALSE)</f>
        <v/>
      </c>
    </row>
    <row r="120">
      <c r="A120" s="4" t="inlineStr">
        <is>
          <t>SL0119</t>
        </is>
      </c>
      <c r="B120" t="inlineStr">
        <is>
          <t>O010060</t>
        </is>
      </c>
      <c r="C120" t="n">
        <v>20250826</v>
      </c>
      <c r="D120" s="4" t="inlineStr">
        <is>
          <t>C050</t>
        </is>
      </c>
      <c r="E120" s="4" t="inlineStr">
        <is>
          <t>P050</t>
        </is>
      </c>
      <c r="F120" t="inlineStr">
        <is>
          <t>L</t>
        </is>
      </c>
      <c r="G120" s="4" t="inlineStr">
        <is>
          <t>CH03</t>
        </is>
      </c>
      <c r="H120" s="4" t="inlineStr">
        <is>
          <t>PR00</t>
        </is>
      </c>
      <c r="I120" s="8" t="n">
        <v>68</v>
      </c>
      <c r="J120" s="9" t="n">
        <v>0</v>
      </c>
      <c r="K120" s="10">
        <f>I120*(1-J120)</f>
        <v/>
      </c>
      <c r="L120" s="11" t="n">
        <v>1</v>
      </c>
      <c r="M120" s="10">
        <f>K120*L120</f>
        <v/>
      </c>
      <c r="N120" s="8" t="n">
        <v>30.66</v>
      </c>
      <c r="O120" s="10">
        <f>N120*L120</f>
        <v/>
      </c>
      <c r="P120" s="10">
        <f>M120-O120</f>
        <v/>
      </c>
      <c r="Q120" s="11" t="inlineStr">
        <is>
          <t>No</t>
        </is>
      </c>
      <c r="R120" s="11" t="n">
        <v>0</v>
      </c>
      <c r="S120" s="10">
        <f>M120-(R120*K120)</f>
        <v/>
      </c>
      <c r="T120" s="12">
        <f>VLOOKUP(E120,Dim_Product!$A$2:$Q$61,3,FALSE)</f>
        <v/>
      </c>
      <c r="U120" s="12">
        <f>VLOOKUP(E120,Dim_Product!$A$2:$Q$61,4,FALSE)</f>
        <v/>
      </c>
      <c r="V120" s="12">
        <f>VLOOKUP(D120,Dim_Customer!$A$2:$I$121,6,FALSE)</f>
        <v/>
      </c>
      <c r="W120" s="12">
        <f>VLOOKUP(G120,Dim_Channel!$A$2:$B$5,2,FALSE)</f>
        <v/>
      </c>
      <c r="X120" s="12">
        <f>VLOOKUP(H120,Dim_Promotion!$A$2:$G$11,2,FALSE)</f>
        <v/>
      </c>
    </row>
    <row r="121">
      <c r="A121" s="4" t="inlineStr">
        <is>
          <t>SL0120</t>
        </is>
      </c>
      <c r="B121" t="inlineStr">
        <is>
          <t>O010060</t>
        </is>
      </c>
      <c r="C121" t="n">
        <v>20250819</v>
      </c>
      <c r="D121" s="4" t="inlineStr">
        <is>
          <t>C025</t>
        </is>
      </c>
      <c r="E121" s="4" t="inlineStr">
        <is>
          <t>P058</t>
        </is>
      </c>
      <c r="F121" t="inlineStr">
        <is>
          <t>M</t>
        </is>
      </c>
      <c r="G121" s="4" t="inlineStr">
        <is>
          <t>CH01</t>
        </is>
      </c>
      <c r="H121" s="4" t="inlineStr">
        <is>
          <t>PR00</t>
        </is>
      </c>
      <c r="I121" s="8" t="n">
        <v>72</v>
      </c>
      <c r="J121" s="9" t="n">
        <v>0</v>
      </c>
      <c r="K121" s="10">
        <f>I121*(1-J121)</f>
        <v/>
      </c>
      <c r="L121" s="11" t="n">
        <v>1</v>
      </c>
      <c r="M121" s="10">
        <f>K121*L121</f>
        <v/>
      </c>
      <c r="N121" s="8" t="n">
        <v>35.28</v>
      </c>
      <c r="O121" s="10">
        <f>N121*L121</f>
        <v/>
      </c>
      <c r="P121" s="10">
        <f>M121-O121</f>
        <v/>
      </c>
      <c r="Q121" s="11" t="inlineStr">
        <is>
          <t>No</t>
        </is>
      </c>
      <c r="R121" s="11" t="n">
        <v>0</v>
      </c>
      <c r="S121" s="10">
        <f>M121-(R121*K121)</f>
        <v/>
      </c>
      <c r="T121" s="12">
        <f>VLOOKUP(E121,Dim_Product!$A$2:$Q$61,3,FALSE)</f>
        <v/>
      </c>
      <c r="U121" s="12">
        <f>VLOOKUP(E121,Dim_Product!$A$2:$Q$61,4,FALSE)</f>
        <v/>
      </c>
      <c r="V121" s="12">
        <f>VLOOKUP(D121,Dim_Customer!$A$2:$I$121,6,FALSE)</f>
        <v/>
      </c>
      <c r="W121" s="12">
        <f>VLOOKUP(G121,Dim_Channel!$A$2:$B$5,2,FALSE)</f>
        <v/>
      </c>
      <c r="X121" s="12">
        <f>VLOOKUP(H121,Dim_Promotion!$A$2:$G$11,2,FALSE)</f>
        <v/>
      </c>
    </row>
    <row r="122">
      <c r="A122" s="4" t="inlineStr">
        <is>
          <t>SL0121</t>
        </is>
      </c>
      <c r="B122" t="inlineStr">
        <is>
          <t>O010061</t>
        </is>
      </c>
      <c r="C122" t="n">
        <v>20250405</v>
      </c>
      <c r="D122" s="4" t="inlineStr">
        <is>
          <t>C044</t>
        </is>
      </c>
      <c r="E122" s="4" t="inlineStr">
        <is>
          <t>P050</t>
        </is>
      </c>
      <c r="F122" t="inlineStr">
        <is>
          <t>S</t>
        </is>
      </c>
      <c r="G122" s="4" t="inlineStr">
        <is>
          <t>CH02</t>
        </is>
      </c>
      <c r="H122" s="4" t="inlineStr">
        <is>
          <t>PR00</t>
        </is>
      </c>
      <c r="I122" s="8" t="n">
        <v>64</v>
      </c>
      <c r="J122" s="9" t="n">
        <v>0</v>
      </c>
      <c r="K122" s="10">
        <f>I122*(1-J122)</f>
        <v/>
      </c>
      <c r="L122" s="11" t="n">
        <v>2</v>
      </c>
      <c r="M122" s="10">
        <f>K122*L122</f>
        <v/>
      </c>
      <c r="N122" s="8" t="n">
        <v>30.95</v>
      </c>
      <c r="O122" s="10">
        <f>N122*L122</f>
        <v/>
      </c>
      <c r="P122" s="10">
        <f>M122-O122</f>
        <v/>
      </c>
      <c r="Q122" s="11" t="inlineStr">
        <is>
          <t>No</t>
        </is>
      </c>
      <c r="R122" s="11" t="n">
        <v>0</v>
      </c>
      <c r="S122" s="10">
        <f>M122-(R122*K122)</f>
        <v/>
      </c>
      <c r="T122" s="12">
        <f>VLOOKUP(E122,Dim_Product!$A$2:$Q$61,3,FALSE)</f>
        <v/>
      </c>
      <c r="U122" s="12">
        <f>VLOOKUP(E122,Dim_Product!$A$2:$Q$61,4,FALSE)</f>
        <v/>
      </c>
      <c r="V122" s="12">
        <f>VLOOKUP(D122,Dim_Customer!$A$2:$I$121,6,FALSE)</f>
        <v/>
      </c>
      <c r="W122" s="12">
        <f>VLOOKUP(G122,Dim_Channel!$A$2:$B$5,2,FALSE)</f>
        <v/>
      </c>
      <c r="X122" s="12">
        <f>VLOOKUP(H122,Dim_Promotion!$A$2:$G$11,2,FALSE)</f>
        <v/>
      </c>
    </row>
    <row r="123">
      <c r="A123" s="4" t="inlineStr">
        <is>
          <t>SL0122</t>
        </is>
      </c>
      <c r="B123" t="inlineStr">
        <is>
          <t>O010061</t>
        </is>
      </c>
      <c r="C123" t="n">
        <v>20250622</v>
      </c>
      <c r="D123" s="4" t="inlineStr">
        <is>
          <t>C051</t>
        </is>
      </c>
      <c r="E123" s="4" t="inlineStr">
        <is>
          <t>P034</t>
        </is>
      </c>
      <c r="F123" t="inlineStr">
        <is>
          <t>M</t>
        </is>
      </c>
      <c r="G123" s="4" t="inlineStr">
        <is>
          <t>CH04</t>
        </is>
      </c>
      <c r="H123" s="4" t="inlineStr">
        <is>
          <t>PR05</t>
        </is>
      </c>
      <c r="I123" s="8" t="n">
        <v>91</v>
      </c>
      <c r="J123" s="9" t="n">
        <v>0.2</v>
      </c>
      <c r="K123" s="10">
        <f>I123*(1-J123)</f>
        <v/>
      </c>
      <c r="L123" s="11" t="n">
        <v>2</v>
      </c>
      <c r="M123" s="10">
        <f>K123*L123</f>
        <v/>
      </c>
      <c r="N123" s="8" t="n">
        <v>45.66</v>
      </c>
      <c r="O123" s="10">
        <f>N123*L123</f>
        <v/>
      </c>
      <c r="P123" s="10">
        <f>M123-O123</f>
        <v/>
      </c>
      <c r="Q123" s="11" t="inlineStr">
        <is>
          <t>No</t>
        </is>
      </c>
      <c r="R123" s="11" t="n">
        <v>0</v>
      </c>
      <c r="S123" s="10">
        <f>M123-(R123*K123)</f>
        <v/>
      </c>
      <c r="T123" s="12">
        <f>VLOOKUP(E123,Dim_Product!$A$2:$Q$61,3,FALSE)</f>
        <v/>
      </c>
      <c r="U123" s="12">
        <f>VLOOKUP(E123,Dim_Product!$A$2:$Q$61,4,FALSE)</f>
        <v/>
      </c>
      <c r="V123" s="12">
        <f>VLOOKUP(D123,Dim_Customer!$A$2:$I$121,6,FALSE)</f>
        <v/>
      </c>
      <c r="W123" s="12">
        <f>VLOOKUP(G123,Dim_Channel!$A$2:$B$5,2,FALSE)</f>
        <v/>
      </c>
      <c r="X123" s="12">
        <f>VLOOKUP(H123,Dim_Promotion!$A$2:$G$11,2,FALSE)</f>
        <v/>
      </c>
    </row>
    <row r="124">
      <c r="A124" s="4" t="inlineStr">
        <is>
          <t>SL0123</t>
        </is>
      </c>
      <c r="B124" t="inlineStr">
        <is>
          <t>O010062</t>
        </is>
      </c>
      <c r="C124" t="n">
        <v>20250318</v>
      </c>
      <c r="D124" s="4" t="inlineStr">
        <is>
          <t>C089</t>
        </is>
      </c>
      <c r="E124" s="4" t="inlineStr">
        <is>
          <t>P053</t>
        </is>
      </c>
      <c r="F124" t="inlineStr">
        <is>
          <t>S</t>
        </is>
      </c>
      <c r="G124" s="4" t="inlineStr">
        <is>
          <t>CH02</t>
        </is>
      </c>
      <c r="H124" s="4" t="inlineStr">
        <is>
          <t>PR00</t>
        </is>
      </c>
      <c r="I124" s="8" t="n">
        <v>75</v>
      </c>
      <c r="J124" s="9" t="n">
        <v>0</v>
      </c>
      <c r="K124" s="10">
        <f>I124*(1-J124)</f>
        <v/>
      </c>
      <c r="L124" s="11" t="n">
        <v>1</v>
      </c>
      <c r="M124" s="10">
        <f>K124*L124</f>
        <v/>
      </c>
      <c r="N124" s="8" t="n">
        <v>34.72</v>
      </c>
      <c r="O124" s="10">
        <f>N124*L124</f>
        <v/>
      </c>
      <c r="P124" s="10">
        <f>M124-O124</f>
        <v/>
      </c>
      <c r="Q124" s="11" t="inlineStr">
        <is>
          <t>No</t>
        </is>
      </c>
      <c r="R124" s="11" t="n">
        <v>0</v>
      </c>
      <c r="S124" s="10">
        <f>M124-(R124*K124)</f>
        <v/>
      </c>
      <c r="T124" s="12">
        <f>VLOOKUP(E124,Dim_Product!$A$2:$Q$61,3,FALSE)</f>
        <v/>
      </c>
      <c r="U124" s="12">
        <f>VLOOKUP(E124,Dim_Product!$A$2:$Q$61,4,FALSE)</f>
        <v/>
      </c>
      <c r="V124" s="12">
        <f>VLOOKUP(D124,Dim_Customer!$A$2:$I$121,6,FALSE)</f>
        <v/>
      </c>
      <c r="W124" s="12">
        <f>VLOOKUP(G124,Dim_Channel!$A$2:$B$5,2,FALSE)</f>
        <v/>
      </c>
      <c r="X124" s="12">
        <f>VLOOKUP(H124,Dim_Promotion!$A$2:$G$11,2,FALSE)</f>
        <v/>
      </c>
    </row>
    <row r="125">
      <c r="A125" s="4" t="inlineStr">
        <is>
          <t>SL0124</t>
        </is>
      </c>
      <c r="B125" t="inlineStr">
        <is>
          <t>O010062</t>
        </is>
      </c>
      <c r="C125" t="n">
        <v>20251023</v>
      </c>
      <c r="D125" s="4" t="inlineStr">
        <is>
          <t>C074</t>
        </is>
      </c>
      <c r="E125" s="4" t="inlineStr">
        <is>
          <t>P058</t>
        </is>
      </c>
      <c r="F125" t="inlineStr">
        <is>
          <t>L</t>
        </is>
      </c>
      <c r="G125" s="4" t="inlineStr">
        <is>
          <t>CH04</t>
        </is>
      </c>
      <c r="H125" s="4" t="inlineStr">
        <is>
          <t>PR00</t>
        </is>
      </c>
      <c r="I125" s="8" t="n">
        <v>76</v>
      </c>
      <c r="J125" s="9" t="n">
        <v>0</v>
      </c>
      <c r="K125" s="10">
        <f>I125*(1-J125)</f>
        <v/>
      </c>
      <c r="L125" s="11" t="n">
        <v>1</v>
      </c>
      <c r="M125" s="10">
        <f>K125*L125</f>
        <v/>
      </c>
      <c r="N125" s="8" t="n">
        <v>36.35</v>
      </c>
      <c r="O125" s="10">
        <f>N125*L125</f>
        <v/>
      </c>
      <c r="P125" s="10">
        <f>M125-O125</f>
        <v/>
      </c>
      <c r="Q125" s="11" t="inlineStr">
        <is>
          <t>No</t>
        </is>
      </c>
      <c r="R125" s="11" t="n">
        <v>0</v>
      </c>
      <c r="S125" s="10">
        <f>M125-(R125*K125)</f>
        <v/>
      </c>
      <c r="T125" s="12">
        <f>VLOOKUP(E125,Dim_Product!$A$2:$Q$61,3,FALSE)</f>
        <v/>
      </c>
      <c r="U125" s="12">
        <f>VLOOKUP(E125,Dim_Product!$A$2:$Q$61,4,FALSE)</f>
        <v/>
      </c>
      <c r="V125" s="12">
        <f>VLOOKUP(D125,Dim_Customer!$A$2:$I$121,6,FALSE)</f>
        <v/>
      </c>
      <c r="W125" s="12">
        <f>VLOOKUP(G125,Dim_Channel!$A$2:$B$5,2,FALSE)</f>
        <v/>
      </c>
      <c r="X125" s="12">
        <f>VLOOKUP(H125,Dim_Promotion!$A$2:$G$11,2,FALSE)</f>
        <v/>
      </c>
    </row>
    <row r="126">
      <c r="A126" s="4" t="inlineStr">
        <is>
          <t>SL0125</t>
        </is>
      </c>
      <c r="B126" t="inlineStr">
        <is>
          <t>O010063</t>
        </is>
      </c>
      <c r="C126" t="n">
        <v>20250212</v>
      </c>
      <c r="D126" s="4" t="inlineStr">
        <is>
          <t>C041</t>
        </is>
      </c>
      <c r="E126" s="4" t="inlineStr">
        <is>
          <t>P025</t>
        </is>
      </c>
      <c r="F126" t="inlineStr">
        <is>
          <t>M</t>
        </is>
      </c>
      <c r="G126" s="4" t="inlineStr">
        <is>
          <t>CH01</t>
        </is>
      </c>
      <c r="H126" s="4" t="inlineStr">
        <is>
          <t>PR00</t>
        </is>
      </c>
      <c r="I126" s="8" t="n">
        <v>93</v>
      </c>
      <c r="J126" s="9" t="n">
        <v>0</v>
      </c>
      <c r="K126" s="10">
        <f>I126*(1-J126)</f>
        <v/>
      </c>
      <c r="L126" s="11" t="n">
        <v>1</v>
      </c>
      <c r="M126" s="10">
        <f>K126*L126</f>
        <v/>
      </c>
      <c r="N126" s="8" t="n">
        <v>45.28</v>
      </c>
      <c r="O126" s="10">
        <f>N126*L126</f>
        <v/>
      </c>
      <c r="P126" s="10">
        <f>M126-O126</f>
        <v/>
      </c>
      <c r="Q126" s="11" t="inlineStr">
        <is>
          <t>No</t>
        </is>
      </c>
      <c r="R126" s="11" t="n">
        <v>0</v>
      </c>
      <c r="S126" s="10">
        <f>M126-(R126*K126)</f>
        <v/>
      </c>
      <c r="T126" s="12">
        <f>VLOOKUP(E126,Dim_Product!$A$2:$Q$61,3,FALSE)</f>
        <v/>
      </c>
      <c r="U126" s="12">
        <f>VLOOKUP(E126,Dim_Product!$A$2:$Q$61,4,FALSE)</f>
        <v/>
      </c>
      <c r="V126" s="12">
        <f>VLOOKUP(D126,Dim_Customer!$A$2:$I$121,6,FALSE)</f>
        <v/>
      </c>
      <c r="W126" s="12">
        <f>VLOOKUP(G126,Dim_Channel!$A$2:$B$5,2,FALSE)</f>
        <v/>
      </c>
      <c r="X126" s="12">
        <f>VLOOKUP(H126,Dim_Promotion!$A$2:$G$11,2,FALSE)</f>
        <v/>
      </c>
    </row>
    <row r="127">
      <c r="A127" s="4" t="inlineStr">
        <is>
          <t>SL0126</t>
        </is>
      </c>
      <c r="B127" t="inlineStr">
        <is>
          <t>O010063</t>
        </is>
      </c>
      <c r="C127" t="n">
        <v>20250314</v>
      </c>
      <c r="D127" s="4" t="inlineStr">
        <is>
          <t>C064</t>
        </is>
      </c>
      <c r="E127" s="4" t="inlineStr">
        <is>
          <t>P052</t>
        </is>
      </c>
      <c r="F127" t="inlineStr">
        <is>
          <t>M</t>
        </is>
      </c>
      <c r="G127" s="4" t="inlineStr">
        <is>
          <t>CH03</t>
        </is>
      </c>
      <c r="H127" s="4" t="inlineStr">
        <is>
          <t>PR00</t>
        </is>
      </c>
      <c r="I127" s="8" t="n">
        <v>66</v>
      </c>
      <c r="J127" s="9" t="n">
        <v>0</v>
      </c>
      <c r="K127" s="10">
        <f>I127*(1-J127)</f>
        <v/>
      </c>
      <c r="L127" s="11" t="n">
        <v>1</v>
      </c>
      <c r="M127" s="10">
        <f>K127*L127</f>
        <v/>
      </c>
      <c r="N127" s="8" t="n">
        <v>31.66</v>
      </c>
      <c r="O127" s="10">
        <f>N127*L127</f>
        <v/>
      </c>
      <c r="P127" s="10">
        <f>M127-O127</f>
        <v/>
      </c>
      <c r="Q127" s="11" t="inlineStr">
        <is>
          <t>No</t>
        </is>
      </c>
      <c r="R127" s="11" t="n">
        <v>0</v>
      </c>
      <c r="S127" s="10">
        <f>M127-(R127*K127)</f>
        <v/>
      </c>
      <c r="T127" s="12">
        <f>VLOOKUP(E127,Dim_Product!$A$2:$Q$61,3,FALSE)</f>
        <v/>
      </c>
      <c r="U127" s="12">
        <f>VLOOKUP(E127,Dim_Product!$A$2:$Q$61,4,FALSE)</f>
        <v/>
      </c>
      <c r="V127" s="12">
        <f>VLOOKUP(D127,Dim_Customer!$A$2:$I$121,6,FALSE)</f>
        <v/>
      </c>
      <c r="W127" s="12">
        <f>VLOOKUP(G127,Dim_Channel!$A$2:$B$5,2,FALSE)</f>
        <v/>
      </c>
      <c r="X127" s="12">
        <f>VLOOKUP(H127,Dim_Promotion!$A$2:$G$11,2,FALSE)</f>
        <v/>
      </c>
    </row>
    <row r="128">
      <c r="A128" s="4" t="inlineStr">
        <is>
          <t>SL0127</t>
        </is>
      </c>
      <c r="B128" t="inlineStr">
        <is>
          <t>O010064</t>
        </is>
      </c>
      <c r="C128" t="n">
        <v>20250228</v>
      </c>
      <c r="D128" s="4" t="inlineStr">
        <is>
          <t>C005</t>
        </is>
      </c>
      <c r="E128" s="4" t="inlineStr">
        <is>
          <t>P016</t>
        </is>
      </c>
      <c r="F128" t="inlineStr">
        <is>
          <t>XL</t>
        </is>
      </c>
      <c r="G128" s="4" t="inlineStr">
        <is>
          <t>CH01</t>
        </is>
      </c>
      <c r="H128" s="4" t="inlineStr">
        <is>
          <t>PR00</t>
        </is>
      </c>
      <c r="I128" s="8" t="n">
        <v>56</v>
      </c>
      <c r="J128" s="9" t="n">
        <v>0</v>
      </c>
      <c r="K128" s="10">
        <f>I128*(1-J128)</f>
        <v/>
      </c>
      <c r="L128" s="11" t="n">
        <v>1</v>
      </c>
      <c r="M128" s="10">
        <f>K128*L128</f>
        <v/>
      </c>
      <c r="N128" s="8" t="n">
        <v>27.91</v>
      </c>
      <c r="O128" s="10">
        <f>N128*L128</f>
        <v/>
      </c>
      <c r="P128" s="10">
        <f>M128-O128</f>
        <v/>
      </c>
      <c r="Q128" s="11" t="inlineStr">
        <is>
          <t>No</t>
        </is>
      </c>
      <c r="R128" s="11" t="n">
        <v>0</v>
      </c>
      <c r="S128" s="10">
        <f>M128-(R128*K128)</f>
        <v/>
      </c>
      <c r="T128" s="12">
        <f>VLOOKUP(E128,Dim_Product!$A$2:$Q$61,3,FALSE)</f>
        <v/>
      </c>
      <c r="U128" s="12">
        <f>VLOOKUP(E128,Dim_Product!$A$2:$Q$61,4,FALSE)</f>
        <v/>
      </c>
      <c r="V128" s="12">
        <f>VLOOKUP(D128,Dim_Customer!$A$2:$I$121,6,FALSE)</f>
        <v/>
      </c>
      <c r="W128" s="12">
        <f>VLOOKUP(G128,Dim_Channel!$A$2:$B$5,2,FALSE)</f>
        <v/>
      </c>
      <c r="X128" s="12">
        <f>VLOOKUP(H128,Dim_Promotion!$A$2:$G$11,2,FALSE)</f>
        <v/>
      </c>
    </row>
    <row r="129">
      <c r="A129" s="4" t="inlineStr">
        <is>
          <t>SL0128</t>
        </is>
      </c>
      <c r="B129" t="inlineStr">
        <is>
          <t>O010064</t>
        </is>
      </c>
      <c r="C129" t="n">
        <v>20250820</v>
      </c>
      <c r="D129" s="4" t="inlineStr">
        <is>
          <t>C115</t>
        </is>
      </c>
      <c r="E129" s="4" t="inlineStr">
        <is>
          <t>P027</t>
        </is>
      </c>
      <c r="F129" t="inlineStr">
        <is>
          <t>XL</t>
        </is>
      </c>
      <c r="G129" s="4" t="inlineStr">
        <is>
          <t>CH01</t>
        </is>
      </c>
      <c r="H129" s="4" t="inlineStr">
        <is>
          <t>PR00</t>
        </is>
      </c>
      <c r="I129" s="8" t="n">
        <v>91</v>
      </c>
      <c r="J129" s="9" t="n">
        <v>0</v>
      </c>
      <c r="K129" s="10">
        <f>I129*(1-J129)</f>
        <v/>
      </c>
      <c r="L129" s="11" t="n">
        <v>1</v>
      </c>
      <c r="M129" s="10">
        <f>K129*L129</f>
        <v/>
      </c>
      <c r="N129" s="8" t="n">
        <v>46.73</v>
      </c>
      <c r="O129" s="10">
        <f>N129*L129</f>
        <v/>
      </c>
      <c r="P129" s="10">
        <f>M129-O129</f>
        <v/>
      </c>
      <c r="Q129" s="11" t="inlineStr">
        <is>
          <t>No</t>
        </is>
      </c>
      <c r="R129" s="11" t="n">
        <v>0</v>
      </c>
      <c r="S129" s="10">
        <f>M129-(R129*K129)</f>
        <v/>
      </c>
      <c r="T129" s="12">
        <f>VLOOKUP(E129,Dim_Product!$A$2:$Q$61,3,FALSE)</f>
        <v/>
      </c>
      <c r="U129" s="12">
        <f>VLOOKUP(E129,Dim_Product!$A$2:$Q$61,4,FALSE)</f>
        <v/>
      </c>
      <c r="V129" s="12">
        <f>VLOOKUP(D129,Dim_Customer!$A$2:$I$121,6,FALSE)</f>
        <v/>
      </c>
      <c r="W129" s="12">
        <f>VLOOKUP(G129,Dim_Channel!$A$2:$B$5,2,FALSE)</f>
        <v/>
      </c>
      <c r="X129" s="12">
        <f>VLOOKUP(H129,Dim_Promotion!$A$2:$G$11,2,FALSE)</f>
        <v/>
      </c>
    </row>
    <row r="130">
      <c r="A130" s="4" t="inlineStr">
        <is>
          <t>SL0129</t>
        </is>
      </c>
      <c r="B130" t="inlineStr">
        <is>
          <t>O010065</t>
        </is>
      </c>
      <c r="C130" t="n">
        <v>20250830</v>
      </c>
      <c r="D130" s="4" t="inlineStr">
        <is>
          <t>C094</t>
        </is>
      </c>
      <c r="E130" s="4" t="inlineStr">
        <is>
          <t>P031</t>
        </is>
      </c>
      <c r="F130" t="inlineStr">
        <is>
          <t>S</t>
        </is>
      </c>
      <c r="G130" s="4" t="inlineStr">
        <is>
          <t>CH01</t>
        </is>
      </c>
      <c r="H130" s="4" t="inlineStr">
        <is>
          <t>PR00</t>
        </is>
      </c>
      <c r="I130" s="8" t="n">
        <v>113</v>
      </c>
      <c r="J130" s="9" t="n">
        <v>0</v>
      </c>
      <c r="K130" s="10">
        <f>I130*(1-J130)</f>
        <v/>
      </c>
      <c r="L130" s="11" t="n">
        <v>1</v>
      </c>
      <c r="M130" s="10">
        <f>K130*L130</f>
        <v/>
      </c>
      <c r="N130" s="8" t="n">
        <v>55.09</v>
      </c>
      <c r="O130" s="10">
        <f>N130*L130</f>
        <v/>
      </c>
      <c r="P130" s="10">
        <f>M130-O130</f>
        <v/>
      </c>
      <c r="Q130" s="11" t="inlineStr">
        <is>
          <t>No</t>
        </is>
      </c>
      <c r="R130" s="11" t="n">
        <v>0</v>
      </c>
      <c r="S130" s="10">
        <f>M130-(R130*K130)</f>
        <v/>
      </c>
      <c r="T130" s="12">
        <f>VLOOKUP(E130,Dim_Product!$A$2:$Q$61,3,FALSE)</f>
        <v/>
      </c>
      <c r="U130" s="12">
        <f>VLOOKUP(E130,Dim_Product!$A$2:$Q$61,4,FALSE)</f>
        <v/>
      </c>
      <c r="V130" s="12">
        <f>VLOOKUP(D130,Dim_Customer!$A$2:$I$121,6,FALSE)</f>
        <v/>
      </c>
      <c r="W130" s="12">
        <f>VLOOKUP(G130,Dim_Channel!$A$2:$B$5,2,FALSE)</f>
        <v/>
      </c>
      <c r="X130" s="12">
        <f>VLOOKUP(H130,Dim_Promotion!$A$2:$G$11,2,FALSE)</f>
        <v/>
      </c>
    </row>
    <row r="131">
      <c r="A131" s="4" t="inlineStr">
        <is>
          <t>SL0130</t>
        </is>
      </c>
      <c r="B131" t="inlineStr">
        <is>
          <t>O010065</t>
        </is>
      </c>
      <c r="C131" t="n">
        <v>20250522</v>
      </c>
      <c r="D131" s="4" t="inlineStr">
        <is>
          <t>C081</t>
        </is>
      </c>
      <c r="E131" s="4" t="inlineStr">
        <is>
          <t>P035</t>
        </is>
      </c>
      <c r="F131" t="inlineStr">
        <is>
          <t>S</t>
        </is>
      </c>
      <c r="G131" s="4" t="inlineStr">
        <is>
          <t>CH01</t>
        </is>
      </c>
      <c r="H131" s="4" t="inlineStr">
        <is>
          <t>PR00</t>
        </is>
      </c>
      <c r="I131" s="8" t="n">
        <v>88</v>
      </c>
      <c r="J131" s="9" t="n">
        <v>0.05</v>
      </c>
      <c r="K131" s="10">
        <f>I131*(1-J131)</f>
        <v/>
      </c>
      <c r="L131" s="11" t="n">
        <v>2</v>
      </c>
      <c r="M131" s="10">
        <f>K131*L131</f>
        <v/>
      </c>
      <c r="N131" s="8" t="n">
        <v>43.36</v>
      </c>
      <c r="O131" s="10">
        <f>N131*L131</f>
        <v/>
      </c>
      <c r="P131" s="10">
        <f>M131-O131</f>
        <v/>
      </c>
      <c r="Q131" s="11" t="inlineStr">
        <is>
          <t>No</t>
        </is>
      </c>
      <c r="R131" s="11" t="n">
        <v>0</v>
      </c>
      <c r="S131" s="10">
        <f>M131-(R131*K131)</f>
        <v/>
      </c>
      <c r="T131" s="12">
        <f>VLOOKUP(E131,Dim_Product!$A$2:$Q$61,3,FALSE)</f>
        <v/>
      </c>
      <c r="U131" s="12">
        <f>VLOOKUP(E131,Dim_Product!$A$2:$Q$61,4,FALSE)</f>
        <v/>
      </c>
      <c r="V131" s="12">
        <f>VLOOKUP(D131,Dim_Customer!$A$2:$I$121,6,FALSE)</f>
        <v/>
      </c>
      <c r="W131" s="12">
        <f>VLOOKUP(G131,Dim_Channel!$A$2:$B$5,2,FALSE)</f>
        <v/>
      </c>
      <c r="X131" s="12">
        <f>VLOOKUP(H131,Dim_Promotion!$A$2:$G$11,2,FALSE)</f>
        <v/>
      </c>
    </row>
    <row r="132">
      <c r="A132" s="4" t="inlineStr">
        <is>
          <t>SL0131</t>
        </is>
      </c>
      <c r="B132" t="inlineStr">
        <is>
          <t>O010066</t>
        </is>
      </c>
      <c r="C132" t="n">
        <v>20250421</v>
      </c>
      <c r="D132" s="4" t="inlineStr">
        <is>
          <t>C070</t>
        </is>
      </c>
      <c r="E132" s="4" t="inlineStr">
        <is>
          <t>P022</t>
        </is>
      </c>
      <c r="F132" t="inlineStr">
        <is>
          <t>M</t>
        </is>
      </c>
      <c r="G132" s="4" t="inlineStr">
        <is>
          <t>CH02</t>
        </is>
      </c>
      <c r="H132" s="4" t="inlineStr">
        <is>
          <t>PR00</t>
        </is>
      </c>
      <c r="I132" s="8" t="n">
        <v>61</v>
      </c>
      <c r="J132" s="9" t="n">
        <v>0</v>
      </c>
      <c r="K132" s="10">
        <f>I132*(1-J132)</f>
        <v/>
      </c>
      <c r="L132" s="11" t="n">
        <v>1</v>
      </c>
      <c r="M132" s="10">
        <f>K132*L132</f>
        <v/>
      </c>
      <c r="N132" s="8" t="n">
        <v>25.83</v>
      </c>
      <c r="O132" s="10">
        <f>N132*L132</f>
        <v/>
      </c>
      <c r="P132" s="10">
        <f>M132-O132</f>
        <v/>
      </c>
      <c r="Q132" s="11" t="inlineStr">
        <is>
          <t>No</t>
        </is>
      </c>
      <c r="R132" s="11" t="n">
        <v>0</v>
      </c>
      <c r="S132" s="10">
        <f>M132-(R132*K132)</f>
        <v/>
      </c>
      <c r="T132" s="12">
        <f>VLOOKUP(E132,Dim_Product!$A$2:$Q$61,3,FALSE)</f>
        <v/>
      </c>
      <c r="U132" s="12">
        <f>VLOOKUP(E132,Dim_Product!$A$2:$Q$61,4,FALSE)</f>
        <v/>
      </c>
      <c r="V132" s="12">
        <f>VLOOKUP(D132,Dim_Customer!$A$2:$I$121,6,FALSE)</f>
        <v/>
      </c>
      <c r="W132" s="12">
        <f>VLOOKUP(G132,Dim_Channel!$A$2:$B$5,2,FALSE)</f>
        <v/>
      </c>
      <c r="X132" s="12">
        <f>VLOOKUP(H132,Dim_Promotion!$A$2:$G$11,2,FALSE)</f>
        <v/>
      </c>
    </row>
    <row r="133">
      <c r="A133" s="4" t="inlineStr">
        <is>
          <t>SL0132</t>
        </is>
      </c>
      <c r="B133" t="inlineStr">
        <is>
          <t>O010066</t>
        </is>
      </c>
      <c r="C133" t="n">
        <v>20250125</v>
      </c>
      <c r="D133" s="4" t="inlineStr">
        <is>
          <t>C090</t>
        </is>
      </c>
      <c r="E133" s="4" t="inlineStr">
        <is>
          <t>P039</t>
        </is>
      </c>
      <c r="F133" t="inlineStr">
        <is>
          <t>S</t>
        </is>
      </c>
      <c r="G133" s="4" t="inlineStr">
        <is>
          <t>CH04</t>
        </is>
      </c>
      <c r="H133" s="4" t="inlineStr">
        <is>
          <t>PR00</t>
        </is>
      </c>
      <c r="I133" s="8" t="n">
        <v>76</v>
      </c>
      <c r="J133" s="9" t="n">
        <v>0</v>
      </c>
      <c r="K133" s="10">
        <f>I133*(1-J133)</f>
        <v/>
      </c>
      <c r="L133" s="11" t="n">
        <v>1</v>
      </c>
      <c r="M133" s="10">
        <f>K133*L133</f>
        <v/>
      </c>
      <c r="N133" s="8" t="n">
        <v>36.12</v>
      </c>
      <c r="O133" s="10">
        <f>N133*L133</f>
        <v/>
      </c>
      <c r="P133" s="10">
        <f>M133-O133</f>
        <v/>
      </c>
      <c r="Q133" s="11" t="inlineStr">
        <is>
          <t>No</t>
        </is>
      </c>
      <c r="R133" s="11" t="n">
        <v>0</v>
      </c>
      <c r="S133" s="10">
        <f>M133-(R133*K133)</f>
        <v/>
      </c>
      <c r="T133" s="12">
        <f>VLOOKUP(E133,Dim_Product!$A$2:$Q$61,3,FALSE)</f>
        <v/>
      </c>
      <c r="U133" s="12">
        <f>VLOOKUP(E133,Dim_Product!$A$2:$Q$61,4,FALSE)</f>
        <v/>
      </c>
      <c r="V133" s="12">
        <f>VLOOKUP(D133,Dim_Customer!$A$2:$I$121,6,FALSE)</f>
        <v/>
      </c>
      <c r="W133" s="12">
        <f>VLOOKUP(G133,Dim_Channel!$A$2:$B$5,2,FALSE)</f>
        <v/>
      </c>
      <c r="X133" s="12">
        <f>VLOOKUP(H133,Dim_Promotion!$A$2:$G$11,2,FALSE)</f>
        <v/>
      </c>
    </row>
    <row r="134">
      <c r="A134" s="4" t="inlineStr">
        <is>
          <t>SL0133</t>
        </is>
      </c>
      <c r="B134" t="inlineStr">
        <is>
          <t>O010067</t>
        </is>
      </c>
      <c r="C134" t="n">
        <v>20251222</v>
      </c>
      <c r="D134" s="4" t="inlineStr">
        <is>
          <t>C111</t>
        </is>
      </c>
      <c r="E134" s="4" t="inlineStr">
        <is>
          <t>P056</t>
        </is>
      </c>
      <c r="F134" t="inlineStr">
        <is>
          <t>S</t>
        </is>
      </c>
      <c r="G134" s="4" t="inlineStr">
        <is>
          <t>CH02</t>
        </is>
      </c>
      <c r="H134" s="4" t="inlineStr">
        <is>
          <t>PR00</t>
        </is>
      </c>
      <c r="I134" s="8" t="n">
        <v>66</v>
      </c>
      <c r="J134" s="9" t="n">
        <v>0</v>
      </c>
      <c r="K134" s="10">
        <f>I134*(1-J134)</f>
        <v/>
      </c>
      <c r="L134" s="11" t="n">
        <v>1</v>
      </c>
      <c r="M134" s="10">
        <f>K134*L134</f>
        <v/>
      </c>
      <c r="N134" s="8" t="n">
        <v>34.12</v>
      </c>
      <c r="O134" s="10">
        <f>N134*L134</f>
        <v/>
      </c>
      <c r="P134" s="10">
        <f>M134-O134</f>
        <v/>
      </c>
      <c r="Q134" s="11" t="inlineStr">
        <is>
          <t>No</t>
        </is>
      </c>
      <c r="R134" s="11" t="n">
        <v>0</v>
      </c>
      <c r="S134" s="10">
        <f>M134-(R134*K134)</f>
        <v/>
      </c>
      <c r="T134" s="12">
        <f>VLOOKUP(E134,Dim_Product!$A$2:$Q$61,3,FALSE)</f>
        <v/>
      </c>
      <c r="U134" s="12">
        <f>VLOOKUP(E134,Dim_Product!$A$2:$Q$61,4,FALSE)</f>
        <v/>
      </c>
      <c r="V134" s="12">
        <f>VLOOKUP(D134,Dim_Customer!$A$2:$I$121,6,FALSE)</f>
        <v/>
      </c>
      <c r="W134" s="12">
        <f>VLOOKUP(G134,Dim_Channel!$A$2:$B$5,2,FALSE)</f>
        <v/>
      </c>
      <c r="X134" s="12">
        <f>VLOOKUP(H134,Dim_Promotion!$A$2:$G$11,2,FALSE)</f>
        <v/>
      </c>
    </row>
    <row r="135">
      <c r="A135" s="4" t="inlineStr">
        <is>
          <t>SL0134</t>
        </is>
      </c>
      <c r="B135" t="inlineStr">
        <is>
          <t>O010067</t>
        </is>
      </c>
      <c r="C135" t="n">
        <v>20250920</v>
      </c>
      <c r="D135" s="4" t="inlineStr">
        <is>
          <t>C019</t>
        </is>
      </c>
      <c r="E135" s="4" t="inlineStr">
        <is>
          <t>P058</t>
        </is>
      </c>
      <c r="F135" t="inlineStr">
        <is>
          <t>S</t>
        </is>
      </c>
      <c r="G135" s="4" t="inlineStr">
        <is>
          <t>CH01</t>
        </is>
      </c>
      <c r="H135" s="4" t="inlineStr">
        <is>
          <t>PR00</t>
        </is>
      </c>
      <c r="I135" s="8" t="n">
        <v>74</v>
      </c>
      <c r="J135" s="9" t="n">
        <v>0</v>
      </c>
      <c r="K135" s="10">
        <f>I135*(1-J135)</f>
        <v/>
      </c>
      <c r="L135" s="11" t="n">
        <v>2</v>
      </c>
      <c r="M135" s="10">
        <f>K135*L135</f>
        <v/>
      </c>
      <c r="N135" s="8" t="n">
        <v>35.84</v>
      </c>
      <c r="O135" s="10">
        <f>N135*L135</f>
        <v/>
      </c>
      <c r="P135" s="10">
        <f>M135-O135</f>
        <v/>
      </c>
      <c r="Q135" s="11" t="inlineStr">
        <is>
          <t>No</t>
        </is>
      </c>
      <c r="R135" s="11" t="n">
        <v>0</v>
      </c>
      <c r="S135" s="10">
        <f>M135-(R135*K135)</f>
        <v/>
      </c>
      <c r="T135" s="12">
        <f>VLOOKUP(E135,Dim_Product!$A$2:$Q$61,3,FALSE)</f>
        <v/>
      </c>
      <c r="U135" s="12">
        <f>VLOOKUP(E135,Dim_Product!$A$2:$Q$61,4,FALSE)</f>
        <v/>
      </c>
      <c r="V135" s="12">
        <f>VLOOKUP(D135,Dim_Customer!$A$2:$I$121,6,FALSE)</f>
        <v/>
      </c>
      <c r="W135" s="12">
        <f>VLOOKUP(G135,Dim_Channel!$A$2:$B$5,2,FALSE)</f>
        <v/>
      </c>
      <c r="X135" s="12">
        <f>VLOOKUP(H135,Dim_Promotion!$A$2:$G$11,2,FALSE)</f>
        <v/>
      </c>
    </row>
    <row r="136">
      <c r="A136" s="4" t="inlineStr">
        <is>
          <t>SL0135</t>
        </is>
      </c>
      <c r="B136" t="inlineStr">
        <is>
          <t>O010068</t>
        </is>
      </c>
      <c r="C136" t="n">
        <v>20251203</v>
      </c>
      <c r="D136" s="4" t="inlineStr">
        <is>
          <t>C012</t>
        </is>
      </c>
      <c r="E136" s="4" t="inlineStr">
        <is>
          <t>P022</t>
        </is>
      </c>
      <c r="F136" t="inlineStr">
        <is>
          <t>M</t>
        </is>
      </c>
      <c r="G136" s="4" t="inlineStr">
        <is>
          <t>CH01</t>
        </is>
      </c>
      <c r="H136" s="4" t="inlineStr">
        <is>
          <t>PR00</t>
        </is>
      </c>
      <c r="I136" s="8" t="n">
        <v>62</v>
      </c>
      <c r="J136" s="9" t="n">
        <v>0</v>
      </c>
      <c r="K136" s="10">
        <f>I136*(1-J136)</f>
        <v/>
      </c>
      <c r="L136" s="11" t="n">
        <v>1</v>
      </c>
      <c r="M136" s="10">
        <f>K136*L136</f>
        <v/>
      </c>
      <c r="N136" s="8" t="n">
        <v>26.7</v>
      </c>
      <c r="O136" s="10">
        <f>N136*L136</f>
        <v/>
      </c>
      <c r="P136" s="10">
        <f>M136-O136</f>
        <v/>
      </c>
      <c r="Q136" s="11" t="inlineStr">
        <is>
          <t>No</t>
        </is>
      </c>
      <c r="R136" s="11" t="n">
        <v>0</v>
      </c>
      <c r="S136" s="10">
        <f>M136-(R136*K136)</f>
        <v/>
      </c>
      <c r="T136" s="12">
        <f>VLOOKUP(E136,Dim_Product!$A$2:$Q$61,3,FALSE)</f>
        <v/>
      </c>
      <c r="U136" s="12">
        <f>VLOOKUP(E136,Dim_Product!$A$2:$Q$61,4,FALSE)</f>
        <v/>
      </c>
      <c r="V136" s="12">
        <f>VLOOKUP(D136,Dim_Customer!$A$2:$I$121,6,FALSE)</f>
        <v/>
      </c>
      <c r="W136" s="12">
        <f>VLOOKUP(G136,Dim_Channel!$A$2:$B$5,2,FALSE)</f>
        <v/>
      </c>
      <c r="X136" s="12">
        <f>VLOOKUP(H136,Dim_Promotion!$A$2:$G$11,2,FALSE)</f>
        <v/>
      </c>
    </row>
    <row r="137">
      <c r="A137" s="4" t="inlineStr">
        <is>
          <t>SL0136</t>
        </is>
      </c>
      <c r="B137" t="inlineStr">
        <is>
          <t>O010068</t>
        </is>
      </c>
      <c r="C137" t="n">
        <v>20250319</v>
      </c>
      <c r="D137" s="4" t="inlineStr">
        <is>
          <t>C076</t>
        </is>
      </c>
      <c r="E137" s="4" t="inlineStr">
        <is>
          <t>P006</t>
        </is>
      </c>
      <c r="F137" t="inlineStr">
        <is>
          <t>L</t>
        </is>
      </c>
      <c r="G137" s="4" t="inlineStr">
        <is>
          <t>CH03</t>
        </is>
      </c>
      <c r="H137" s="4" t="inlineStr">
        <is>
          <t>PR03</t>
        </is>
      </c>
      <c r="I137" s="8" t="n">
        <v>46</v>
      </c>
      <c r="J137" s="9" t="n">
        <v>0.08</v>
      </c>
      <c r="K137" s="10">
        <f>I137*(1-J137)</f>
        <v/>
      </c>
      <c r="L137" s="11" t="n">
        <v>2</v>
      </c>
      <c r="M137" s="10">
        <f>K137*L137</f>
        <v/>
      </c>
      <c r="N137" s="8" t="n">
        <v>20.91</v>
      </c>
      <c r="O137" s="10">
        <f>N137*L137</f>
        <v/>
      </c>
      <c r="P137" s="10">
        <f>M137-O137</f>
        <v/>
      </c>
      <c r="Q137" s="11" t="inlineStr">
        <is>
          <t>No</t>
        </is>
      </c>
      <c r="R137" s="11" t="n">
        <v>0</v>
      </c>
      <c r="S137" s="10">
        <f>M137-(R137*K137)</f>
        <v/>
      </c>
      <c r="T137" s="12">
        <f>VLOOKUP(E137,Dim_Product!$A$2:$Q$61,3,FALSE)</f>
        <v/>
      </c>
      <c r="U137" s="12">
        <f>VLOOKUP(E137,Dim_Product!$A$2:$Q$61,4,FALSE)</f>
        <v/>
      </c>
      <c r="V137" s="12">
        <f>VLOOKUP(D137,Dim_Customer!$A$2:$I$121,6,FALSE)</f>
        <v/>
      </c>
      <c r="W137" s="12">
        <f>VLOOKUP(G137,Dim_Channel!$A$2:$B$5,2,FALSE)</f>
        <v/>
      </c>
      <c r="X137" s="12">
        <f>VLOOKUP(H137,Dim_Promotion!$A$2:$G$11,2,FALSE)</f>
        <v/>
      </c>
    </row>
    <row r="138">
      <c r="A138" s="4" t="inlineStr">
        <is>
          <t>SL0137</t>
        </is>
      </c>
      <c r="B138" t="inlineStr">
        <is>
          <t>O010069</t>
        </is>
      </c>
      <c r="C138" t="n">
        <v>20250816</v>
      </c>
      <c r="D138" s="4" t="inlineStr">
        <is>
          <t>C005</t>
        </is>
      </c>
      <c r="E138" s="4" t="inlineStr">
        <is>
          <t>P010</t>
        </is>
      </c>
      <c r="F138" t="inlineStr">
        <is>
          <t>L</t>
        </is>
      </c>
      <c r="G138" s="4" t="inlineStr">
        <is>
          <t>CH02</t>
        </is>
      </c>
      <c r="H138" s="4" t="inlineStr">
        <is>
          <t>PR00</t>
        </is>
      </c>
      <c r="I138" s="8" t="n">
        <v>49</v>
      </c>
      <c r="J138" s="9" t="n">
        <v>0</v>
      </c>
      <c r="K138" s="10">
        <f>I138*(1-J138)</f>
        <v/>
      </c>
      <c r="L138" s="11" t="n">
        <v>2</v>
      </c>
      <c r="M138" s="10">
        <f>K138*L138</f>
        <v/>
      </c>
      <c r="N138" s="8" t="n">
        <v>20</v>
      </c>
      <c r="O138" s="10">
        <f>N138*L138</f>
        <v/>
      </c>
      <c r="P138" s="10">
        <f>M138-O138</f>
        <v/>
      </c>
      <c r="Q138" s="11" t="inlineStr">
        <is>
          <t>No</t>
        </is>
      </c>
      <c r="R138" s="11" t="n">
        <v>0</v>
      </c>
      <c r="S138" s="10">
        <f>M138-(R138*K138)</f>
        <v/>
      </c>
      <c r="T138" s="12">
        <f>VLOOKUP(E138,Dim_Product!$A$2:$Q$61,3,FALSE)</f>
        <v/>
      </c>
      <c r="U138" s="12">
        <f>VLOOKUP(E138,Dim_Product!$A$2:$Q$61,4,FALSE)</f>
        <v/>
      </c>
      <c r="V138" s="12">
        <f>VLOOKUP(D138,Dim_Customer!$A$2:$I$121,6,FALSE)</f>
        <v/>
      </c>
      <c r="W138" s="12">
        <f>VLOOKUP(G138,Dim_Channel!$A$2:$B$5,2,FALSE)</f>
        <v/>
      </c>
      <c r="X138" s="12">
        <f>VLOOKUP(H138,Dim_Promotion!$A$2:$G$11,2,FALSE)</f>
        <v/>
      </c>
    </row>
    <row r="139">
      <c r="A139" s="4" t="inlineStr">
        <is>
          <t>SL0138</t>
        </is>
      </c>
      <c r="B139" t="inlineStr">
        <is>
          <t>O010069</t>
        </is>
      </c>
      <c r="C139" t="n">
        <v>20251030</v>
      </c>
      <c r="D139" s="4" t="inlineStr">
        <is>
          <t>C035</t>
        </is>
      </c>
      <c r="E139" s="4" t="inlineStr">
        <is>
          <t>P053</t>
        </is>
      </c>
      <c r="F139" t="inlineStr">
        <is>
          <t>L</t>
        </is>
      </c>
      <c r="G139" s="4" t="inlineStr">
        <is>
          <t>CH01</t>
        </is>
      </c>
      <c r="H139" s="4" t="inlineStr">
        <is>
          <t>PR00</t>
        </is>
      </c>
      <c r="I139" s="8" t="n">
        <v>72</v>
      </c>
      <c r="J139" s="9" t="n">
        <v>0</v>
      </c>
      <c r="K139" s="10">
        <f>I139*(1-J139)</f>
        <v/>
      </c>
      <c r="L139" s="11" t="n">
        <v>3</v>
      </c>
      <c r="M139" s="10">
        <f>K139*L139</f>
        <v/>
      </c>
      <c r="N139" s="8" t="n">
        <v>33.79</v>
      </c>
      <c r="O139" s="10">
        <f>N139*L139</f>
        <v/>
      </c>
      <c r="P139" s="10">
        <f>M139-O139</f>
        <v/>
      </c>
      <c r="Q139" s="11" t="inlineStr">
        <is>
          <t>No</t>
        </is>
      </c>
      <c r="R139" s="11" t="n">
        <v>0</v>
      </c>
      <c r="S139" s="10">
        <f>M139-(R139*K139)</f>
        <v/>
      </c>
      <c r="T139" s="12">
        <f>VLOOKUP(E139,Dim_Product!$A$2:$Q$61,3,FALSE)</f>
        <v/>
      </c>
      <c r="U139" s="12">
        <f>VLOOKUP(E139,Dim_Product!$A$2:$Q$61,4,FALSE)</f>
        <v/>
      </c>
      <c r="V139" s="12">
        <f>VLOOKUP(D139,Dim_Customer!$A$2:$I$121,6,FALSE)</f>
        <v/>
      </c>
      <c r="W139" s="12">
        <f>VLOOKUP(G139,Dim_Channel!$A$2:$B$5,2,FALSE)</f>
        <v/>
      </c>
      <c r="X139" s="12">
        <f>VLOOKUP(H139,Dim_Promotion!$A$2:$G$11,2,FALSE)</f>
        <v/>
      </c>
    </row>
    <row r="140">
      <c r="A140" s="4" t="inlineStr">
        <is>
          <t>SL0139</t>
        </is>
      </c>
      <c r="B140" t="inlineStr">
        <is>
          <t>O010070</t>
        </is>
      </c>
      <c r="C140" t="n">
        <v>20251025</v>
      </c>
      <c r="D140" s="4" t="inlineStr">
        <is>
          <t>C106</t>
        </is>
      </c>
      <c r="E140" s="4" t="inlineStr">
        <is>
          <t>P018</t>
        </is>
      </c>
      <c r="F140" t="inlineStr">
        <is>
          <t>M</t>
        </is>
      </c>
      <c r="G140" s="4" t="inlineStr">
        <is>
          <t>CH01</t>
        </is>
      </c>
      <c r="H140" s="4" t="inlineStr">
        <is>
          <t>PR00</t>
        </is>
      </c>
      <c r="I140" s="8" t="n">
        <v>65</v>
      </c>
      <c r="J140" s="9" t="n">
        <v>0</v>
      </c>
      <c r="K140" s="10">
        <f>I140*(1-J140)</f>
        <v/>
      </c>
      <c r="L140" s="11" t="n">
        <v>2</v>
      </c>
      <c r="M140" s="10">
        <f>K140*L140</f>
        <v/>
      </c>
      <c r="N140" s="8" t="n">
        <v>31.79</v>
      </c>
      <c r="O140" s="10">
        <f>N140*L140</f>
        <v/>
      </c>
      <c r="P140" s="10">
        <f>M140-O140</f>
        <v/>
      </c>
      <c r="Q140" s="11" t="inlineStr">
        <is>
          <t>No</t>
        </is>
      </c>
      <c r="R140" s="11" t="n">
        <v>0</v>
      </c>
      <c r="S140" s="10">
        <f>M140-(R140*K140)</f>
        <v/>
      </c>
      <c r="T140" s="12">
        <f>VLOOKUP(E140,Dim_Product!$A$2:$Q$61,3,FALSE)</f>
        <v/>
      </c>
      <c r="U140" s="12">
        <f>VLOOKUP(E140,Dim_Product!$A$2:$Q$61,4,FALSE)</f>
        <v/>
      </c>
      <c r="V140" s="12">
        <f>VLOOKUP(D140,Dim_Customer!$A$2:$I$121,6,FALSE)</f>
        <v/>
      </c>
      <c r="W140" s="12">
        <f>VLOOKUP(G140,Dim_Channel!$A$2:$B$5,2,FALSE)</f>
        <v/>
      </c>
      <c r="X140" s="12">
        <f>VLOOKUP(H140,Dim_Promotion!$A$2:$G$11,2,FALSE)</f>
        <v/>
      </c>
    </row>
    <row r="141">
      <c r="A141" s="4" t="inlineStr">
        <is>
          <t>SL0140</t>
        </is>
      </c>
      <c r="B141" t="inlineStr">
        <is>
          <t>O010070</t>
        </is>
      </c>
      <c r="C141" t="n">
        <v>20251117</v>
      </c>
      <c r="D141" s="4" t="inlineStr">
        <is>
          <t>C102</t>
        </is>
      </c>
      <c r="E141" s="4" t="inlineStr">
        <is>
          <t>P009</t>
        </is>
      </c>
      <c r="F141" t="inlineStr">
        <is>
          <t>L</t>
        </is>
      </c>
      <c r="G141" s="4" t="inlineStr">
        <is>
          <t>CH01</t>
        </is>
      </c>
      <c r="H141" s="4" t="inlineStr">
        <is>
          <t>PR00</t>
        </is>
      </c>
      <c r="I141" s="8" t="n">
        <v>46</v>
      </c>
      <c r="J141" s="9" t="n">
        <v>0</v>
      </c>
      <c r="K141" s="10">
        <f>I141*(1-J141)</f>
        <v/>
      </c>
      <c r="L141" s="11" t="n">
        <v>1</v>
      </c>
      <c r="M141" s="10">
        <f>K141*L141</f>
        <v/>
      </c>
      <c r="N141" s="8" t="n">
        <v>19.62</v>
      </c>
      <c r="O141" s="10">
        <f>N141*L141</f>
        <v/>
      </c>
      <c r="P141" s="10">
        <f>M141-O141</f>
        <v/>
      </c>
      <c r="Q141" s="11" t="inlineStr">
        <is>
          <t>No</t>
        </is>
      </c>
      <c r="R141" s="11" t="n">
        <v>0</v>
      </c>
      <c r="S141" s="10">
        <f>M141-(R141*K141)</f>
        <v/>
      </c>
      <c r="T141" s="12">
        <f>VLOOKUP(E141,Dim_Product!$A$2:$Q$61,3,FALSE)</f>
        <v/>
      </c>
      <c r="U141" s="12">
        <f>VLOOKUP(E141,Dim_Product!$A$2:$Q$61,4,FALSE)</f>
        <v/>
      </c>
      <c r="V141" s="12">
        <f>VLOOKUP(D141,Dim_Customer!$A$2:$I$121,6,FALSE)</f>
        <v/>
      </c>
      <c r="W141" s="12">
        <f>VLOOKUP(G141,Dim_Channel!$A$2:$B$5,2,FALSE)</f>
        <v/>
      </c>
      <c r="X141" s="12">
        <f>VLOOKUP(H141,Dim_Promotion!$A$2:$G$11,2,FALSE)</f>
        <v/>
      </c>
    </row>
    <row r="142">
      <c r="A142" s="4" t="inlineStr">
        <is>
          <t>SL0141</t>
        </is>
      </c>
      <c r="B142" t="inlineStr">
        <is>
          <t>O010071</t>
        </is>
      </c>
      <c r="C142" t="n">
        <v>20250102</v>
      </c>
      <c r="D142" s="4" t="inlineStr">
        <is>
          <t>C059</t>
        </is>
      </c>
      <c r="E142" s="4" t="inlineStr">
        <is>
          <t>P003</t>
        </is>
      </c>
      <c r="F142" t="inlineStr">
        <is>
          <t>M</t>
        </is>
      </c>
      <c r="G142" s="4" t="inlineStr">
        <is>
          <t>CH01</t>
        </is>
      </c>
      <c r="H142" s="4" t="inlineStr">
        <is>
          <t>PR00</t>
        </is>
      </c>
      <c r="I142" s="8" t="n">
        <v>40</v>
      </c>
      <c r="J142" s="9" t="n">
        <v>0</v>
      </c>
      <c r="K142" s="10">
        <f>I142*(1-J142)</f>
        <v/>
      </c>
      <c r="L142" s="11" t="n">
        <v>1</v>
      </c>
      <c r="M142" s="10">
        <f>K142*L142</f>
        <v/>
      </c>
      <c r="N142" s="8" t="n">
        <v>19.89</v>
      </c>
      <c r="O142" s="10">
        <f>N142*L142</f>
        <v/>
      </c>
      <c r="P142" s="10">
        <f>M142-O142</f>
        <v/>
      </c>
      <c r="Q142" s="11" t="inlineStr">
        <is>
          <t>No</t>
        </is>
      </c>
      <c r="R142" s="11" t="n">
        <v>0</v>
      </c>
      <c r="S142" s="10">
        <f>M142-(R142*K142)</f>
        <v/>
      </c>
      <c r="T142" s="12">
        <f>VLOOKUP(E142,Dim_Product!$A$2:$Q$61,3,FALSE)</f>
        <v/>
      </c>
      <c r="U142" s="12">
        <f>VLOOKUP(E142,Dim_Product!$A$2:$Q$61,4,FALSE)</f>
        <v/>
      </c>
      <c r="V142" s="12">
        <f>VLOOKUP(D142,Dim_Customer!$A$2:$I$121,6,FALSE)</f>
        <v/>
      </c>
      <c r="W142" s="12">
        <f>VLOOKUP(G142,Dim_Channel!$A$2:$B$5,2,FALSE)</f>
        <v/>
      </c>
      <c r="X142" s="12">
        <f>VLOOKUP(H142,Dim_Promotion!$A$2:$G$11,2,FALSE)</f>
        <v/>
      </c>
    </row>
    <row r="143">
      <c r="A143" s="4" t="inlineStr">
        <is>
          <t>SL0142</t>
        </is>
      </c>
      <c r="B143" t="inlineStr">
        <is>
          <t>O010071</t>
        </is>
      </c>
      <c r="C143" t="n">
        <v>20250628</v>
      </c>
      <c r="D143" s="4" t="inlineStr">
        <is>
          <t>C061</t>
        </is>
      </c>
      <c r="E143" s="4" t="inlineStr">
        <is>
          <t>P034</t>
        </is>
      </c>
      <c r="F143" t="inlineStr">
        <is>
          <t>M</t>
        </is>
      </c>
      <c r="G143" s="4" t="inlineStr">
        <is>
          <t>CH04</t>
        </is>
      </c>
      <c r="H143" s="4" t="inlineStr">
        <is>
          <t>PR05</t>
        </is>
      </c>
      <c r="I143" s="8" t="n">
        <v>88</v>
      </c>
      <c r="J143" s="9" t="n">
        <v>0.2</v>
      </c>
      <c r="K143" s="10">
        <f>I143*(1-J143)</f>
        <v/>
      </c>
      <c r="L143" s="11" t="n">
        <v>1</v>
      </c>
      <c r="M143" s="10">
        <f>K143*L143</f>
        <v/>
      </c>
      <c r="N143" s="8" t="n">
        <v>44.14</v>
      </c>
      <c r="O143" s="10">
        <f>N143*L143</f>
        <v/>
      </c>
      <c r="P143" s="10">
        <f>M143-O143</f>
        <v/>
      </c>
      <c r="Q143" s="11" t="inlineStr">
        <is>
          <t>No</t>
        </is>
      </c>
      <c r="R143" s="11" t="n">
        <v>0</v>
      </c>
      <c r="S143" s="10">
        <f>M143-(R143*K143)</f>
        <v/>
      </c>
      <c r="T143" s="12">
        <f>VLOOKUP(E143,Dim_Product!$A$2:$Q$61,3,FALSE)</f>
        <v/>
      </c>
      <c r="U143" s="12">
        <f>VLOOKUP(E143,Dim_Product!$A$2:$Q$61,4,FALSE)</f>
        <v/>
      </c>
      <c r="V143" s="12">
        <f>VLOOKUP(D143,Dim_Customer!$A$2:$I$121,6,FALSE)</f>
        <v/>
      </c>
      <c r="W143" s="12">
        <f>VLOOKUP(G143,Dim_Channel!$A$2:$B$5,2,FALSE)</f>
        <v/>
      </c>
      <c r="X143" s="12">
        <f>VLOOKUP(H143,Dim_Promotion!$A$2:$G$11,2,FALSE)</f>
        <v/>
      </c>
    </row>
    <row r="144">
      <c r="A144" s="4" t="inlineStr">
        <is>
          <t>SL0143</t>
        </is>
      </c>
      <c r="B144" t="inlineStr">
        <is>
          <t>O010072</t>
        </is>
      </c>
      <c r="C144" t="n">
        <v>20250807</v>
      </c>
      <c r="D144" s="4" t="inlineStr">
        <is>
          <t>C110</t>
        </is>
      </c>
      <c r="E144" s="4" t="inlineStr">
        <is>
          <t>P012</t>
        </is>
      </c>
      <c r="F144" t="inlineStr">
        <is>
          <t>M</t>
        </is>
      </c>
      <c r="G144" s="4" t="inlineStr">
        <is>
          <t>CH02</t>
        </is>
      </c>
      <c r="H144" s="4" t="inlineStr">
        <is>
          <t>PR00</t>
        </is>
      </c>
      <c r="I144" s="8" t="n">
        <v>42</v>
      </c>
      <c r="J144" s="9" t="n">
        <v>0</v>
      </c>
      <c r="K144" s="10">
        <f>I144*(1-J144)</f>
        <v/>
      </c>
      <c r="L144" s="11" t="n">
        <v>1</v>
      </c>
      <c r="M144" s="10">
        <f>K144*L144</f>
        <v/>
      </c>
      <c r="N144" s="8" t="n">
        <v>21.73</v>
      </c>
      <c r="O144" s="10">
        <f>N144*L144</f>
        <v/>
      </c>
      <c r="P144" s="10">
        <f>M144-O144</f>
        <v/>
      </c>
      <c r="Q144" s="11" t="inlineStr">
        <is>
          <t>No</t>
        </is>
      </c>
      <c r="R144" s="11" t="n">
        <v>0</v>
      </c>
      <c r="S144" s="10">
        <f>M144-(R144*K144)</f>
        <v/>
      </c>
      <c r="T144" s="12">
        <f>VLOOKUP(E144,Dim_Product!$A$2:$Q$61,3,FALSE)</f>
        <v/>
      </c>
      <c r="U144" s="12">
        <f>VLOOKUP(E144,Dim_Product!$A$2:$Q$61,4,FALSE)</f>
        <v/>
      </c>
      <c r="V144" s="12">
        <f>VLOOKUP(D144,Dim_Customer!$A$2:$I$121,6,FALSE)</f>
        <v/>
      </c>
      <c r="W144" s="12">
        <f>VLOOKUP(G144,Dim_Channel!$A$2:$B$5,2,FALSE)</f>
        <v/>
      </c>
      <c r="X144" s="12">
        <f>VLOOKUP(H144,Dim_Promotion!$A$2:$G$11,2,FALSE)</f>
        <v/>
      </c>
    </row>
    <row r="145">
      <c r="A145" s="4" t="inlineStr">
        <is>
          <t>SL0144</t>
        </is>
      </c>
      <c r="B145" t="inlineStr">
        <is>
          <t>O010072</t>
        </is>
      </c>
      <c r="C145" t="n">
        <v>20251108</v>
      </c>
      <c r="D145" s="4" t="inlineStr">
        <is>
          <t>C033</t>
        </is>
      </c>
      <c r="E145" s="4" t="inlineStr">
        <is>
          <t>P042</t>
        </is>
      </c>
      <c r="F145" t="inlineStr">
        <is>
          <t>S</t>
        </is>
      </c>
      <c r="G145" s="4" t="inlineStr">
        <is>
          <t>CH04</t>
        </is>
      </c>
      <c r="H145" s="4" t="inlineStr">
        <is>
          <t>PR00</t>
        </is>
      </c>
      <c r="I145" s="8" t="n">
        <v>76</v>
      </c>
      <c r="J145" s="9" t="n">
        <v>0</v>
      </c>
      <c r="K145" s="10">
        <f>I145*(1-J145)</f>
        <v/>
      </c>
      <c r="L145" s="11" t="n">
        <v>1</v>
      </c>
      <c r="M145" s="10">
        <f>K145*L145</f>
        <v/>
      </c>
      <c r="N145" s="8" t="n">
        <v>37.76</v>
      </c>
      <c r="O145" s="10">
        <f>N145*L145</f>
        <v/>
      </c>
      <c r="P145" s="10">
        <f>M145-O145</f>
        <v/>
      </c>
      <c r="Q145" s="11" t="inlineStr">
        <is>
          <t>No</t>
        </is>
      </c>
      <c r="R145" s="11" t="n">
        <v>0</v>
      </c>
      <c r="S145" s="10">
        <f>M145-(R145*K145)</f>
        <v/>
      </c>
      <c r="T145" s="12">
        <f>VLOOKUP(E145,Dim_Product!$A$2:$Q$61,3,FALSE)</f>
        <v/>
      </c>
      <c r="U145" s="12">
        <f>VLOOKUP(E145,Dim_Product!$A$2:$Q$61,4,FALSE)</f>
        <v/>
      </c>
      <c r="V145" s="12">
        <f>VLOOKUP(D145,Dim_Customer!$A$2:$I$121,6,FALSE)</f>
        <v/>
      </c>
      <c r="W145" s="12">
        <f>VLOOKUP(G145,Dim_Channel!$A$2:$B$5,2,FALSE)</f>
        <v/>
      </c>
      <c r="X145" s="12">
        <f>VLOOKUP(H145,Dim_Promotion!$A$2:$G$11,2,FALSE)</f>
        <v/>
      </c>
    </row>
    <row r="146">
      <c r="A146" s="4" t="inlineStr">
        <is>
          <t>SL0145</t>
        </is>
      </c>
      <c r="B146" t="inlineStr">
        <is>
          <t>O010073</t>
        </is>
      </c>
      <c r="C146" t="n">
        <v>20250604</v>
      </c>
      <c r="D146" s="4" t="inlineStr">
        <is>
          <t>C001</t>
        </is>
      </c>
      <c r="E146" s="4" t="inlineStr">
        <is>
          <t>P050</t>
        </is>
      </c>
      <c r="F146" t="inlineStr">
        <is>
          <t>L</t>
        </is>
      </c>
      <c r="G146" s="4" t="inlineStr">
        <is>
          <t>CH04</t>
        </is>
      </c>
      <c r="H146" s="4" t="inlineStr">
        <is>
          <t>PR00</t>
        </is>
      </c>
      <c r="I146" s="8" t="n">
        <v>64</v>
      </c>
      <c r="J146" s="9" t="n">
        <v>0</v>
      </c>
      <c r="K146" s="10">
        <f>I146*(1-J146)</f>
        <v/>
      </c>
      <c r="L146" s="11" t="n">
        <v>1</v>
      </c>
      <c r="M146" s="10">
        <f>K146*L146</f>
        <v/>
      </c>
      <c r="N146" s="8" t="n">
        <v>29.9</v>
      </c>
      <c r="O146" s="10">
        <f>N146*L146</f>
        <v/>
      </c>
      <c r="P146" s="10">
        <f>M146-O146</f>
        <v/>
      </c>
      <c r="Q146" s="11" t="inlineStr">
        <is>
          <t>No</t>
        </is>
      </c>
      <c r="R146" s="11" t="n">
        <v>0</v>
      </c>
      <c r="S146" s="10">
        <f>M146-(R146*K146)</f>
        <v/>
      </c>
      <c r="T146" s="12">
        <f>VLOOKUP(E146,Dim_Product!$A$2:$Q$61,3,FALSE)</f>
        <v/>
      </c>
      <c r="U146" s="12">
        <f>VLOOKUP(E146,Dim_Product!$A$2:$Q$61,4,FALSE)</f>
        <v/>
      </c>
      <c r="V146" s="12">
        <f>VLOOKUP(D146,Dim_Customer!$A$2:$I$121,6,FALSE)</f>
        <v/>
      </c>
      <c r="W146" s="12">
        <f>VLOOKUP(G146,Dim_Channel!$A$2:$B$5,2,FALSE)</f>
        <v/>
      </c>
      <c r="X146" s="12">
        <f>VLOOKUP(H146,Dim_Promotion!$A$2:$G$11,2,FALSE)</f>
        <v/>
      </c>
    </row>
    <row r="147">
      <c r="A147" s="4" t="inlineStr">
        <is>
          <t>SL0146</t>
        </is>
      </c>
      <c r="B147" t="inlineStr">
        <is>
          <t>O010073</t>
        </is>
      </c>
      <c r="C147" t="n">
        <v>20250521</v>
      </c>
      <c r="D147" s="4" t="inlineStr">
        <is>
          <t>C092</t>
        </is>
      </c>
      <c r="E147" s="4" t="inlineStr">
        <is>
          <t>P010</t>
        </is>
      </c>
      <c r="F147" t="inlineStr">
        <is>
          <t>M</t>
        </is>
      </c>
      <c r="G147" s="4" t="inlineStr">
        <is>
          <t>CH01</t>
        </is>
      </c>
      <c r="H147" s="4" t="inlineStr">
        <is>
          <t>PR00</t>
        </is>
      </c>
      <c r="I147" s="8" t="n">
        <v>49</v>
      </c>
      <c r="J147" s="9" t="n">
        <v>0</v>
      </c>
      <c r="K147" s="10">
        <f>I147*(1-J147)</f>
        <v/>
      </c>
      <c r="L147" s="11" t="n">
        <v>1</v>
      </c>
      <c r="M147" s="10">
        <f>K147*L147</f>
        <v/>
      </c>
      <c r="N147" s="8" t="n">
        <v>20.42</v>
      </c>
      <c r="O147" s="10">
        <f>N147*L147</f>
        <v/>
      </c>
      <c r="P147" s="10">
        <f>M147-O147</f>
        <v/>
      </c>
      <c r="Q147" s="11" t="inlineStr">
        <is>
          <t>No</t>
        </is>
      </c>
      <c r="R147" s="11" t="n">
        <v>0</v>
      </c>
      <c r="S147" s="10">
        <f>M147-(R147*K147)</f>
        <v/>
      </c>
      <c r="T147" s="12">
        <f>VLOOKUP(E147,Dim_Product!$A$2:$Q$61,3,FALSE)</f>
        <v/>
      </c>
      <c r="U147" s="12">
        <f>VLOOKUP(E147,Dim_Product!$A$2:$Q$61,4,FALSE)</f>
        <v/>
      </c>
      <c r="V147" s="12">
        <f>VLOOKUP(D147,Dim_Customer!$A$2:$I$121,6,FALSE)</f>
        <v/>
      </c>
      <c r="W147" s="12">
        <f>VLOOKUP(G147,Dim_Channel!$A$2:$B$5,2,FALSE)</f>
        <v/>
      </c>
      <c r="X147" s="12">
        <f>VLOOKUP(H147,Dim_Promotion!$A$2:$G$11,2,FALSE)</f>
        <v/>
      </c>
    </row>
    <row r="148">
      <c r="A148" s="4" t="inlineStr">
        <is>
          <t>SL0147</t>
        </is>
      </c>
      <c r="B148" t="inlineStr">
        <is>
          <t>O010074</t>
        </is>
      </c>
      <c r="C148" t="n">
        <v>20250910</v>
      </c>
      <c r="D148" s="4" t="inlineStr">
        <is>
          <t>C034</t>
        </is>
      </c>
      <c r="E148" s="4" t="inlineStr">
        <is>
          <t>P054</t>
        </is>
      </c>
      <c r="F148" t="inlineStr">
        <is>
          <t>M</t>
        </is>
      </c>
      <c r="G148" s="4" t="inlineStr">
        <is>
          <t>CH02</t>
        </is>
      </c>
      <c r="H148" s="4" t="inlineStr">
        <is>
          <t>PR00</t>
        </is>
      </c>
      <c r="I148" s="8" t="n">
        <v>74</v>
      </c>
      <c r="J148" s="9" t="n">
        <v>0</v>
      </c>
      <c r="K148" s="10">
        <f>I148*(1-J148)</f>
        <v/>
      </c>
      <c r="L148" s="11" t="n">
        <v>1</v>
      </c>
      <c r="M148" s="10">
        <f>K148*L148</f>
        <v/>
      </c>
      <c r="N148" s="8" t="n">
        <v>31.71</v>
      </c>
      <c r="O148" s="10">
        <f>N148*L148</f>
        <v/>
      </c>
      <c r="P148" s="10">
        <f>M148-O148</f>
        <v/>
      </c>
      <c r="Q148" s="11" t="inlineStr">
        <is>
          <t>No</t>
        </is>
      </c>
      <c r="R148" s="11" t="n">
        <v>0</v>
      </c>
      <c r="S148" s="10">
        <f>M148-(R148*K148)</f>
        <v/>
      </c>
      <c r="T148" s="12">
        <f>VLOOKUP(E148,Dim_Product!$A$2:$Q$61,3,FALSE)</f>
        <v/>
      </c>
      <c r="U148" s="12">
        <f>VLOOKUP(E148,Dim_Product!$A$2:$Q$61,4,FALSE)</f>
        <v/>
      </c>
      <c r="V148" s="12">
        <f>VLOOKUP(D148,Dim_Customer!$A$2:$I$121,6,FALSE)</f>
        <v/>
      </c>
      <c r="W148" s="12">
        <f>VLOOKUP(G148,Dim_Channel!$A$2:$B$5,2,FALSE)</f>
        <v/>
      </c>
      <c r="X148" s="12">
        <f>VLOOKUP(H148,Dim_Promotion!$A$2:$G$11,2,FALSE)</f>
        <v/>
      </c>
    </row>
    <row r="149">
      <c r="A149" s="4" t="inlineStr">
        <is>
          <t>SL0148</t>
        </is>
      </c>
      <c r="B149" t="inlineStr">
        <is>
          <t>O010074</t>
        </is>
      </c>
      <c r="C149" t="n">
        <v>20250916</v>
      </c>
      <c r="D149" s="4" t="inlineStr">
        <is>
          <t>C117</t>
        </is>
      </c>
      <c r="E149" s="4" t="inlineStr">
        <is>
          <t>P056</t>
        </is>
      </c>
      <c r="F149" t="inlineStr">
        <is>
          <t>S</t>
        </is>
      </c>
      <c r="G149" s="4" t="inlineStr">
        <is>
          <t>CH01</t>
        </is>
      </c>
      <c r="H149" s="4" t="inlineStr">
        <is>
          <t>PR00</t>
        </is>
      </c>
      <c r="I149" s="8" t="n">
        <v>68</v>
      </c>
      <c r="J149" s="9" t="n">
        <v>0</v>
      </c>
      <c r="K149" s="10">
        <f>I149*(1-J149)</f>
        <v/>
      </c>
      <c r="L149" s="11" t="n">
        <v>1</v>
      </c>
      <c r="M149" s="10">
        <f>K149*L149</f>
        <v/>
      </c>
      <c r="N149" s="8" t="n">
        <v>32.59</v>
      </c>
      <c r="O149" s="10">
        <f>N149*L149</f>
        <v/>
      </c>
      <c r="P149" s="10">
        <f>M149-O149</f>
        <v/>
      </c>
      <c r="Q149" s="11" t="inlineStr">
        <is>
          <t>No</t>
        </is>
      </c>
      <c r="R149" s="11" t="n">
        <v>0</v>
      </c>
      <c r="S149" s="10">
        <f>M149-(R149*K149)</f>
        <v/>
      </c>
      <c r="T149" s="12">
        <f>VLOOKUP(E149,Dim_Product!$A$2:$Q$61,3,FALSE)</f>
        <v/>
      </c>
      <c r="U149" s="12">
        <f>VLOOKUP(E149,Dim_Product!$A$2:$Q$61,4,FALSE)</f>
        <v/>
      </c>
      <c r="V149" s="12">
        <f>VLOOKUP(D149,Dim_Customer!$A$2:$I$121,6,FALSE)</f>
        <v/>
      </c>
      <c r="W149" s="12">
        <f>VLOOKUP(G149,Dim_Channel!$A$2:$B$5,2,FALSE)</f>
        <v/>
      </c>
      <c r="X149" s="12">
        <f>VLOOKUP(H149,Dim_Promotion!$A$2:$G$11,2,FALSE)</f>
        <v/>
      </c>
    </row>
    <row r="150">
      <c r="A150" s="4" t="inlineStr">
        <is>
          <t>SL0149</t>
        </is>
      </c>
      <c r="B150" t="inlineStr">
        <is>
          <t>O010075</t>
        </is>
      </c>
      <c r="C150" t="n">
        <v>20251125</v>
      </c>
      <c r="D150" s="4" t="inlineStr">
        <is>
          <t>C117</t>
        </is>
      </c>
      <c r="E150" s="4" t="inlineStr">
        <is>
          <t>P010</t>
        </is>
      </c>
      <c r="F150" t="inlineStr">
        <is>
          <t>M</t>
        </is>
      </c>
      <c r="G150" s="4" t="inlineStr">
        <is>
          <t>CH01</t>
        </is>
      </c>
      <c r="H150" s="4" t="inlineStr">
        <is>
          <t>PR00</t>
        </is>
      </c>
      <c r="I150" s="8" t="n">
        <v>48</v>
      </c>
      <c r="J150" s="9" t="n">
        <v>0</v>
      </c>
      <c r="K150" s="10">
        <f>I150*(1-J150)</f>
        <v/>
      </c>
      <c r="L150" s="11" t="n">
        <v>1</v>
      </c>
      <c r="M150" s="10">
        <f>K150*L150</f>
        <v/>
      </c>
      <c r="N150" s="8" t="n">
        <v>20.66</v>
      </c>
      <c r="O150" s="10">
        <f>N150*L150</f>
        <v/>
      </c>
      <c r="P150" s="10">
        <f>M150-O150</f>
        <v/>
      </c>
      <c r="Q150" s="11" t="inlineStr">
        <is>
          <t>No</t>
        </is>
      </c>
      <c r="R150" s="11" t="n">
        <v>0</v>
      </c>
      <c r="S150" s="10">
        <f>M150-(R150*K150)</f>
        <v/>
      </c>
      <c r="T150" s="12">
        <f>VLOOKUP(E150,Dim_Product!$A$2:$Q$61,3,FALSE)</f>
        <v/>
      </c>
      <c r="U150" s="12">
        <f>VLOOKUP(E150,Dim_Product!$A$2:$Q$61,4,FALSE)</f>
        <v/>
      </c>
      <c r="V150" s="12">
        <f>VLOOKUP(D150,Dim_Customer!$A$2:$I$121,6,FALSE)</f>
        <v/>
      </c>
      <c r="W150" s="12">
        <f>VLOOKUP(G150,Dim_Channel!$A$2:$B$5,2,FALSE)</f>
        <v/>
      </c>
      <c r="X150" s="12">
        <f>VLOOKUP(H150,Dim_Promotion!$A$2:$G$11,2,FALSE)</f>
        <v/>
      </c>
    </row>
    <row r="151">
      <c r="A151" s="4" t="inlineStr">
        <is>
          <t>SL0150</t>
        </is>
      </c>
      <c r="B151" t="inlineStr">
        <is>
          <t>O010075</t>
        </is>
      </c>
      <c r="C151" t="n">
        <v>20250815</v>
      </c>
      <c r="D151" s="4" t="inlineStr">
        <is>
          <t>C109</t>
        </is>
      </c>
      <c r="E151" s="4" t="inlineStr">
        <is>
          <t>P007</t>
        </is>
      </c>
      <c r="F151" t="inlineStr">
        <is>
          <t>L</t>
        </is>
      </c>
      <c r="G151" s="4" t="inlineStr">
        <is>
          <t>CH03</t>
        </is>
      </c>
      <c r="H151" s="4" t="inlineStr">
        <is>
          <t>PR00</t>
        </is>
      </c>
      <c r="I151" s="8" t="n">
        <v>51</v>
      </c>
      <c r="J151" s="9" t="n">
        <v>0</v>
      </c>
      <c r="K151" s="10">
        <f>I151*(1-J151)</f>
        <v/>
      </c>
      <c r="L151" s="11" t="n">
        <v>2</v>
      </c>
      <c r="M151" s="10">
        <f>K151*L151</f>
        <v/>
      </c>
      <c r="N151" s="8" t="n">
        <v>22.22</v>
      </c>
      <c r="O151" s="10">
        <f>N151*L151</f>
        <v/>
      </c>
      <c r="P151" s="10">
        <f>M151-O151</f>
        <v/>
      </c>
      <c r="Q151" s="11" t="inlineStr">
        <is>
          <t>No</t>
        </is>
      </c>
      <c r="R151" s="11" t="n">
        <v>0</v>
      </c>
      <c r="S151" s="10">
        <f>M151-(R151*K151)</f>
        <v/>
      </c>
      <c r="T151" s="12">
        <f>VLOOKUP(E151,Dim_Product!$A$2:$Q$61,3,FALSE)</f>
        <v/>
      </c>
      <c r="U151" s="12">
        <f>VLOOKUP(E151,Dim_Product!$A$2:$Q$61,4,FALSE)</f>
        <v/>
      </c>
      <c r="V151" s="12">
        <f>VLOOKUP(D151,Dim_Customer!$A$2:$I$121,6,FALSE)</f>
        <v/>
      </c>
      <c r="W151" s="12">
        <f>VLOOKUP(G151,Dim_Channel!$A$2:$B$5,2,FALSE)</f>
        <v/>
      </c>
      <c r="X151" s="12">
        <f>VLOOKUP(H151,Dim_Promotion!$A$2:$G$11,2,FALSE)</f>
        <v/>
      </c>
    </row>
    <row r="152">
      <c r="A152" s="4" t="inlineStr">
        <is>
          <t>SL0151</t>
        </is>
      </c>
      <c r="B152" t="inlineStr">
        <is>
          <t>O010076</t>
        </is>
      </c>
      <c r="C152" t="n">
        <v>20250610</v>
      </c>
      <c r="D152" s="4" t="inlineStr">
        <is>
          <t>C053</t>
        </is>
      </c>
      <c r="E152" s="4" t="inlineStr">
        <is>
          <t>P007</t>
        </is>
      </c>
      <c r="F152" t="inlineStr">
        <is>
          <t>M</t>
        </is>
      </c>
      <c r="G152" s="4" t="inlineStr">
        <is>
          <t>CH02</t>
        </is>
      </c>
      <c r="H152" s="4" t="inlineStr">
        <is>
          <t>PR04</t>
        </is>
      </c>
      <c r="I152" s="8" t="n">
        <v>51</v>
      </c>
      <c r="J152" s="9" t="n">
        <v>0.12</v>
      </c>
      <c r="K152" s="10">
        <f>I152*(1-J152)</f>
        <v/>
      </c>
      <c r="L152" s="11" t="n">
        <v>1</v>
      </c>
      <c r="M152" s="10">
        <f>K152*L152</f>
        <v/>
      </c>
      <c r="N152" s="8" t="n">
        <v>22.7</v>
      </c>
      <c r="O152" s="10">
        <f>N152*L152</f>
        <v/>
      </c>
      <c r="P152" s="10">
        <f>M152-O152</f>
        <v/>
      </c>
      <c r="Q152" s="11" t="inlineStr">
        <is>
          <t>No</t>
        </is>
      </c>
      <c r="R152" s="11" t="n">
        <v>0</v>
      </c>
      <c r="S152" s="10">
        <f>M152-(R152*K152)</f>
        <v/>
      </c>
      <c r="T152" s="12">
        <f>VLOOKUP(E152,Dim_Product!$A$2:$Q$61,3,FALSE)</f>
        <v/>
      </c>
      <c r="U152" s="12">
        <f>VLOOKUP(E152,Dim_Product!$A$2:$Q$61,4,FALSE)</f>
        <v/>
      </c>
      <c r="V152" s="12">
        <f>VLOOKUP(D152,Dim_Customer!$A$2:$I$121,6,FALSE)</f>
        <v/>
      </c>
      <c r="W152" s="12">
        <f>VLOOKUP(G152,Dim_Channel!$A$2:$B$5,2,FALSE)</f>
        <v/>
      </c>
      <c r="X152" s="12">
        <f>VLOOKUP(H152,Dim_Promotion!$A$2:$G$11,2,FALSE)</f>
        <v/>
      </c>
    </row>
    <row r="153">
      <c r="A153" s="4" t="inlineStr">
        <is>
          <t>SL0152</t>
        </is>
      </c>
      <c r="B153" t="inlineStr">
        <is>
          <t>O010076</t>
        </is>
      </c>
      <c r="C153" t="n">
        <v>20250211</v>
      </c>
      <c r="D153" s="4" t="inlineStr">
        <is>
          <t>C081</t>
        </is>
      </c>
      <c r="E153" s="4" t="inlineStr">
        <is>
          <t>P060</t>
        </is>
      </c>
      <c r="F153" t="inlineStr">
        <is>
          <t>S</t>
        </is>
      </c>
      <c r="G153" s="4" t="inlineStr">
        <is>
          <t>CH01</t>
        </is>
      </c>
      <c r="H153" s="4" t="inlineStr">
        <is>
          <t>PR00</t>
        </is>
      </c>
      <c r="I153" s="8" t="n">
        <v>74</v>
      </c>
      <c r="J153" s="9" t="n">
        <v>0</v>
      </c>
      <c r="K153" s="10">
        <f>I153*(1-J153)</f>
        <v/>
      </c>
      <c r="L153" s="11" t="n">
        <v>2</v>
      </c>
      <c r="M153" s="10">
        <f>K153*L153</f>
        <v/>
      </c>
      <c r="N153" s="8" t="n">
        <v>36.34</v>
      </c>
      <c r="O153" s="10">
        <f>N153*L153</f>
        <v/>
      </c>
      <c r="P153" s="10">
        <f>M153-O153</f>
        <v/>
      </c>
      <c r="Q153" s="11" t="inlineStr">
        <is>
          <t>No</t>
        </is>
      </c>
      <c r="R153" s="11" t="n">
        <v>0</v>
      </c>
      <c r="S153" s="10">
        <f>M153-(R153*K153)</f>
        <v/>
      </c>
      <c r="T153" s="12">
        <f>VLOOKUP(E153,Dim_Product!$A$2:$Q$61,3,FALSE)</f>
        <v/>
      </c>
      <c r="U153" s="12">
        <f>VLOOKUP(E153,Dim_Product!$A$2:$Q$61,4,FALSE)</f>
        <v/>
      </c>
      <c r="V153" s="12">
        <f>VLOOKUP(D153,Dim_Customer!$A$2:$I$121,6,FALSE)</f>
        <v/>
      </c>
      <c r="W153" s="12">
        <f>VLOOKUP(G153,Dim_Channel!$A$2:$B$5,2,FALSE)</f>
        <v/>
      </c>
      <c r="X153" s="12">
        <f>VLOOKUP(H153,Dim_Promotion!$A$2:$G$11,2,FALSE)</f>
        <v/>
      </c>
    </row>
    <row r="154">
      <c r="A154" s="4" t="inlineStr">
        <is>
          <t>SL0153</t>
        </is>
      </c>
      <c r="B154" t="inlineStr">
        <is>
          <t>O010077</t>
        </is>
      </c>
      <c r="C154" t="n">
        <v>20250220</v>
      </c>
      <c r="D154" s="4" t="inlineStr">
        <is>
          <t>C056</t>
        </is>
      </c>
      <c r="E154" s="4" t="inlineStr">
        <is>
          <t>P037</t>
        </is>
      </c>
      <c r="F154" t="inlineStr">
        <is>
          <t>XL</t>
        </is>
      </c>
      <c r="G154" s="4" t="inlineStr">
        <is>
          <t>CH02</t>
        </is>
      </c>
      <c r="H154" s="4" t="inlineStr">
        <is>
          <t>PR00</t>
        </is>
      </c>
      <c r="I154" s="8" t="n">
        <v>72</v>
      </c>
      <c r="J154" s="9" t="n">
        <v>0</v>
      </c>
      <c r="K154" s="10">
        <f>I154*(1-J154)</f>
        <v/>
      </c>
      <c r="L154" s="11" t="n">
        <v>2</v>
      </c>
      <c r="M154" s="10">
        <f>K154*L154</f>
        <v/>
      </c>
      <c r="N154" s="8" t="n">
        <v>34.22</v>
      </c>
      <c r="O154" s="10">
        <f>N154*L154</f>
        <v/>
      </c>
      <c r="P154" s="10">
        <f>M154-O154</f>
        <v/>
      </c>
      <c r="Q154" s="11" t="inlineStr">
        <is>
          <t>No</t>
        </is>
      </c>
      <c r="R154" s="11" t="n">
        <v>0</v>
      </c>
      <c r="S154" s="10">
        <f>M154-(R154*K154)</f>
        <v/>
      </c>
      <c r="T154" s="12">
        <f>VLOOKUP(E154,Dim_Product!$A$2:$Q$61,3,FALSE)</f>
        <v/>
      </c>
      <c r="U154" s="12">
        <f>VLOOKUP(E154,Dim_Product!$A$2:$Q$61,4,FALSE)</f>
        <v/>
      </c>
      <c r="V154" s="12">
        <f>VLOOKUP(D154,Dim_Customer!$A$2:$I$121,6,FALSE)</f>
        <v/>
      </c>
      <c r="W154" s="12">
        <f>VLOOKUP(G154,Dim_Channel!$A$2:$B$5,2,FALSE)</f>
        <v/>
      </c>
      <c r="X154" s="12">
        <f>VLOOKUP(H154,Dim_Promotion!$A$2:$G$11,2,FALSE)</f>
        <v/>
      </c>
    </row>
    <row r="155">
      <c r="A155" s="4" t="inlineStr">
        <is>
          <t>SL0154</t>
        </is>
      </c>
      <c r="B155" t="inlineStr">
        <is>
          <t>O010077</t>
        </is>
      </c>
      <c r="C155" t="n">
        <v>20251017</v>
      </c>
      <c r="D155" s="4" t="inlineStr">
        <is>
          <t>C025</t>
        </is>
      </c>
      <c r="E155" s="4" t="inlineStr">
        <is>
          <t>P002</t>
        </is>
      </c>
      <c r="F155" t="inlineStr">
        <is>
          <t>L</t>
        </is>
      </c>
      <c r="G155" s="4" t="inlineStr">
        <is>
          <t>CH01</t>
        </is>
      </c>
      <c r="H155" s="4" t="inlineStr">
        <is>
          <t>PR00</t>
        </is>
      </c>
      <c r="I155" s="8" t="n">
        <v>38</v>
      </c>
      <c r="J155" s="9" t="n">
        <v>0</v>
      </c>
      <c r="K155" s="10">
        <f>I155*(1-J155)</f>
        <v/>
      </c>
      <c r="L155" s="11" t="n">
        <v>1</v>
      </c>
      <c r="M155" s="10">
        <f>K155*L155</f>
        <v/>
      </c>
      <c r="N155" s="8" t="n">
        <v>17.26</v>
      </c>
      <c r="O155" s="10">
        <f>N155*L155</f>
        <v/>
      </c>
      <c r="P155" s="10">
        <f>M155-O155</f>
        <v/>
      </c>
      <c r="Q155" s="11" t="inlineStr">
        <is>
          <t>No</t>
        </is>
      </c>
      <c r="R155" s="11" t="n">
        <v>0</v>
      </c>
      <c r="S155" s="10">
        <f>M155-(R155*K155)</f>
        <v/>
      </c>
      <c r="T155" s="12">
        <f>VLOOKUP(E155,Dim_Product!$A$2:$Q$61,3,FALSE)</f>
        <v/>
      </c>
      <c r="U155" s="12">
        <f>VLOOKUP(E155,Dim_Product!$A$2:$Q$61,4,FALSE)</f>
        <v/>
      </c>
      <c r="V155" s="12">
        <f>VLOOKUP(D155,Dim_Customer!$A$2:$I$121,6,FALSE)</f>
        <v/>
      </c>
      <c r="W155" s="12">
        <f>VLOOKUP(G155,Dim_Channel!$A$2:$B$5,2,FALSE)</f>
        <v/>
      </c>
      <c r="X155" s="12">
        <f>VLOOKUP(H155,Dim_Promotion!$A$2:$G$11,2,FALSE)</f>
        <v/>
      </c>
    </row>
    <row r="156">
      <c r="A156" s="4" t="inlineStr">
        <is>
          <t>SL0155</t>
        </is>
      </c>
      <c r="B156" t="inlineStr">
        <is>
          <t>O010078</t>
        </is>
      </c>
      <c r="C156" t="n">
        <v>20251110</v>
      </c>
      <c r="D156" s="4" t="inlineStr">
        <is>
          <t>C038</t>
        </is>
      </c>
      <c r="E156" s="4" t="inlineStr">
        <is>
          <t>P026</t>
        </is>
      </c>
      <c r="F156" t="inlineStr">
        <is>
          <t>L</t>
        </is>
      </c>
      <c r="G156" s="4" t="inlineStr">
        <is>
          <t>CH03</t>
        </is>
      </c>
      <c r="H156" s="4" t="inlineStr">
        <is>
          <t>PR00</t>
        </is>
      </c>
      <c r="I156" s="8" t="n">
        <v>93</v>
      </c>
      <c r="J156" s="9" t="n">
        <v>0</v>
      </c>
      <c r="K156" s="10">
        <f>I156*(1-J156)</f>
        <v/>
      </c>
      <c r="L156" s="11" t="n">
        <v>1</v>
      </c>
      <c r="M156" s="10">
        <f>K156*L156</f>
        <v/>
      </c>
      <c r="N156" s="8" t="n">
        <v>46.53</v>
      </c>
      <c r="O156" s="10">
        <f>N156*L156</f>
        <v/>
      </c>
      <c r="P156" s="10">
        <f>M156-O156</f>
        <v/>
      </c>
      <c r="Q156" s="11" t="inlineStr">
        <is>
          <t>No</t>
        </is>
      </c>
      <c r="R156" s="11" t="n">
        <v>0</v>
      </c>
      <c r="S156" s="10">
        <f>M156-(R156*K156)</f>
        <v/>
      </c>
      <c r="T156" s="12">
        <f>VLOOKUP(E156,Dim_Product!$A$2:$Q$61,3,FALSE)</f>
        <v/>
      </c>
      <c r="U156" s="12">
        <f>VLOOKUP(E156,Dim_Product!$A$2:$Q$61,4,FALSE)</f>
        <v/>
      </c>
      <c r="V156" s="12">
        <f>VLOOKUP(D156,Dim_Customer!$A$2:$I$121,6,FALSE)</f>
        <v/>
      </c>
      <c r="W156" s="12">
        <f>VLOOKUP(G156,Dim_Channel!$A$2:$B$5,2,FALSE)</f>
        <v/>
      </c>
      <c r="X156" s="12">
        <f>VLOOKUP(H156,Dim_Promotion!$A$2:$G$11,2,FALSE)</f>
        <v/>
      </c>
    </row>
    <row r="157">
      <c r="A157" s="4" t="inlineStr">
        <is>
          <t>SL0156</t>
        </is>
      </c>
      <c r="B157" t="inlineStr">
        <is>
          <t>O010078</t>
        </is>
      </c>
      <c r="C157" t="n">
        <v>20250330</v>
      </c>
      <c r="D157" s="4" t="inlineStr">
        <is>
          <t>C118</t>
        </is>
      </c>
      <c r="E157" s="4" t="inlineStr">
        <is>
          <t>P048</t>
        </is>
      </c>
      <c r="F157" t="inlineStr">
        <is>
          <t>S</t>
        </is>
      </c>
      <c r="G157" s="4" t="inlineStr">
        <is>
          <t>CH04</t>
        </is>
      </c>
      <c r="H157" s="4" t="inlineStr">
        <is>
          <t>PR00</t>
        </is>
      </c>
      <c r="I157" s="8" t="n">
        <v>66</v>
      </c>
      <c r="J157" s="9" t="n">
        <v>0.05</v>
      </c>
      <c r="K157" s="10">
        <f>I157*(1-J157)</f>
        <v/>
      </c>
      <c r="L157" s="11" t="n">
        <v>1</v>
      </c>
      <c r="M157" s="10">
        <f>K157*L157</f>
        <v/>
      </c>
      <c r="N157" s="8" t="n">
        <v>33.63</v>
      </c>
      <c r="O157" s="10">
        <f>N157*L157</f>
        <v/>
      </c>
      <c r="P157" s="10">
        <f>M157-O157</f>
        <v/>
      </c>
      <c r="Q157" s="11" t="inlineStr">
        <is>
          <t>Yes</t>
        </is>
      </c>
      <c r="R157" s="11" t="n">
        <v>1</v>
      </c>
      <c r="S157" s="10">
        <f>M157-(R157*K157)</f>
        <v/>
      </c>
      <c r="T157" s="12">
        <f>VLOOKUP(E157,Dim_Product!$A$2:$Q$61,3,FALSE)</f>
        <v/>
      </c>
      <c r="U157" s="12">
        <f>VLOOKUP(E157,Dim_Product!$A$2:$Q$61,4,FALSE)</f>
        <v/>
      </c>
      <c r="V157" s="12">
        <f>VLOOKUP(D157,Dim_Customer!$A$2:$I$121,6,FALSE)</f>
        <v/>
      </c>
      <c r="W157" s="12">
        <f>VLOOKUP(G157,Dim_Channel!$A$2:$B$5,2,FALSE)</f>
        <v/>
      </c>
      <c r="X157" s="12">
        <f>VLOOKUP(H157,Dim_Promotion!$A$2:$G$11,2,FALSE)</f>
        <v/>
      </c>
    </row>
    <row r="158">
      <c r="A158" s="4" t="inlineStr">
        <is>
          <t>SL0157</t>
        </is>
      </c>
      <c r="B158" t="inlineStr">
        <is>
          <t>O010079</t>
        </is>
      </c>
      <c r="C158" t="n">
        <v>20251020</v>
      </c>
      <c r="D158" s="4" t="inlineStr">
        <is>
          <t>C007</t>
        </is>
      </c>
      <c r="E158" s="4" t="inlineStr">
        <is>
          <t>P035</t>
        </is>
      </c>
      <c r="F158" t="inlineStr">
        <is>
          <t>S</t>
        </is>
      </c>
      <c r="G158" s="4" t="inlineStr">
        <is>
          <t>CH03</t>
        </is>
      </c>
      <c r="H158" s="4" t="inlineStr">
        <is>
          <t>PR00</t>
        </is>
      </c>
      <c r="I158" s="8" t="n">
        <v>86</v>
      </c>
      <c r="J158" s="9" t="n">
        <v>0</v>
      </c>
      <c r="K158" s="10">
        <f>I158*(1-J158)</f>
        <v/>
      </c>
      <c r="L158" s="11" t="n">
        <v>1</v>
      </c>
      <c r="M158" s="10">
        <f>K158*L158</f>
        <v/>
      </c>
      <c r="N158" s="8" t="n">
        <v>43.12</v>
      </c>
      <c r="O158" s="10">
        <f>N158*L158</f>
        <v/>
      </c>
      <c r="P158" s="10">
        <f>M158-O158</f>
        <v/>
      </c>
      <c r="Q158" s="11" t="inlineStr">
        <is>
          <t>No</t>
        </is>
      </c>
      <c r="R158" s="11" t="n">
        <v>0</v>
      </c>
      <c r="S158" s="10">
        <f>M158-(R158*K158)</f>
        <v/>
      </c>
      <c r="T158" s="12">
        <f>VLOOKUP(E158,Dim_Product!$A$2:$Q$61,3,FALSE)</f>
        <v/>
      </c>
      <c r="U158" s="12">
        <f>VLOOKUP(E158,Dim_Product!$A$2:$Q$61,4,FALSE)</f>
        <v/>
      </c>
      <c r="V158" s="12">
        <f>VLOOKUP(D158,Dim_Customer!$A$2:$I$121,6,FALSE)</f>
        <v/>
      </c>
      <c r="W158" s="12">
        <f>VLOOKUP(G158,Dim_Channel!$A$2:$B$5,2,FALSE)</f>
        <v/>
      </c>
      <c r="X158" s="12">
        <f>VLOOKUP(H158,Dim_Promotion!$A$2:$G$11,2,FALSE)</f>
        <v/>
      </c>
    </row>
    <row r="159">
      <c r="A159" s="4" t="inlineStr">
        <is>
          <t>SL0158</t>
        </is>
      </c>
      <c r="B159" t="inlineStr">
        <is>
          <t>O010079</t>
        </is>
      </c>
      <c r="C159" t="n">
        <v>20250705</v>
      </c>
      <c r="D159" s="4" t="inlineStr">
        <is>
          <t>C027</t>
        </is>
      </c>
      <c r="E159" s="4" t="inlineStr">
        <is>
          <t>P041</t>
        </is>
      </c>
      <c r="F159" t="inlineStr">
        <is>
          <t>S</t>
        </is>
      </c>
      <c r="G159" s="4" t="inlineStr">
        <is>
          <t>CH02</t>
        </is>
      </c>
      <c r="H159" s="4" t="inlineStr">
        <is>
          <t>PR05</t>
        </is>
      </c>
      <c r="I159" s="8" t="n">
        <v>78</v>
      </c>
      <c r="J159" s="9" t="n">
        <v>0.2</v>
      </c>
      <c r="K159" s="10">
        <f>I159*(1-J159)</f>
        <v/>
      </c>
      <c r="L159" s="11" t="n">
        <v>1</v>
      </c>
      <c r="M159" s="10">
        <f>K159*L159</f>
        <v/>
      </c>
      <c r="N159" s="8" t="n">
        <v>38.84</v>
      </c>
      <c r="O159" s="10">
        <f>N159*L159</f>
        <v/>
      </c>
      <c r="P159" s="10">
        <f>M159-O159</f>
        <v/>
      </c>
      <c r="Q159" s="11" t="inlineStr">
        <is>
          <t>No</t>
        </is>
      </c>
      <c r="R159" s="11" t="n">
        <v>0</v>
      </c>
      <c r="S159" s="10">
        <f>M159-(R159*K159)</f>
        <v/>
      </c>
      <c r="T159" s="12">
        <f>VLOOKUP(E159,Dim_Product!$A$2:$Q$61,3,FALSE)</f>
        <v/>
      </c>
      <c r="U159" s="12">
        <f>VLOOKUP(E159,Dim_Product!$A$2:$Q$61,4,FALSE)</f>
        <v/>
      </c>
      <c r="V159" s="12">
        <f>VLOOKUP(D159,Dim_Customer!$A$2:$I$121,6,FALSE)</f>
        <v/>
      </c>
      <c r="W159" s="12">
        <f>VLOOKUP(G159,Dim_Channel!$A$2:$B$5,2,FALSE)</f>
        <v/>
      </c>
      <c r="X159" s="12">
        <f>VLOOKUP(H159,Dim_Promotion!$A$2:$G$11,2,FALSE)</f>
        <v/>
      </c>
    </row>
    <row r="160">
      <c r="A160" s="4" t="inlineStr">
        <is>
          <t>SL0159</t>
        </is>
      </c>
      <c r="B160" t="inlineStr">
        <is>
          <t>O010080</t>
        </is>
      </c>
      <c r="C160" t="n">
        <v>20251217</v>
      </c>
      <c r="D160" s="4" t="inlineStr">
        <is>
          <t>C093</t>
        </is>
      </c>
      <c r="E160" s="4" t="inlineStr">
        <is>
          <t>P036</t>
        </is>
      </c>
      <c r="F160" t="inlineStr">
        <is>
          <t>XL</t>
        </is>
      </c>
      <c r="G160" s="4" t="inlineStr">
        <is>
          <t>CH04</t>
        </is>
      </c>
      <c r="H160" s="4" t="inlineStr">
        <is>
          <t>PR00</t>
        </is>
      </c>
      <c r="I160" s="8" t="n">
        <v>90</v>
      </c>
      <c r="J160" s="9" t="n">
        <v>0</v>
      </c>
      <c r="K160" s="10">
        <f>I160*(1-J160)</f>
        <v/>
      </c>
      <c r="L160" s="11" t="n">
        <v>3</v>
      </c>
      <c r="M160" s="10">
        <f>K160*L160</f>
        <v/>
      </c>
      <c r="N160" s="8" t="n">
        <v>42.06</v>
      </c>
      <c r="O160" s="10">
        <f>N160*L160</f>
        <v/>
      </c>
      <c r="P160" s="10">
        <f>M160-O160</f>
        <v/>
      </c>
      <c r="Q160" s="11" t="inlineStr">
        <is>
          <t>No</t>
        </is>
      </c>
      <c r="R160" s="11" t="n">
        <v>0</v>
      </c>
      <c r="S160" s="10">
        <f>M160-(R160*K160)</f>
        <v/>
      </c>
      <c r="T160" s="12">
        <f>VLOOKUP(E160,Dim_Product!$A$2:$Q$61,3,FALSE)</f>
        <v/>
      </c>
      <c r="U160" s="12">
        <f>VLOOKUP(E160,Dim_Product!$A$2:$Q$61,4,FALSE)</f>
        <v/>
      </c>
      <c r="V160" s="12">
        <f>VLOOKUP(D160,Dim_Customer!$A$2:$I$121,6,FALSE)</f>
        <v/>
      </c>
      <c r="W160" s="12">
        <f>VLOOKUP(G160,Dim_Channel!$A$2:$B$5,2,FALSE)</f>
        <v/>
      </c>
      <c r="X160" s="12">
        <f>VLOOKUP(H160,Dim_Promotion!$A$2:$G$11,2,FALSE)</f>
        <v/>
      </c>
    </row>
    <row r="161">
      <c r="A161" s="4" t="inlineStr">
        <is>
          <t>SL0160</t>
        </is>
      </c>
      <c r="B161" t="inlineStr">
        <is>
          <t>O010080</t>
        </is>
      </c>
      <c r="C161" t="n">
        <v>20250318</v>
      </c>
      <c r="D161" s="4" t="inlineStr">
        <is>
          <t>C064</t>
        </is>
      </c>
      <c r="E161" s="4" t="inlineStr">
        <is>
          <t>P054</t>
        </is>
      </c>
      <c r="F161" t="inlineStr">
        <is>
          <t>M</t>
        </is>
      </c>
      <c r="G161" s="4" t="inlineStr">
        <is>
          <t>CH02</t>
        </is>
      </c>
      <c r="H161" s="4" t="inlineStr">
        <is>
          <t>PR00</t>
        </is>
      </c>
      <c r="I161" s="8" t="n">
        <v>72</v>
      </c>
      <c r="J161" s="9" t="n">
        <v>0</v>
      </c>
      <c r="K161" s="10">
        <f>I161*(1-J161)</f>
        <v/>
      </c>
      <c r="L161" s="11" t="n">
        <v>2</v>
      </c>
      <c r="M161" s="10">
        <f>K161*L161</f>
        <v/>
      </c>
      <c r="N161" s="8" t="n">
        <v>31.93</v>
      </c>
      <c r="O161" s="10">
        <f>N161*L161</f>
        <v/>
      </c>
      <c r="P161" s="10">
        <f>M161-O161</f>
        <v/>
      </c>
      <c r="Q161" s="11" t="inlineStr">
        <is>
          <t>No</t>
        </is>
      </c>
      <c r="R161" s="11" t="n">
        <v>0</v>
      </c>
      <c r="S161" s="10">
        <f>M161-(R161*K161)</f>
        <v/>
      </c>
      <c r="T161" s="12">
        <f>VLOOKUP(E161,Dim_Product!$A$2:$Q$61,3,FALSE)</f>
        <v/>
      </c>
      <c r="U161" s="12">
        <f>VLOOKUP(E161,Dim_Product!$A$2:$Q$61,4,FALSE)</f>
        <v/>
      </c>
      <c r="V161" s="12">
        <f>VLOOKUP(D161,Dim_Customer!$A$2:$I$121,6,FALSE)</f>
        <v/>
      </c>
      <c r="W161" s="12">
        <f>VLOOKUP(G161,Dim_Channel!$A$2:$B$5,2,FALSE)</f>
        <v/>
      </c>
      <c r="X161" s="12">
        <f>VLOOKUP(H161,Dim_Promotion!$A$2:$G$11,2,FALSE)</f>
        <v/>
      </c>
    </row>
    <row r="162">
      <c r="A162" s="4" t="inlineStr">
        <is>
          <t>SL0161</t>
        </is>
      </c>
      <c r="B162" t="inlineStr">
        <is>
          <t>O010081</t>
        </is>
      </c>
      <c r="C162" t="n">
        <v>20250303</v>
      </c>
      <c r="D162" s="4" t="inlineStr">
        <is>
          <t>C100</t>
        </is>
      </c>
      <c r="E162" s="4" t="inlineStr">
        <is>
          <t>P029</t>
        </is>
      </c>
      <c r="F162" t="inlineStr">
        <is>
          <t>XS</t>
        </is>
      </c>
      <c r="G162" s="4" t="inlineStr">
        <is>
          <t>CH02</t>
        </is>
      </c>
      <c r="H162" s="4" t="inlineStr">
        <is>
          <t>PR00</t>
        </is>
      </c>
      <c r="I162" s="8" t="n">
        <v>110</v>
      </c>
      <c r="J162" s="9" t="n">
        <v>0</v>
      </c>
      <c r="K162" s="10">
        <f>I162*(1-J162)</f>
        <v/>
      </c>
      <c r="L162" s="11" t="n">
        <v>1</v>
      </c>
      <c r="M162" s="10">
        <f>K162*L162</f>
        <v/>
      </c>
      <c r="N162" s="8" t="n">
        <v>55.05</v>
      </c>
      <c r="O162" s="10">
        <f>N162*L162</f>
        <v/>
      </c>
      <c r="P162" s="10">
        <f>M162-O162</f>
        <v/>
      </c>
      <c r="Q162" s="11" t="inlineStr">
        <is>
          <t>No</t>
        </is>
      </c>
      <c r="R162" s="11" t="n">
        <v>0</v>
      </c>
      <c r="S162" s="10">
        <f>M162-(R162*K162)</f>
        <v/>
      </c>
      <c r="T162" s="12">
        <f>VLOOKUP(E162,Dim_Product!$A$2:$Q$61,3,FALSE)</f>
        <v/>
      </c>
      <c r="U162" s="12">
        <f>VLOOKUP(E162,Dim_Product!$A$2:$Q$61,4,FALSE)</f>
        <v/>
      </c>
      <c r="V162" s="12">
        <f>VLOOKUP(D162,Dim_Customer!$A$2:$I$121,6,FALSE)</f>
        <v/>
      </c>
      <c r="W162" s="12">
        <f>VLOOKUP(G162,Dim_Channel!$A$2:$B$5,2,FALSE)</f>
        <v/>
      </c>
      <c r="X162" s="12">
        <f>VLOOKUP(H162,Dim_Promotion!$A$2:$G$11,2,FALSE)</f>
        <v/>
      </c>
    </row>
    <row r="163">
      <c r="A163" s="4" t="inlineStr">
        <is>
          <t>SL0162</t>
        </is>
      </c>
      <c r="B163" t="inlineStr">
        <is>
          <t>O010081</t>
        </is>
      </c>
      <c r="C163" t="n">
        <v>20251128</v>
      </c>
      <c r="D163" s="4" t="inlineStr">
        <is>
          <t>C038</t>
        </is>
      </c>
      <c r="E163" s="4" t="inlineStr">
        <is>
          <t>P020</t>
        </is>
      </c>
      <c r="F163" t="inlineStr">
        <is>
          <t>S</t>
        </is>
      </c>
      <c r="G163" s="4" t="inlineStr">
        <is>
          <t>CH01</t>
        </is>
      </c>
      <c r="H163" s="4" t="inlineStr">
        <is>
          <t>PR08</t>
        </is>
      </c>
      <c r="I163" s="8" t="n">
        <v>62</v>
      </c>
      <c r="J163" s="9" t="n">
        <v>0.25</v>
      </c>
      <c r="K163" s="10">
        <f>I163*(1-J163)</f>
        <v/>
      </c>
      <c r="L163" s="11" t="n">
        <v>1</v>
      </c>
      <c r="M163" s="10">
        <f>K163*L163</f>
        <v/>
      </c>
      <c r="N163" s="8" t="n">
        <v>29.65</v>
      </c>
      <c r="O163" s="10">
        <f>N163*L163</f>
        <v/>
      </c>
      <c r="P163" s="10">
        <f>M163-O163</f>
        <v/>
      </c>
      <c r="Q163" s="11" t="inlineStr">
        <is>
          <t>No</t>
        </is>
      </c>
      <c r="R163" s="11" t="n">
        <v>0</v>
      </c>
      <c r="S163" s="10">
        <f>M163-(R163*K163)</f>
        <v/>
      </c>
      <c r="T163" s="12">
        <f>VLOOKUP(E163,Dim_Product!$A$2:$Q$61,3,FALSE)</f>
        <v/>
      </c>
      <c r="U163" s="12">
        <f>VLOOKUP(E163,Dim_Product!$A$2:$Q$61,4,FALSE)</f>
        <v/>
      </c>
      <c r="V163" s="12">
        <f>VLOOKUP(D163,Dim_Customer!$A$2:$I$121,6,FALSE)</f>
        <v/>
      </c>
      <c r="W163" s="12">
        <f>VLOOKUP(G163,Dim_Channel!$A$2:$B$5,2,FALSE)</f>
        <v/>
      </c>
      <c r="X163" s="12">
        <f>VLOOKUP(H163,Dim_Promotion!$A$2:$G$11,2,FALSE)</f>
        <v/>
      </c>
    </row>
    <row r="164">
      <c r="A164" s="4" t="inlineStr">
        <is>
          <t>SL0163</t>
        </is>
      </c>
      <c r="B164" t="inlineStr">
        <is>
          <t>O010082</t>
        </is>
      </c>
      <c r="C164" t="n">
        <v>20250529</v>
      </c>
      <c r="D164" s="4" t="inlineStr">
        <is>
          <t>C057</t>
        </is>
      </c>
      <c r="E164" s="4" t="inlineStr">
        <is>
          <t>P057</t>
        </is>
      </c>
      <c r="F164" t="inlineStr">
        <is>
          <t>L</t>
        </is>
      </c>
      <c r="G164" s="4" t="inlineStr">
        <is>
          <t>CH03</t>
        </is>
      </c>
      <c r="H164" s="4" t="inlineStr">
        <is>
          <t>PR00</t>
        </is>
      </c>
      <c r="I164" s="8" t="n">
        <v>72</v>
      </c>
      <c r="J164" s="9" t="n">
        <v>0</v>
      </c>
      <c r="K164" s="10">
        <f>I164*(1-J164)</f>
        <v/>
      </c>
      <c r="L164" s="11" t="n">
        <v>1</v>
      </c>
      <c r="M164" s="10">
        <f>K164*L164</f>
        <v/>
      </c>
      <c r="N164" s="8" t="n">
        <v>36.32</v>
      </c>
      <c r="O164" s="10">
        <f>N164*L164</f>
        <v/>
      </c>
      <c r="P164" s="10">
        <f>M164-O164</f>
        <v/>
      </c>
      <c r="Q164" s="11" t="inlineStr">
        <is>
          <t>No</t>
        </is>
      </c>
      <c r="R164" s="11" t="n">
        <v>0</v>
      </c>
      <c r="S164" s="10">
        <f>M164-(R164*K164)</f>
        <v/>
      </c>
      <c r="T164" s="12">
        <f>VLOOKUP(E164,Dim_Product!$A$2:$Q$61,3,FALSE)</f>
        <v/>
      </c>
      <c r="U164" s="12">
        <f>VLOOKUP(E164,Dim_Product!$A$2:$Q$61,4,FALSE)</f>
        <v/>
      </c>
      <c r="V164" s="12">
        <f>VLOOKUP(D164,Dim_Customer!$A$2:$I$121,6,FALSE)</f>
        <v/>
      </c>
      <c r="W164" s="12">
        <f>VLOOKUP(G164,Dim_Channel!$A$2:$B$5,2,FALSE)</f>
        <v/>
      </c>
      <c r="X164" s="12">
        <f>VLOOKUP(H164,Dim_Promotion!$A$2:$G$11,2,FALSE)</f>
        <v/>
      </c>
    </row>
    <row r="165">
      <c r="A165" s="4" t="inlineStr">
        <is>
          <t>SL0164</t>
        </is>
      </c>
      <c r="B165" t="inlineStr">
        <is>
          <t>O010082</t>
        </is>
      </c>
      <c r="C165" t="n">
        <v>20250628</v>
      </c>
      <c r="D165" s="4" t="inlineStr">
        <is>
          <t>C062</t>
        </is>
      </c>
      <c r="E165" s="4" t="inlineStr">
        <is>
          <t>P047</t>
        </is>
      </c>
      <c r="F165" t="inlineStr">
        <is>
          <t>L</t>
        </is>
      </c>
      <c r="G165" s="4" t="inlineStr">
        <is>
          <t>CH01</t>
        </is>
      </c>
      <c r="H165" s="4" t="inlineStr">
        <is>
          <t>PR05</t>
        </is>
      </c>
      <c r="I165" s="8" t="n">
        <v>70</v>
      </c>
      <c r="J165" s="9" t="n">
        <v>0.2</v>
      </c>
      <c r="K165" s="10">
        <f>I165*(1-J165)</f>
        <v/>
      </c>
      <c r="L165" s="11" t="n">
        <v>4</v>
      </c>
      <c r="M165" s="10">
        <f>K165*L165</f>
        <v/>
      </c>
      <c r="N165" s="8" t="n">
        <v>31.95</v>
      </c>
      <c r="O165" s="10">
        <f>N165*L165</f>
        <v/>
      </c>
      <c r="P165" s="10">
        <f>M165-O165</f>
        <v/>
      </c>
      <c r="Q165" s="11" t="inlineStr">
        <is>
          <t>No</t>
        </is>
      </c>
      <c r="R165" s="11" t="n">
        <v>0</v>
      </c>
      <c r="S165" s="10">
        <f>M165-(R165*K165)</f>
        <v/>
      </c>
      <c r="T165" s="12">
        <f>VLOOKUP(E165,Dim_Product!$A$2:$Q$61,3,FALSE)</f>
        <v/>
      </c>
      <c r="U165" s="12">
        <f>VLOOKUP(E165,Dim_Product!$A$2:$Q$61,4,FALSE)</f>
        <v/>
      </c>
      <c r="V165" s="12">
        <f>VLOOKUP(D165,Dim_Customer!$A$2:$I$121,6,FALSE)</f>
        <v/>
      </c>
      <c r="W165" s="12">
        <f>VLOOKUP(G165,Dim_Channel!$A$2:$B$5,2,FALSE)</f>
        <v/>
      </c>
      <c r="X165" s="12">
        <f>VLOOKUP(H165,Dim_Promotion!$A$2:$G$11,2,FALSE)</f>
        <v/>
      </c>
    </row>
    <row r="166">
      <c r="A166" s="4" t="inlineStr">
        <is>
          <t>SL0165</t>
        </is>
      </c>
      <c r="B166" t="inlineStr">
        <is>
          <t>O010083</t>
        </is>
      </c>
      <c r="C166" t="n">
        <v>20251216</v>
      </c>
      <c r="D166" s="4" t="inlineStr">
        <is>
          <t>C103</t>
        </is>
      </c>
      <c r="E166" s="4" t="inlineStr">
        <is>
          <t>P033</t>
        </is>
      </c>
      <c r="F166" t="inlineStr">
        <is>
          <t>L</t>
        </is>
      </c>
      <c r="G166" s="4" t="inlineStr">
        <is>
          <t>CH03</t>
        </is>
      </c>
      <c r="H166" s="4" t="inlineStr">
        <is>
          <t>PR00</t>
        </is>
      </c>
      <c r="I166" s="8" t="n">
        <v>86</v>
      </c>
      <c r="J166" s="9" t="n">
        <v>0</v>
      </c>
      <c r="K166" s="10">
        <f>I166*(1-J166)</f>
        <v/>
      </c>
      <c r="L166" s="11" t="n">
        <v>1</v>
      </c>
      <c r="M166" s="10">
        <f>K166*L166</f>
        <v/>
      </c>
      <c r="N166" s="8" t="n">
        <v>43.4</v>
      </c>
      <c r="O166" s="10">
        <f>N166*L166</f>
        <v/>
      </c>
      <c r="P166" s="10">
        <f>M166-O166</f>
        <v/>
      </c>
      <c r="Q166" s="11" t="inlineStr">
        <is>
          <t>No</t>
        </is>
      </c>
      <c r="R166" s="11" t="n">
        <v>0</v>
      </c>
      <c r="S166" s="10">
        <f>M166-(R166*K166)</f>
        <v/>
      </c>
      <c r="T166" s="12">
        <f>VLOOKUP(E166,Dim_Product!$A$2:$Q$61,3,FALSE)</f>
        <v/>
      </c>
      <c r="U166" s="12">
        <f>VLOOKUP(E166,Dim_Product!$A$2:$Q$61,4,FALSE)</f>
        <v/>
      </c>
      <c r="V166" s="12">
        <f>VLOOKUP(D166,Dim_Customer!$A$2:$I$121,6,FALSE)</f>
        <v/>
      </c>
      <c r="W166" s="12">
        <f>VLOOKUP(G166,Dim_Channel!$A$2:$B$5,2,FALSE)</f>
        <v/>
      </c>
      <c r="X166" s="12">
        <f>VLOOKUP(H166,Dim_Promotion!$A$2:$G$11,2,FALSE)</f>
        <v/>
      </c>
    </row>
    <row r="167">
      <c r="A167" s="4" t="inlineStr">
        <is>
          <t>SL0166</t>
        </is>
      </c>
      <c r="B167" t="inlineStr">
        <is>
          <t>O010083</t>
        </is>
      </c>
      <c r="C167" t="n">
        <v>20250121</v>
      </c>
      <c r="D167" s="4" t="inlineStr">
        <is>
          <t>C041</t>
        </is>
      </c>
      <c r="E167" s="4" t="inlineStr">
        <is>
          <t>P031</t>
        </is>
      </c>
      <c r="F167" t="inlineStr">
        <is>
          <t>M</t>
        </is>
      </c>
      <c r="G167" s="4" t="inlineStr">
        <is>
          <t>CH01</t>
        </is>
      </c>
      <c r="H167" s="4" t="inlineStr">
        <is>
          <t>PR00</t>
        </is>
      </c>
      <c r="I167" s="8" t="n">
        <v>114</v>
      </c>
      <c r="J167" s="9" t="n">
        <v>0</v>
      </c>
      <c r="K167" s="10">
        <f>I167*(1-J167)</f>
        <v/>
      </c>
      <c r="L167" s="11" t="n">
        <v>1</v>
      </c>
      <c r="M167" s="10">
        <f>K167*L167</f>
        <v/>
      </c>
      <c r="N167" s="8" t="n">
        <v>56.21</v>
      </c>
      <c r="O167" s="10">
        <f>N167*L167</f>
        <v/>
      </c>
      <c r="P167" s="10">
        <f>M167-O167</f>
        <v/>
      </c>
      <c r="Q167" s="11" t="inlineStr">
        <is>
          <t>No</t>
        </is>
      </c>
      <c r="R167" s="11" t="n">
        <v>0</v>
      </c>
      <c r="S167" s="10">
        <f>M167-(R167*K167)</f>
        <v/>
      </c>
      <c r="T167" s="12">
        <f>VLOOKUP(E167,Dim_Product!$A$2:$Q$61,3,FALSE)</f>
        <v/>
      </c>
      <c r="U167" s="12">
        <f>VLOOKUP(E167,Dim_Product!$A$2:$Q$61,4,FALSE)</f>
        <v/>
      </c>
      <c r="V167" s="12">
        <f>VLOOKUP(D167,Dim_Customer!$A$2:$I$121,6,FALSE)</f>
        <v/>
      </c>
      <c r="W167" s="12">
        <f>VLOOKUP(G167,Dim_Channel!$A$2:$B$5,2,FALSE)</f>
        <v/>
      </c>
      <c r="X167" s="12">
        <f>VLOOKUP(H167,Dim_Promotion!$A$2:$G$11,2,FALSE)</f>
        <v/>
      </c>
    </row>
    <row r="168">
      <c r="A168" s="4" t="inlineStr">
        <is>
          <t>SL0167</t>
        </is>
      </c>
      <c r="B168" t="inlineStr">
        <is>
          <t>O010084</t>
        </is>
      </c>
      <c r="C168" t="n">
        <v>20250908</v>
      </c>
      <c r="D168" s="4" t="inlineStr">
        <is>
          <t>C062</t>
        </is>
      </c>
      <c r="E168" s="4" t="inlineStr">
        <is>
          <t>P020</t>
        </is>
      </c>
      <c r="F168" t="inlineStr">
        <is>
          <t>S</t>
        </is>
      </c>
      <c r="G168" s="4" t="inlineStr">
        <is>
          <t>CH03</t>
        </is>
      </c>
      <c r="H168" s="4" t="inlineStr">
        <is>
          <t>PR00</t>
        </is>
      </c>
      <c r="I168" s="8" t="n">
        <v>66</v>
      </c>
      <c r="J168" s="9" t="n">
        <v>0</v>
      </c>
      <c r="K168" s="10">
        <f>I168*(1-J168)</f>
        <v/>
      </c>
      <c r="L168" s="11" t="n">
        <v>1</v>
      </c>
      <c r="M168" s="10">
        <f>K168*L168</f>
        <v/>
      </c>
      <c r="N168" s="8" t="n">
        <v>30.56</v>
      </c>
      <c r="O168" s="10">
        <f>N168*L168</f>
        <v/>
      </c>
      <c r="P168" s="10">
        <f>M168-O168</f>
        <v/>
      </c>
      <c r="Q168" s="11" t="inlineStr">
        <is>
          <t>No</t>
        </is>
      </c>
      <c r="R168" s="11" t="n">
        <v>0</v>
      </c>
      <c r="S168" s="10">
        <f>M168-(R168*K168)</f>
        <v/>
      </c>
      <c r="T168" s="12">
        <f>VLOOKUP(E168,Dim_Product!$A$2:$Q$61,3,FALSE)</f>
        <v/>
      </c>
      <c r="U168" s="12">
        <f>VLOOKUP(E168,Dim_Product!$A$2:$Q$61,4,FALSE)</f>
        <v/>
      </c>
      <c r="V168" s="12">
        <f>VLOOKUP(D168,Dim_Customer!$A$2:$I$121,6,FALSE)</f>
        <v/>
      </c>
      <c r="W168" s="12">
        <f>VLOOKUP(G168,Dim_Channel!$A$2:$B$5,2,FALSE)</f>
        <v/>
      </c>
      <c r="X168" s="12">
        <f>VLOOKUP(H168,Dim_Promotion!$A$2:$G$11,2,FALSE)</f>
        <v/>
      </c>
    </row>
    <row r="169">
      <c r="A169" s="4" t="inlineStr">
        <is>
          <t>SL0168</t>
        </is>
      </c>
      <c r="B169" t="inlineStr">
        <is>
          <t>O010084</t>
        </is>
      </c>
      <c r="C169" t="n">
        <v>20251128</v>
      </c>
      <c r="D169" s="4" t="inlineStr">
        <is>
          <t>C064</t>
        </is>
      </c>
      <c r="E169" s="4" t="inlineStr">
        <is>
          <t>P051</t>
        </is>
      </c>
      <c r="F169" t="inlineStr">
        <is>
          <t>L</t>
        </is>
      </c>
      <c r="G169" s="4" t="inlineStr">
        <is>
          <t>CH02</t>
        </is>
      </c>
      <c r="H169" s="4" t="inlineStr">
        <is>
          <t>PR08</t>
        </is>
      </c>
      <c r="I169" s="8" t="n">
        <v>68</v>
      </c>
      <c r="J169" s="9" t="n">
        <v>0.25</v>
      </c>
      <c r="K169" s="10">
        <f>I169*(1-J169)</f>
        <v/>
      </c>
      <c r="L169" s="11" t="n">
        <v>1</v>
      </c>
      <c r="M169" s="10">
        <f>K169*L169</f>
        <v/>
      </c>
      <c r="N169" s="8" t="n">
        <v>29.38</v>
      </c>
      <c r="O169" s="10">
        <f>N169*L169</f>
        <v/>
      </c>
      <c r="P169" s="10">
        <f>M169-O169</f>
        <v/>
      </c>
      <c r="Q169" s="11" t="inlineStr">
        <is>
          <t>No</t>
        </is>
      </c>
      <c r="R169" s="11" t="n">
        <v>0</v>
      </c>
      <c r="S169" s="10">
        <f>M169-(R169*K169)</f>
        <v/>
      </c>
      <c r="T169" s="12">
        <f>VLOOKUP(E169,Dim_Product!$A$2:$Q$61,3,FALSE)</f>
        <v/>
      </c>
      <c r="U169" s="12">
        <f>VLOOKUP(E169,Dim_Product!$A$2:$Q$61,4,FALSE)</f>
        <v/>
      </c>
      <c r="V169" s="12">
        <f>VLOOKUP(D169,Dim_Customer!$A$2:$I$121,6,FALSE)</f>
        <v/>
      </c>
      <c r="W169" s="12">
        <f>VLOOKUP(G169,Dim_Channel!$A$2:$B$5,2,FALSE)</f>
        <v/>
      </c>
      <c r="X169" s="12">
        <f>VLOOKUP(H169,Dim_Promotion!$A$2:$G$11,2,FALSE)</f>
        <v/>
      </c>
    </row>
    <row r="170">
      <c r="A170" s="4" t="inlineStr">
        <is>
          <t>SL0169</t>
        </is>
      </c>
      <c r="B170" t="inlineStr">
        <is>
          <t>O010085</t>
        </is>
      </c>
      <c r="C170" t="n">
        <v>20251103</v>
      </c>
      <c r="D170" s="4" t="inlineStr">
        <is>
          <t>C059</t>
        </is>
      </c>
      <c r="E170" s="4" t="inlineStr">
        <is>
          <t>P025</t>
        </is>
      </c>
      <c r="F170" t="inlineStr">
        <is>
          <t>S</t>
        </is>
      </c>
      <c r="G170" s="4" t="inlineStr">
        <is>
          <t>CH01</t>
        </is>
      </c>
      <c r="H170" s="4" t="inlineStr">
        <is>
          <t>PR00</t>
        </is>
      </c>
      <c r="I170" s="8" t="n">
        <v>93</v>
      </c>
      <c r="J170" s="9" t="n">
        <v>0</v>
      </c>
      <c r="K170" s="10">
        <f>I170*(1-J170)</f>
        <v/>
      </c>
      <c r="L170" s="11" t="n">
        <v>1</v>
      </c>
      <c r="M170" s="10">
        <f>K170*L170</f>
        <v/>
      </c>
      <c r="N170" s="8" t="n">
        <v>45.6</v>
      </c>
      <c r="O170" s="10">
        <f>N170*L170</f>
        <v/>
      </c>
      <c r="P170" s="10">
        <f>M170-O170</f>
        <v/>
      </c>
      <c r="Q170" s="11" t="inlineStr">
        <is>
          <t>Yes</t>
        </is>
      </c>
      <c r="R170" s="11" t="n">
        <v>1</v>
      </c>
      <c r="S170" s="10">
        <f>M170-(R170*K170)</f>
        <v/>
      </c>
      <c r="T170" s="12">
        <f>VLOOKUP(E170,Dim_Product!$A$2:$Q$61,3,FALSE)</f>
        <v/>
      </c>
      <c r="U170" s="12">
        <f>VLOOKUP(E170,Dim_Product!$A$2:$Q$61,4,FALSE)</f>
        <v/>
      </c>
      <c r="V170" s="12">
        <f>VLOOKUP(D170,Dim_Customer!$A$2:$I$121,6,FALSE)</f>
        <v/>
      </c>
      <c r="W170" s="12">
        <f>VLOOKUP(G170,Dim_Channel!$A$2:$B$5,2,FALSE)</f>
        <v/>
      </c>
      <c r="X170" s="12">
        <f>VLOOKUP(H170,Dim_Promotion!$A$2:$G$11,2,FALSE)</f>
        <v/>
      </c>
    </row>
    <row r="171">
      <c r="A171" s="4" t="inlineStr">
        <is>
          <t>SL0170</t>
        </is>
      </c>
      <c r="B171" t="inlineStr">
        <is>
          <t>O010085</t>
        </is>
      </c>
      <c r="C171" t="n">
        <v>20251120</v>
      </c>
      <c r="D171" s="4" t="inlineStr">
        <is>
          <t>C082</t>
        </is>
      </c>
      <c r="E171" s="4" t="inlineStr">
        <is>
          <t>P017</t>
        </is>
      </c>
      <c r="F171" t="inlineStr">
        <is>
          <t>S</t>
        </is>
      </c>
      <c r="G171" s="4" t="inlineStr">
        <is>
          <t>CH04</t>
        </is>
      </c>
      <c r="H171" s="4" t="inlineStr">
        <is>
          <t>PR00</t>
        </is>
      </c>
      <c r="I171" s="8" t="n">
        <v>66</v>
      </c>
      <c r="J171" s="9" t="n">
        <v>0</v>
      </c>
      <c r="K171" s="10">
        <f>I171*(1-J171)</f>
        <v/>
      </c>
      <c r="L171" s="11" t="n">
        <v>2</v>
      </c>
      <c r="M171" s="10">
        <f>K171*L171</f>
        <v/>
      </c>
      <c r="N171" s="8" t="n">
        <v>32.98</v>
      </c>
      <c r="O171" s="10">
        <f>N171*L171</f>
        <v/>
      </c>
      <c r="P171" s="10">
        <f>M171-O171</f>
        <v/>
      </c>
      <c r="Q171" s="11" t="inlineStr">
        <is>
          <t>No</t>
        </is>
      </c>
      <c r="R171" s="11" t="n">
        <v>0</v>
      </c>
      <c r="S171" s="10">
        <f>M171-(R171*K171)</f>
        <v/>
      </c>
      <c r="T171" s="12">
        <f>VLOOKUP(E171,Dim_Product!$A$2:$Q$61,3,FALSE)</f>
        <v/>
      </c>
      <c r="U171" s="12">
        <f>VLOOKUP(E171,Dim_Product!$A$2:$Q$61,4,FALSE)</f>
        <v/>
      </c>
      <c r="V171" s="12">
        <f>VLOOKUP(D171,Dim_Customer!$A$2:$I$121,6,FALSE)</f>
        <v/>
      </c>
      <c r="W171" s="12">
        <f>VLOOKUP(G171,Dim_Channel!$A$2:$B$5,2,FALSE)</f>
        <v/>
      </c>
      <c r="X171" s="12">
        <f>VLOOKUP(H171,Dim_Promotion!$A$2:$G$11,2,FALSE)</f>
        <v/>
      </c>
    </row>
    <row r="172">
      <c r="A172" s="4" t="inlineStr">
        <is>
          <t>SL0171</t>
        </is>
      </c>
      <c r="B172" t="inlineStr">
        <is>
          <t>O010086</t>
        </is>
      </c>
      <c r="C172" t="n">
        <v>20251020</v>
      </c>
      <c r="D172" s="4" t="inlineStr">
        <is>
          <t>C061</t>
        </is>
      </c>
      <c r="E172" s="4" t="inlineStr">
        <is>
          <t>P042</t>
        </is>
      </c>
      <c r="F172" t="inlineStr">
        <is>
          <t>M</t>
        </is>
      </c>
      <c r="G172" s="4" t="inlineStr">
        <is>
          <t>CH01</t>
        </is>
      </c>
      <c r="H172" s="4" t="inlineStr">
        <is>
          <t>PR00</t>
        </is>
      </c>
      <c r="I172" s="8" t="n">
        <v>76</v>
      </c>
      <c r="J172" s="9" t="n">
        <v>0.08</v>
      </c>
      <c r="K172" s="10">
        <f>I172*(1-J172)</f>
        <v/>
      </c>
      <c r="L172" s="11" t="n">
        <v>1</v>
      </c>
      <c r="M172" s="10">
        <f>K172*L172</f>
        <v/>
      </c>
      <c r="N172" s="8" t="n">
        <v>37.09</v>
      </c>
      <c r="O172" s="10">
        <f>N172*L172</f>
        <v/>
      </c>
      <c r="P172" s="10">
        <f>M172-O172</f>
        <v/>
      </c>
      <c r="Q172" s="11" t="inlineStr">
        <is>
          <t>No</t>
        </is>
      </c>
      <c r="R172" s="11" t="n">
        <v>0</v>
      </c>
      <c r="S172" s="10">
        <f>M172-(R172*K172)</f>
        <v/>
      </c>
      <c r="T172" s="12">
        <f>VLOOKUP(E172,Dim_Product!$A$2:$Q$61,3,FALSE)</f>
        <v/>
      </c>
      <c r="U172" s="12">
        <f>VLOOKUP(E172,Dim_Product!$A$2:$Q$61,4,FALSE)</f>
        <v/>
      </c>
      <c r="V172" s="12">
        <f>VLOOKUP(D172,Dim_Customer!$A$2:$I$121,6,FALSE)</f>
        <v/>
      </c>
      <c r="W172" s="12">
        <f>VLOOKUP(G172,Dim_Channel!$A$2:$B$5,2,FALSE)</f>
        <v/>
      </c>
      <c r="X172" s="12">
        <f>VLOOKUP(H172,Dim_Promotion!$A$2:$G$11,2,FALSE)</f>
        <v/>
      </c>
    </row>
    <row r="173">
      <c r="A173" s="4" t="inlineStr">
        <is>
          <t>SL0172</t>
        </is>
      </c>
      <c r="B173" t="inlineStr">
        <is>
          <t>O010086</t>
        </is>
      </c>
      <c r="C173" t="n">
        <v>20251216</v>
      </c>
      <c r="D173" s="4" t="inlineStr">
        <is>
          <t>C018</t>
        </is>
      </c>
      <c r="E173" s="4" t="inlineStr">
        <is>
          <t>P023</t>
        </is>
      </c>
      <c r="F173" t="inlineStr">
        <is>
          <t>M</t>
        </is>
      </c>
      <c r="G173" s="4" t="inlineStr">
        <is>
          <t>CH01</t>
        </is>
      </c>
      <c r="H173" s="4" t="inlineStr">
        <is>
          <t>PR00</t>
        </is>
      </c>
      <c r="I173" s="8" t="n">
        <v>56</v>
      </c>
      <c r="J173" s="9" t="n">
        <v>0</v>
      </c>
      <c r="K173" s="10">
        <f>I173*(1-J173)</f>
        <v/>
      </c>
      <c r="L173" s="11" t="n">
        <v>1</v>
      </c>
      <c r="M173" s="10">
        <f>K173*L173</f>
        <v/>
      </c>
      <c r="N173" s="8" t="n">
        <v>25.65</v>
      </c>
      <c r="O173" s="10">
        <f>N173*L173</f>
        <v/>
      </c>
      <c r="P173" s="10">
        <f>M173-O173</f>
        <v/>
      </c>
      <c r="Q173" s="11" t="inlineStr">
        <is>
          <t>No</t>
        </is>
      </c>
      <c r="R173" s="11" t="n">
        <v>0</v>
      </c>
      <c r="S173" s="10">
        <f>M173-(R173*K173)</f>
        <v/>
      </c>
      <c r="T173" s="12">
        <f>VLOOKUP(E173,Dim_Product!$A$2:$Q$61,3,FALSE)</f>
        <v/>
      </c>
      <c r="U173" s="12">
        <f>VLOOKUP(E173,Dim_Product!$A$2:$Q$61,4,FALSE)</f>
        <v/>
      </c>
      <c r="V173" s="12">
        <f>VLOOKUP(D173,Dim_Customer!$A$2:$I$121,6,FALSE)</f>
        <v/>
      </c>
      <c r="W173" s="12">
        <f>VLOOKUP(G173,Dim_Channel!$A$2:$B$5,2,FALSE)</f>
        <v/>
      </c>
      <c r="X173" s="12">
        <f>VLOOKUP(H173,Dim_Promotion!$A$2:$G$11,2,FALSE)</f>
        <v/>
      </c>
    </row>
    <row r="174">
      <c r="A174" s="4" t="inlineStr">
        <is>
          <t>SL0173</t>
        </is>
      </c>
      <c r="B174" t="inlineStr">
        <is>
          <t>O010087</t>
        </is>
      </c>
      <c r="C174" t="n">
        <v>20251227</v>
      </c>
      <c r="D174" s="4" t="inlineStr">
        <is>
          <t>C087</t>
        </is>
      </c>
      <c r="E174" s="4" t="inlineStr">
        <is>
          <t>P025</t>
        </is>
      </c>
      <c r="F174" t="inlineStr">
        <is>
          <t>XL</t>
        </is>
      </c>
      <c r="G174" s="4" t="inlineStr">
        <is>
          <t>CH01</t>
        </is>
      </c>
      <c r="H174" s="4" t="inlineStr">
        <is>
          <t>PR00</t>
        </is>
      </c>
      <c r="I174" s="8" t="n">
        <v>93</v>
      </c>
      <c r="J174" s="9" t="n">
        <v>0</v>
      </c>
      <c r="K174" s="10">
        <f>I174*(1-J174)</f>
        <v/>
      </c>
      <c r="L174" s="11" t="n">
        <v>1</v>
      </c>
      <c r="M174" s="10">
        <f>K174*L174</f>
        <v/>
      </c>
      <c r="N174" s="8" t="n">
        <v>45.68</v>
      </c>
      <c r="O174" s="10">
        <f>N174*L174</f>
        <v/>
      </c>
      <c r="P174" s="10">
        <f>M174-O174</f>
        <v/>
      </c>
      <c r="Q174" s="11" t="inlineStr">
        <is>
          <t>No</t>
        </is>
      </c>
      <c r="R174" s="11" t="n">
        <v>0</v>
      </c>
      <c r="S174" s="10">
        <f>M174-(R174*K174)</f>
        <v/>
      </c>
      <c r="T174" s="12">
        <f>VLOOKUP(E174,Dim_Product!$A$2:$Q$61,3,FALSE)</f>
        <v/>
      </c>
      <c r="U174" s="12">
        <f>VLOOKUP(E174,Dim_Product!$A$2:$Q$61,4,FALSE)</f>
        <v/>
      </c>
      <c r="V174" s="12">
        <f>VLOOKUP(D174,Dim_Customer!$A$2:$I$121,6,FALSE)</f>
        <v/>
      </c>
      <c r="W174" s="12">
        <f>VLOOKUP(G174,Dim_Channel!$A$2:$B$5,2,FALSE)</f>
        <v/>
      </c>
      <c r="X174" s="12">
        <f>VLOOKUP(H174,Dim_Promotion!$A$2:$G$11,2,FALSE)</f>
        <v/>
      </c>
    </row>
    <row r="175">
      <c r="A175" s="4" t="inlineStr">
        <is>
          <t>SL0174</t>
        </is>
      </c>
      <c r="B175" t="inlineStr">
        <is>
          <t>O010087</t>
        </is>
      </c>
      <c r="C175" t="n">
        <v>20251130</v>
      </c>
      <c r="D175" s="4" t="inlineStr">
        <is>
          <t>C023</t>
        </is>
      </c>
      <c r="E175" s="4" t="inlineStr">
        <is>
          <t>P041</t>
        </is>
      </c>
      <c r="F175" t="inlineStr">
        <is>
          <t>L</t>
        </is>
      </c>
      <c r="G175" s="4" t="inlineStr">
        <is>
          <t>CH01</t>
        </is>
      </c>
      <c r="H175" s="4" t="inlineStr">
        <is>
          <t>PR08</t>
        </is>
      </c>
      <c r="I175" s="8" t="n">
        <v>80</v>
      </c>
      <c r="J175" s="9" t="n">
        <v>0.25</v>
      </c>
      <c r="K175" s="10">
        <f>I175*(1-J175)</f>
        <v/>
      </c>
      <c r="L175" s="11" t="n">
        <v>2</v>
      </c>
      <c r="M175" s="10">
        <f>K175*L175</f>
        <v/>
      </c>
      <c r="N175" s="8" t="n">
        <v>38.39</v>
      </c>
      <c r="O175" s="10">
        <f>N175*L175</f>
        <v/>
      </c>
      <c r="P175" s="10">
        <f>M175-O175</f>
        <v/>
      </c>
      <c r="Q175" s="11" t="inlineStr">
        <is>
          <t>No</t>
        </is>
      </c>
      <c r="R175" s="11" t="n">
        <v>0</v>
      </c>
      <c r="S175" s="10">
        <f>M175-(R175*K175)</f>
        <v/>
      </c>
      <c r="T175" s="12">
        <f>VLOOKUP(E175,Dim_Product!$A$2:$Q$61,3,FALSE)</f>
        <v/>
      </c>
      <c r="U175" s="12">
        <f>VLOOKUP(E175,Dim_Product!$A$2:$Q$61,4,FALSE)</f>
        <v/>
      </c>
      <c r="V175" s="12">
        <f>VLOOKUP(D175,Dim_Customer!$A$2:$I$121,6,FALSE)</f>
        <v/>
      </c>
      <c r="W175" s="12">
        <f>VLOOKUP(G175,Dim_Channel!$A$2:$B$5,2,FALSE)</f>
        <v/>
      </c>
      <c r="X175" s="12">
        <f>VLOOKUP(H175,Dim_Promotion!$A$2:$G$11,2,FALSE)</f>
        <v/>
      </c>
    </row>
    <row r="176">
      <c r="A176" s="4" t="inlineStr">
        <is>
          <t>SL0175</t>
        </is>
      </c>
      <c r="B176" t="inlineStr">
        <is>
          <t>O010088</t>
        </is>
      </c>
      <c r="C176" t="n">
        <v>20251230</v>
      </c>
      <c r="D176" s="4" t="inlineStr">
        <is>
          <t>C089</t>
        </is>
      </c>
      <c r="E176" s="4" t="inlineStr">
        <is>
          <t>P045</t>
        </is>
      </c>
      <c r="F176" t="inlineStr">
        <is>
          <t>XL</t>
        </is>
      </c>
      <c r="G176" s="4" t="inlineStr">
        <is>
          <t>CH04</t>
        </is>
      </c>
      <c r="H176" s="4" t="inlineStr">
        <is>
          <t>PR00</t>
        </is>
      </c>
      <c r="I176" s="8" t="n">
        <v>67</v>
      </c>
      <c r="J176" s="9" t="n">
        <v>0</v>
      </c>
      <c r="K176" s="10">
        <f>I176*(1-J176)</f>
        <v/>
      </c>
      <c r="L176" s="11" t="n">
        <v>1</v>
      </c>
      <c r="M176" s="10">
        <f>K176*L176</f>
        <v/>
      </c>
      <c r="N176" s="8" t="n">
        <v>34.1</v>
      </c>
      <c r="O176" s="10">
        <f>N176*L176</f>
        <v/>
      </c>
      <c r="P176" s="10">
        <f>M176-O176</f>
        <v/>
      </c>
      <c r="Q176" s="11" t="inlineStr">
        <is>
          <t>No</t>
        </is>
      </c>
      <c r="R176" s="11" t="n">
        <v>0</v>
      </c>
      <c r="S176" s="10">
        <f>M176-(R176*K176)</f>
        <v/>
      </c>
      <c r="T176" s="12">
        <f>VLOOKUP(E176,Dim_Product!$A$2:$Q$61,3,FALSE)</f>
        <v/>
      </c>
      <c r="U176" s="12">
        <f>VLOOKUP(E176,Dim_Product!$A$2:$Q$61,4,FALSE)</f>
        <v/>
      </c>
      <c r="V176" s="12">
        <f>VLOOKUP(D176,Dim_Customer!$A$2:$I$121,6,FALSE)</f>
        <v/>
      </c>
      <c r="W176" s="12">
        <f>VLOOKUP(G176,Dim_Channel!$A$2:$B$5,2,FALSE)</f>
        <v/>
      </c>
      <c r="X176" s="12">
        <f>VLOOKUP(H176,Dim_Promotion!$A$2:$G$11,2,FALSE)</f>
        <v/>
      </c>
    </row>
    <row r="177">
      <c r="A177" s="4" t="inlineStr">
        <is>
          <t>SL0176</t>
        </is>
      </c>
      <c r="B177" t="inlineStr">
        <is>
          <t>O010088</t>
        </is>
      </c>
      <c r="C177" t="n">
        <v>20251118</v>
      </c>
      <c r="D177" s="4" t="inlineStr">
        <is>
          <t>C111</t>
        </is>
      </c>
      <c r="E177" s="4" t="inlineStr">
        <is>
          <t>P018</t>
        </is>
      </c>
      <c r="F177" t="inlineStr">
        <is>
          <t>M</t>
        </is>
      </c>
      <c r="G177" s="4" t="inlineStr">
        <is>
          <t>CH02</t>
        </is>
      </c>
      <c r="H177" s="4" t="inlineStr">
        <is>
          <t>PR00</t>
        </is>
      </c>
      <c r="I177" s="8" t="n">
        <v>64</v>
      </c>
      <c r="J177" s="9" t="n">
        <v>0</v>
      </c>
      <c r="K177" s="10">
        <f>I177*(1-J177)</f>
        <v/>
      </c>
      <c r="L177" s="11" t="n">
        <v>1</v>
      </c>
      <c r="M177" s="10">
        <f>K177*L177</f>
        <v/>
      </c>
      <c r="N177" s="8" t="n">
        <v>32.09</v>
      </c>
      <c r="O177" s="10">
        <f>N177*L177</f>
        <v/>
      </c>
      <c r="P177" s="10">
        <f>M177-O177</f>
        <v/>
      </c>
      <c r="Q177" s="11" t="inlineStr">
        <is>
          <t>No</t>
        </is>
      </c>
      <c r="R177" s="11" t="n">
        <v>0</v>
      </c>
      <c r="S177" s="10">
        <f>M177-(R177*K177)</f>
        <v/>
      </c>
      <c r="T177" s="12">
        <f>VLOOKUP(E177,Dim_Product!$A$2:$Q$61,3,FALSE)</f>
        <v/>
      </c>
      <c r="U177" s="12">
        <f>VLOOKUP(E177,Dim_Product!$A$2:$Q$61,4,FALSE)</f>
        <v/>
      </c>
      <c r="V177" s="12">
        <f>VLOOKUP(D177,Dim_Customer!$A$2:$I$121,6,FALSE)</f>
        <v/>
      </c>
      <c r="W177" s="12">
        <f>VLOOKUP(G177,Dim_Channel!$A$2:$B$5,2,FALSE)</f>
        <v/>
      </c>
      <c r="X177" s="12">
        <f>VLOOKUP(H177,Dim_Promotion!$A$2:$G$11,2,FALSE)</f>
        <v/>
      </c>
    </row>
    <row r="178">
      <c r="A178" s="4" t="inlineStr">
        <is>
          <t>SL0177</t>
        </is>
      </c>
      <c r="B178" t="inlineStr">
        <is>
          <t>O010089</t>
        </is>
      </c>
      <c r="C178" t="n">
        <v>20251006</v>
      </c>
      <c r="D178" s="4" t="inlineStr">
        <is>
          <t>C065</t>
        </is>
      </c>
      <c r="E178" s="4" t="inlineStr">
        <is>
          <t>P031</t>
        </is>
      </c>
      <c r="F178" t="inlineStr">
        <is>
          <t>M</t>
        </is>
      </c>
      <c r="G178" s="4" t="inlineStr">
        <is>
          <t>CH03</t>
        </is>
      </c>
      <c r="H178" s="4" t="inlineStr">
        <is>
          <t>PR07</t>
        </is>
      </c>
      <c r="I178" s="8" t="n">
        <v>114</v>
      </c>
      <c r="J178" s="9" t="n">
        <v>0.12</v>
      </c>
      <c r="K178" s="10">
        <f>I178*(1-J178)</f>
        <v/>
      </c>
      <c r="L178" s="11" t="n">
        <v>1</v>
      </c>
      <c r="M178" s="10">
        <f>K178*L178</f>
        <v/>
      </c>
      <c r="N178" s="8" t="n">
        <v>55.28</v>
      </c>
      <c r="O178" s="10">
        <f>N178*L178</f>
        <v/>
      </c>
      <c r="P178" s="10">
        <f>M178-O178</f>
        <v/>
      </c>
      <c r="Q178" s="11" t="inlineStr">
        <is>
          <t>No</t>
        </is>
      </c>
      <c r="R178" s="11" t="n">
        <v>0</v>
      </c>
      <c r="S178" s="10">
        <f>M178-(R178*K178)</f>
        <v/>
      </c>
      <c r="T178" s="12">
        <f>VLOOKUP(E178,Dim_Product!$A$2:$Q$61,3,FALSE)</f>
        <v/>
      </c>
      <c r="U178" s="12">
        <f>VLOOKUP(E178,Dim_Product!$A$2:$Q$61,4,FALSE)</f>
        <v/>
      </c>
      <c r="V178" s="12">
        <f>VLOOKUP(D178,Dim_Customer!$A$2:$I$121,6,FALSE)</f>
        <v/>
      </c>
      <c r="W178" s="12">
        <f>VLOOKUP(G178,Dim_Channel!$A$2:$B$5,2,FALSE)</f>
        <v/>
      </c>
      <c r="X178" s="12">
        <f>VLOOKUP(H178,Dim_Promotion!$A$2:$G$11,2,FALSE)</f>
        <v/>
      </c>
    </row>
    <row r="179">
      <c r="A179" s="4" t="inlineStr">
        <is>
          <t>SL0178</t>
        </is>
      </c>
      <c r="B179" t="inlineStr">
        <is>
          <t>O010089</t>
        </is>
      </c>
      <c r="C179" t="n">
        <v>20251110</v>
      </c>
      <c r="D179" s="4" t="inlineStr">
        <is>
          <t>C113</t>
        </is>
      </c>
      <c r="E179" s="4" t="inlineStr">
        <is>
          <t>P050</t>
        </is>
      </c>
      <c r="F179" t="inlineStr">
        <is>
          <t>L</t>
        </is>
      </c>
      <c r="G179" s="4" t="inlineStr">
        <is>
          <t>CH01</t>
        </is>
      </c>
      <c r="H179" s="4" t="inlineStr">
        <is>
          <t>PR00</t>
        </is>
      </c>
      <c r="I179" s="8" t="n">
        <v>66</v>
      </c>
      <c r="J179" s="9" t="n">
        <v>0</v>
      </c>
      <c r="K179" s="10">
        <f>I179*(1-J179)</f>
        <v/>
      </c>
      <c r="L179" s="11" t="n">
        <v>1</v>
      </c>
      <c r="M179" s="10">
        <f>K179*L179</f>
        <v/>
      </c>
      <c r="N179" s="8" t="n">
        <v>30.81</v>
      </c>
      <c r="O179" s="10">
        <f>N179*L179</f>
        <v/>
      </c>
      <c r="P179" s="10">
        <f>M179-O179</f>
        <v/>
      </c>
      <c r="Q179" s="11" t="inlineStr">
        <is>
          <t>No</t>
        </is>
      </c>
      <c r="R179" s="11" t="n">
        <v>0</v>
      </c>
      <c r="S179" s="10">
        <f>M179-(R179*K179)</f>
        <v/>
      </c>
      <c r="T179" s="12">
        <f>VLOOKUP(E179,Dim_Product!$A$2:$Q$61,3,FALSE)</f>
        <v/>
      </c>
      <c r="U179" s="12">
        <f>VLOOKUP(E179,Dim_Product!$A$2:$Q$61,4,FALSE)</f>
        <v/>
      </c>
      <c r="V179" s="12">
        <f>VLOOKUP(D179,Dim_Customer!$A$2:$I$121,6,FALSE)</f>
        <v/>
      </c>
      <c r="W179" s="12">
        <f>VLOOKUP(G179,Dim_Channel!$A$2:$B$5,2,FALSE)</f>
        <v/>
      </c>
      <c r="X179" s="12">
        <f>VLOOKUP(H179,Dim_Promotion!$A$2:$G$11,2,FALSE)</f>
        <v/>
      </c>
    </row>
    <row r="180">
      <c r="A180" s="4" t="inlineStr">
        <is>
          <t>SL0179</t>
        </is>
      </c>
      <c r="B180" t="inlineStr">
        <is>
          <t>O010090</t>
        </is>
      </c>
      <c r="C180" t="n">
        <v>20250905</v>
      </c>
      <c r="D180" s="4" t="inlineStr">
        <is>
          <t>C108</t>
        </is>
      </c>
      <c r="E180" s="4" t="inlineStr">
        <is>
          <t>P011</t>
        </is>
      </c>
      <c r="F180" t="inlineStr">
        <is>
          <t>M</t>
        </is>
      </c>
      <c r="G180" s="4" t="inlineStr">
        <is>
          <t>CH01</t>
        </is>
      </c>
      <c r="H180" s="4" t="inlineStr">
        <is>
          <t>PR00</t>
        </is>
      </c>
      <c r="I180" s="8" t="n">
        <v>48</v>
      </c>
      <c r="J180" s="9" t="n">
        <v>0</v>
      </c>
      <c r="K180" s="10">
        <f>I180*(1-J180)</f>
        <v/>
      </c>
      <c r="L180" s="11" t="n">
        <v>2</v>
      </c>
      <c r="M180" s="10">
        <f>K180*L180</f>
        <v/>
      </c>
      <c r="N180" s="8" t="n">
        <v>20.49</v>
      </c>
      <c r="O180" s="10">
        <f>N180*L180</f>
        <v/>
      </c>
      <c r="P180" s="10">
        <f>M180-O180</f>
        <v/>
      </c>
      <c r="Q180" s="11" t="inlineStr">
        <is>
          <t>No</t>
        </is>
      </c>
      <c r="R180" s="11" t="n">
        <v>0</v>
      </c>
      <c r="S180" s="10">
        <f>M180-(R180*K180)</f>
        <v/>
      </c>
      <c r="T180" s="12">
        <f>VLOOKUP(E180,Dim_Product!$A$2:$Q$61,3,FALSE)</f>
        <v/>
      </c>
      <c r="U180" s="12">
        <f>VLOOKUP(E180,Dim_Product!$A$2:$Q$61,4,FALSE)</f>
        <v/>
      </c>
      <c r="V180" s="12">
        <f>VLOOKUP(D180,Dim_Customer!$A$2:$I$121,6,FALSE)</f>
        <v/>
      </c>
      <c r="W180" s="12">
        <f>VLOOKUP(G180,Dim_Channel!$A$2:$B$5,2,FALSE)</f>
        <v/>
      </c>
      <c r="X180" s="12">
        <f>VLOOKUP(H180,Dim_Promotion!$A$2:$G$11,2,FALSE)</f>
        <v/>
      </c>
    </row>
    <row r="181">
      <c r="A181" s="4" t="inlineStr">
        <is>
          <t>SL0180</t>
        </is>
      </c>
      <c r="B181" t="inlineStr">
        <is>
          <t>O010090</t>
        </is>
      </c>
      <c r="C181" t="n">
        <v>20250426</v>
      </c>
      <c r="D181" s="4" t="inlineStr">
        <is>
          <t>C102</t>
        </is>
      </c>
      <c r="E181" s="4" t="inlineStr">
        <is>
          <t>P047</t>
        </is>
      </c>
      <c r="F181" t="inlineStr">
        <is>
          <t>M</t>
        </is>
      </c>
      <c r="G181" s="4" t="inlineStr">
        <is>
          <t>CH04</t>
        </is>
      </c>
      <c r="H181" s="4" t="inlineStr">
        <is>
          <t>PR00</t>
        </is>
      </c>
      <c r="I181" s="8" t="n">
        <v>72</v>
      </c>
      <c r="J181" s="9" t="n">
        <v>0</v>
      </c>
      <c r="K181" s="10">
        <f>I181*(1-J181)</f>
        <v/>
      </c>
      <c r="L181" s="11" t="n">
        <v>3</v>
      </c>
      <c r="M181" s="10">
        <f>K181*L181</f>
        <v/>
      </c>
      <c r="N181" s="8" t="n">
        <v>30.48</v>
      </c>
      <c r="O181" s="10">
        <f>N181*L181</f>
        <v/>
      </c>
      <c r="P181" s="10">
        <f>M181-O181</f>
        <v/>
      </c>
      <c r="Q181" s="11" t="inlineStr">
        <is>
          <t>No</t>
        </is>
      </c>
      <c r="R181" s="11" t="n">
        <v>0</v>
      </c>
      <c r="S181" s="10">
        <f>M181-(R181*K181)</f>
        <v/>
      </c>
      <c r="T181" s="12">
        <f>VLOOKUP(E181,Dim_Product!$A$2:$Q$61,3,FALSE)</f>
        <v/>
      </c>
      <c r="U181" s="12">
        <f>VLOOKUP(E181,Dim_Product!$A$2:$Q$61,4,FALSE)</f>
        <v/>
      </c>
      <c r="V181" s="12">
        <f>VLOOKUP(D181,Dim_Customer!$A$2:$I$121,6,FALSE)</f>
        <v/>
      </c>
      <c r="W181" s="12">
        <f>VLOOKUP(G181,Dim_Channel!$A$2:$B$5,2,FALSE)</f>
        <v/>
      </c>
      <c r="X181" s="12">
        <f>VLOOKUP(H181,Dim_Promotion!$A$2:$G$11,2,FALSE)</f>
        <v/>
      </c>
    </row>
    <row r="182">
      <c r="A182" s="4" t="inlineStr">
        <is>
          <t>SL0181</t>
        </is>
      </c>
      <c r="B182" t="inlineStr">
        <is>
          <t>O010091</t>
        </is>
      </c>
      <c r="C182" t="n">
        <v>20250428</v>
      </c>
      <c r="D182" s="4" t="inlineStr">
        <is>
          <t>C100</t>
        </is>
      </c>
      <c r="E182" s="4" t="inlineStr">
        <is>
          <t>P051</t>
        </is>
      </c>
      <c r="F182" t="inlineStr">
        <is>
          <t>M</t>
        </is>
      </c>
      <c r="G182" s="4" t="inlineStr">
        <is>
          <t>CH02</t>
        </is>
      </c>
      <c r="H182" s="4" t="inlineStr">
        <is>
          <t>PR00</t>
        </is>
      </c>
      <c r="I182" s="8" t="n">
        <v>70</v>
      </c>
      <c r="J182" s="9" t="n">
        <v>0</v>
      </c>
      <c r="K182" s="10">
        <f>I182*(1-J182)</f>
        <v/>
      </c>
      <c r="L182" s="11" t="n">
        <v>2</v>
      </c>
      <c r="M182" s="10">
        <f>K182*L182</f>
        <v/>
      </c>
      <c r="N182" s="8" t="n">
        <v>29.37</v>
      </c>
      <c r="O182" s="10">
        <f>N182*L182</f>
        <v/>
      </c>
      <c r="P182" s="10">
        <f>M182-O182</f>
        <v/>
      </c>
      <c r="Q182" s="11" t="inlineStr">
        <is>
          <t>No</t>
        </is>
      </c>
      <c r="R182" s="11" t="n">
        <v>0</v>
      </c>
      <c r="S182" s="10">
        <f>M182-(R182*K182)</f>
        <v/>
      </c>
      <c r="T182" s="12">
        <f>VLOOKUP(E182,Dim_Product!$A$2:$Q$61,3,FALSE)</f>
        <v/>
      </c>
      <c r="U182" s="12">
        <f>VLOOKUP(E182,Dim_Product!$A$2:$Q$61,4,FALSE)</f>
        <v/>
      </c>
      <c r="V182" s="12">
        <f>VLOOKUP(D182,Dim_Customer!$A$2:$I$121,6,FALSE)</f>
        <v/>
      </c>
      <c r="W182" s="12">
        <f>VLOOKUP(G182,Dim_Channel!$A$2:$B$5,2,FALSE)</f>
        <v/>
      </c>
      <c r="X182" s="12">
        <f>VLOOKUP(H182,Dim_Promotion!$A$2:$G$11,2,FALSE)</f>
        <v/>
      </c>
    </row>
    <row r="183">
      <c r="A183" s="4" t="inlineStr">
        <is>
          <t>SL0182</t>
        </is>
      </c>
      <c r="B183" t="inlineStr">
        <is>
          <t>O010091</t>
        </is>
      </c>
      <c r="C183" t="n">
        <v>20251007</v>
      </c>
      <c r="D183" s="4" t="inlineStr">
        <is>
          <t>C038</t>
        </is>
      </c>
      <c r="E183" s="4" t="inlineStr">
        <is>
          <t>P043</t>
        </is>
      </c>
      <c r="F183" t="inlineStr">
        <is>
          <t>XS</t>
        </is>
      </c>
      <c r="G183" s="4" t="inlineStr">
        <is>
          <t>CH02</t>
        </is>
      </c>
      <c r="H183" s="4" t="inlineStr">
        <is>
          <t>PR00</t>
        </is>
      </c>
      <c r="I183" s="8" t="n">
        <v>80</v>
      </c>
      <c r="J183" s="9" t="n">
        <v>0</v>
      </c>
      <c r="K183" s="10">
        <f>I183*(1-J183)</f>
        <v/>
      </c>
      <c r="L183" s="11" t="n">
        <v>1</v>
      </c>
      <c r="M183" s="10">
        <f>K183*L183</f>
        <v/>
      </c>
      <c r="N183" s="8" t="n">
        <v>37.82</v>
      </c>
      <c r="O183" s="10">
        <f>N183*L183</f>
        <v/>
      </c>
      <c r="P183" s="10">
        <f>M183-O183</f>
        <v/>
      </c>
      <c r="Q183" s="11" t="inlineStr">
        <is>
          <t>No</t>
        </is>
      </c>
      <c r="R183" s="11" t="n">
        <v>0</v>
      </c>
      <c r="S183" s="10">
        <f>M183-(R183*K183)</f>
        <v/>
      </c>
      <c r="T183" s="12">
        <f>VLOOKUP(E183,Dim_Product!$A$2:$Q$61,3,FALSE)</f>
        <v/>
      </c>
      <c r="U183" s="12">
        <f>VLOOKUP(E183,Dim_Product!$A$2:$Q$61,4,FALSE)</f>
        <v/>
      </c>
      <c r="V183" s="12">
        <f>VLOOKUP(D183,Dim_Customer!$A$2:$I$121,6,FALSE)</f>
        <v/>
      </c>
      <c r="W183" s="12">
        <f>VLOOKUP(G183,Dim_Channel!$A$2:$B$5,2,FALSE)</f>
        <v/>
      </c>
      <c r="X183" s="12">
        <f>VLOOKUP(H183,Dim_Promotion!$A$2:$G$11,2,FALSE)</f>
        <v/>
      </c>
    </row>
    <row r="184">
      <c r="A184" s="4" t="inlineStr">
        <is>
          <t>SL0183</t>
        </is>
      </c>
      <c r="B184" t="inlineStr">
        <is>
          <t>O010092</t>
        </is>
      </c>
      <c r="C184" t="n">
        <v>20251005</v>
      </c>
      <c r="D184" s="4" t="inlineStr">
        <is>
          <t>C006</t>
        </is>
      </c>
      <c r="E184" s="4" t="inlineStr">
        <is>
          <t>P009</t>
        </is>
      </c>
      <c r="F184" t="inlineStr">
        <is>
          <t>S</t>
        </is>
      </c>
      <c r="G184" s="4" t="inlineStr">
        <is>
          <t>CH04</t>
        </is>
      </c>
      <c r="H184" s="4" t="inlineStr">
        <is>
          <t>PR00</t>
        </is>
      </c>
      <c r="I184" s="8" t="n">
        <v>49</v>
      </c>
      <c r="J184" s="9" t="n">
        <v>0</v>
      </c>
      <c r="K184" s="10">
        <f>I184*(1-J184)</f>
        <v/>
      </c>
      <c r="L184" s="11" t="n">
        <v>2</v>
      </c>
      <c r="M184" s="10">
        <f>K184*L184</f>
        <v/>
      </c>
      <c r="N184" s="8" t="n">
        <v>19.25</v>
      </c>
      <c r="O184" s="10">
        <f>N184*L184</f>
        <v/>
      </c>
      <c r="P184" s="10">
        <f>M184-O184</f>
        <v/>
      </c>
      <c r="Q184" s="11" t="inlineStr">
        <is>
          <t>Yes</t>
        </is>
      </c>
      <c r="R184" s="11" t="n">
        <v>2</v>
      </c>
      <c r="S184" s="10">
        <f>M184-(R184*K184)</f>
        <v/>
      </c>
      <c r="T184" s="12">
        <f>VLOOKUP(E184,Dim_Product!$A$2:$Q$61,3,FALSE)</f>
        <v/>
      </c>
      <c r="U184" s="12">
        <f>VLOOKUP(E184,Dim_Product!$A$2:$Q$61,4,FALSE)</f>
        <v/>
      </c>
      <c r="V184" s="12">
        <f>VLOOKUP(D184,Dim_Customer!$A$2:$I$121,6,FALSE)</f>
        <v/>
      </c>
      <c r="W184" s="12">
        <f>VLOOKUP(G184,Dim_Channel!$A$2:$B$5,2,FALSE)</f>
        <v/>
      </c>
      <c r="X184" s="12">
        <f>VLOOKUP(H184,Dim_Promotion!$A$2:$G$11,2,FALSE)</f>
        <v/>
      </c>
    </row>
    <row r="185">
      <c r="A185" s="4" t="inlineStr">
        <is>
          <t>SL0184</t>
        </is>
      </c>
      <c r="B185" t="inlineStr">
        <is>
          <t>O010092</t>
        </is>
      </c>
      <c r="C185" t="n">
        <v>20250706</v>
      </c>
      <c r="D185" s="4" t="inlineStr">
        <is>
          <t>C067</t>
        </is>
      </c>
      <c r="E185" s="4" t="inlineStr">
        <is>
          <t>P004</t>
        </is>
      </c>
      <c r="F185" t="inlineStr">
        <is>
          <t>M</t>
        </is>
      </c>
      <c r="G185" s="4" t="inlineStr">
        <is>
          <t>CH02</t>
        </is>
      </c>
      <c r="H185" s="4" t="inlineStr">
        <is>
          <t>PR00</t>
        </is>
      </c>
      <c r="I185" s="8" t="n">
        <v>42</v>
      </c>
      <c r="J185" s="9" t="n">
        <v>0</v>
      </c>
      <c r="K185" s="10">
        <f>I185*(1-J185)</f>
        <v/>
      </c>
      <c r="L185" s="11" t="n">
        <v>2</v>
      </c>
      <c r="M185" s="10">
        <f>K185*L185</f>
        <v/>
      </c>
      <c r="N185" s="8" t="n">
        <v>19.38</v>
      </c>
      <c r="O185" s="10">
        <f>N185*L185</f>
        <v/>
      </c>
      <c r="P185" s="10">
        <f>M185-O185</f>
        <v/>
      </c>
      <c r="Q185" s="11" t="inlineStr">
        <is>
          <t>No</t>
        </is>
      </c>
      <c r="R185" s="11" t="n">
        <v>0</v>
      </c>
      <c r="S185" s="10">
        <f>M185-(R185*K185)</f>
        <v/>
      </c>
      <c r="T185" s="12">
        <f>VLOOKUP(E185,Dim_Product!$A$2:$Q$61,3,FALSE)</f>
        <v/>
      </c>
      <c r="U185" s="12">
        <f>VLOOKUP(E185,Dim_Product!$A$2:$Q$61,4,FALSE)</f>
        <v/>
      </c>
      <c r="V185" s="12">
        <f>VLOOKUP(D185,Dim_Customer!$A$2:$I$121,6,FALSE)</f>
        <v/>
      </c>
      <c r="W185" s="12">
        <f>VLOOKUP(G185,Dim_Channel!$A$2:$B$5,2,FALSE)</f>
        <v/>
      </c>
      <c r="X185" s="12">
        <f>VLOOKUP(H185,Dim_Promotion!$A$2:$G$11,2,FALSE)</f>
        <v/>
      </c>
    </row>
    <row r="186">
      <c r="A186" s="4" t="inlineStr">
        <is>
          <t>SL0185</t>
        </is>
      </c>
      <c r="B186" t="inlineStr">
        <is>
          <t>O010093</t>
        </is>
      </c>
      <c r="C186" t="n">
        <v>20250525</v>
      </c>
      <c r="D186" s="4" t="inlineStr">
        <is>
          <t>C080</t>
        </is>
      </c>
      <c r="E186" s="4" t="inlineStr">
        <is>
          <t>P001</t>
        </is>
      </c>
      <c r="F186" t="inlineStr">
        <is>
          <t>M</t>
        </is>
      </c>
      <c r="G186" s="4" t="inlineStr">
        <is>
          <t>CH04</t>
        </is>
      </c>
      <c r="H186" s="4" t="inlineStr">
        <is>
          <t>PR00</t>
        </is>
      </c>
      <c r="I186" s="8" t="n">
        <v>38</v>
      </c>
      <c r="J186" s="9" t="n">
        <v>0</v>
      </c>
      <c r="K186" s="10">
        <f>I186*(1-J186)</f>
        <v/>
      </c>
      <c r="L186" s="11" t="n">
        <v>1</v>
      </c>
      <c r="M186" s="10">
        <f>K186*L186</f>
        <v/>
      </c>
      <c r="N186" s="8" t="n">
        <v>16.99</v>
      </c>
      <c r="O186" s="10">
        <f>N186*L186</f>
        <v/>
      </c>
      <c r="P186" s="10">
        <f>M186-O186</f>
        <v/>
      </c>
      <c r="Q186" s="11" t="inlineStr">
        <is>
          <t>No</t>
        </is>
      </c>
      <c r="R186" s="11" t="n">
        <v>0</v>
      </c>
      <c r="S186" s="10">
        <f>M186-(R186*K186)</f>
        <v/>
      </c>
      <c r="T186" s="12">
        <f>VLOOKUP(E186,Dim_Product!$A$2:$Q$61,3,FALSE)</f>
        <v/>
      </c>
      <c r="U186" s="12">
        <f>VLOOKUP(E186,Dim_Product!$A$2:$Q$61,4,FALSE)</f>
        <v/>
      </c>
      <c r="V186" s="12">
        <f>VLOOKUP(D186,Dim_Customer!$A$2:$I$121,6,FALSE)</f>
        <v/>
      </c>
      <c r="W186" s="12">
        <f>VLOOKUP(G186,Dim_Channel!$A$2:$B$5,2,FALSE)</f>
        <v/>
      </c>
      <c r="X186" s="12">
        <f>VLOOKUP(H186,Dim_Promotion!$A$2:$G$11,2,FALSE)</f>
        <v/>
      </c>
    </row>
    <row r="187">
      <c r="A187" s="4" t="inlineStr">
        <is>
          <t>SL0186</t>
        </is>
      </c>
      <c r="B187" t="inlineStr">
        <is>
          <t>O010093</t>
        </is>
      </c>
      <c r="C187" t="n">
        <v>20251213</v>
      </c>
      <c r="D187" s="4" t="inlineStr">
        <is>
          <t>C033</t>
        </is>
      </c>
      <c r="E187" s="4" t="inlineStr">
        <is>
          <t>P031</t>
        </is>
      </c>
      <c r="F187" t="inlineStr">
        <is>
          <t>L</t>
        </is>
      </c>
      <c r="G187" s="4" t="inlineStr">
        <is>
          <t>CH03</t>
        </is>
      </c>
      <c r="H187" s="4" t="inlineStr">
        <is>
          <t>PR00</t>
        </is>
      </c>
      <c r="I187" s="8" t="n">
        <v>114</v>
      </c>
      <c r="J187" s="9" t="n">
        <v>0</v>
      </c>
      <c r="K187" s="10">
        <f>I187*(1-J187)</f>
        <v/>
      </c>
      <c r="L187" s="11" t="n">
        <v>2</v>
      </c>
      <c r="M187" s="10">
        <f>K187*L187</f>
        <v/>
      </c>
      <c r="N187" s="8" t="n">
        <v>56.86</v>
      </c>
      <c r="O187" s="10">
        <f>N187*L187</f>
        <v/>
      </c>
      <c r="P187" s="10">
        <f>M187-O187</f>
        <v/>
      </c>
      <c r="Q187" s="11" t="inlineStr">
        <is>
          <t>No</t>
        </is>
      </c>
      <c r="R187" s="11" t="n">
        <v>0</v>
      </c>
      <c r="S187" s="10">
        <f>M187-(R187*K187)</f>
        <v/>
      </c>
      <c r="T187" s="12">
        <f>VLOOKUP(E187,Dim_Product!$A$2:$Q$61,3,FALSE)</f>
        <v/>
      </c>
      <c r="U187" s="12">
        <f>VLOOKUP(E187,Dim_Product!$A$2:$Q$61,4,FALSE)</f>
        <v/>
      </c>
      <c r="V187" s="12">
        <f>VLOOKUP(D187,Dim_Customer!$A$2:$I$121,6,FALSE)</f>
        <v/>
      </c>
      <c r="W187" s="12">
        <f>VLOOKUP(G187,Dim_Channel!$A$2:$B$5,2,FALSE)</f>
        <v/>
      </c>
      <c r="X187" s="12">
        <f>VLOOKUP(H187,Dim_Promotion!$A$2:$G$11,2,FALSE)</f>
        <v/>
      </c>
    </row>
    <row r="188">
      <c r="A188" s="4" t="inlineStr">
        <is>
          <t>SL0187</t>
        </is>
      </c>
      <c r="B188" t="inlineStr">
        <is>
          <t>O010094</t>
        </is>
      </c>
      <c r="C188" t="n">
        <v>20250704</v>
      </c>
      <c r="D188" s="4" t="inlineStr">
        <is>
          <t>C022</t>
        </is>
      </c>
      <c r="E188" s="4" t="inlineStr">
        <is>
          <t>P012</t>
        </is>
      </c>
      <c r="F188" t="inlineStr">
        <is>
          <t>M</t>
        </is>
      </c>
      <c r="G188" s="4" t="inlineStr">
        <is>
          <t>CH03</t>
        </is>
      </c>
      <c r="H188" s="4" t="inlineStr">
        <is>
          <t>PR05</t>
        </is>
      </c>
      <c r="I188" s="8" t="n">
        <v>44</v>
      </c>
      <c r="J188" s="9" t="n">
        <v>0.2</v>
      </c>
      <c r="K188" s="10">
        <f>I188*(1-J188)</f>
        <v/>
      </c>
      <c r="L188" s="11" t="n">
        <v>1</v>
      </c>
      <c r="M188" s="10">
        <f>K188*L188</f>
        <v/>
      </c>
      <c r="N188" s="8" t="n">
        <v>22.49</v>
      </c>
      <c r="O188" s="10">
        <f>N188*L188</f>
        <v/>
      </c>
      <c r="P188" s="10">
        <f>M188-O188</f>
        <v/>
      </c>
      <c r="Q188" s="11" t="inlineStr">
        <is>
          <t>No</t>
        </is>
      </c>
      <c r="R188" s="11" t="n">
        <v>0</v>
      </c>
      <c r="S188" s="10">
        <f>M188-(R188*K188)</f>
        <v/>
      </c>
      <c r="T188" s="12">
        <f>VLOOKUP(E188,Dim_Product!$A$2:$Q$61,3,FALSE)</f>
        <v/>
      </c>
      <c r="U188" s="12">
        <f>VLOOKUP(E188,Dim_Product!$A$2:$Q$61,4,FALSE)</f>
        <v/>
      </c>
      <c r="V188" s="12">
        <f>VLOOKUP(D188,Dim_Customer!$A$2:$I$121,6,FALSE)</f>
        <v/>
      </c>
      <c r="W188" s="12">
        <f>VLOOKUP(G188,Dim_Channel!$A$2:$B$5,2,FALSE)</f>
        <v/>
      </c>
      <c r="X188" s="12">
        <f>VLOOKUP(H188,Dim_Promotion!$A$2:$G$11,2,FALSE)</f>
        <v/>
      </c>
    </row>
    <row r="189">
      <c r="A189" s="4" t="inlineStr">
        <is>
          <t>SL0188</t>
        </is>
      </c>
      <c r="B189" t="inlineStr">
        <is>
          <t>O010094</t>
        </is>
      </c>
      <c r="C189" t="n">
        <v>20251021</v>
      </c>
      <c r="D189" s="4" t="inlineStr">
        <is>
          <t>C105</t>
        </is>
      </c>
      <c r="E189" s="4" t="inlineStr">
        <is>
          <t>P056</t>
        </is>
      </c>
      <c r="F189" t="inlineStr">
        <is>
          <t>S</t>
        </is>
      </c>
      <c r="G189" s="4" t="inlineStr">
        <is>
          <t>CH01</t>
        </is>
      </c>
      <c r="H189" s="4" t="inlineStr">
        <is>
          <t>PR00</t>
        </is>
      </c>
      <c r="I189" s="8" t="n">
        <v>68</v>
      </c>
      <c r="J189" s="9" t="n">
        <v>0.05</v>
      </c>
      <c r="K189" s="10">
        <f>I189*(1-J189)</f>
        <v/>
      </c>
      <c r="L189" s="11" t="n">
        <v>2</v>
      </c>
      <c r="M189" s="10">
        <f>K189*L189</f>
        <v/>
      </c>
      <c r="N189" s="8" t="n">
        <v>33.45</v>
      </c>
      <c r="O189" s="10">
        <f>N189*L189</f>
        <v/>
      </c>
      <c r="P189" s="10">
        <f>M189-O189</f>
        <v/>
      </c>
      <c r="Q189" s="11" t="inlineStr">
        <is>
          <t>No</t>
        </is>
      </c>
      <c r="R189" s="11" t="n">
        <v>0</v>
      </c>
      <c r="S189" s="10">
        <f>M189-(R189*K189)</f>
        <v/>
      </c>
      <c r="T189" s="12">
        <f>VLOOKUP(E189,Dim_Product!$A$2:$Q$61,3,FALSE)</f>
        <v/>
      </c>
      <c r="U189" s="12">
        <f>VLOOKUP(E189,Dim_Product!$A$2:$Q$61,4,FALSE)</f>
        <v/>
      </c>
      <c r="V189" s="12">
        <f>VLOOKUP(D189,Dim_Customer!$A$2:$I$121,6,FALSE)</f>
        <v/>
      </c>
      <c r="W189" s="12">
        <f>VLOOKUP(G189,Dim_Channel!$A$2:$B$5,2,FALSE)</f>
        <v/>
      </c>
      <c r="X189" s="12">
        <f>VLOOKUP(H189,Dim_Promotion!$A$2:$G$11,2,FALSE)</f>
        <v/>
      </c>
    </row>
    <row r="190">
      <c r="A190" s="4" t="inlineStr">
        <is>
          <t>SL0189</t>
        </is>
      </c>
      <c r="B190" t="inlineStr">
        <is>
          <t>O010095</t>
        </is>
      </c>
      <c r="C190" t="n">
        <v>20250409</v>
      </c>
      <c r="D190" s="4" t="inlineStr">
        <is>
          <t>C053</t>
        </is>
      </c>
      <c r="E190" s="4" t="inlineStr">
        <is>
          <t>P022</t>
        </is>
      </c>
      <c r="F190" t="inlineStr">
        <is>
          <t>M</t>
        </is>
      </c>
      <c r="G190" s="4" t="inlineStr">
        <is>
          <t>CH01</t>
        </is>
      </c>
      <c r="H190" s="4" t="inlineStr">
        <is>
          <t>PR00</t>
        </is>
      </c>
      <c r="I190" s="8" t="n">
        <v>62</v>
      </c>
      <c r="J190" s="9" t="n">
        <v>0</v>
      </c>
      <c r="K190" s="10">
        <f>I190*(1-J190)</f>
        <v/>
      </c>
      <c r="L190" s="11" t="n">
        <v>1</v>
      </c>
      <c r="M190" s="10">
        <f>K190*L190</f>
        <v/>
      </c>
      <c r="N190" s="8" t="n">
        <v>26.64</v>
      </c>
      <c r="O190" s="10">
        <f>N190*L190</f>
        <v/>
      </c>
      <c r="P190" s="10">
        <f>M190-O190</f>
        <v/>
      </c>
      <c r="Q190" s="11" t="inlineStr">
        <is>
          <t>Yes</t>
        </is>
      </c>
      <c r="R190" s="11" t="n">
        <v>1</v>
      </c>
      <c r="S190" s="10">
        <f>M190-(R190*K190)</f>
        <v/>
      </c>
      <c r="T190" s="12">
        <f>VLOOKUP(E190,Dim_Product!$A$2:$Q$61,3,FALSE)</f>
        <v/>
      </c>
      <c r="U190" s="12">
        <f>VLOOKUP(E190,Dim_Product!$A$2:$Q$61,4,FALSE)</f>
        <v/>
      </c>
      <c r="V190" s="12">
        <f>VLOOKUP(D190,Dim_Customer!$A$2:$I$121,6,FALSE)</f>
        <v/>
      </c>
      <c r="W190" s="12">
        <f>VLOOKUP(G190,Dim_Channel!$A$2:$B$5,2,FALSE)</f>
        <v/>
      </c>
      <c r="X190" s="12">
        <f>VLOOKUP(H190,Dim_Promotion!$A$2:$G$11,2,FALSE)</f>
        <v/>
      </c>
    </row>
    <row r="191">
      <c r="A191" s="4" t="inlineStr">
        <is>
          <t>SL0190</t>
        </is>
      </c>
      <c r="B191" t="inlineStr">
        <is>
          <t>O010095</t>
        </is>
      </c>
      <c r="C191" t="n">
        <v>20250617</v>
      </c>
      <c r="D191" s="4" t="inlineStr">
        <is>
          <t>C014</t>
        </is>
      </c>
      <c r="E191" s="4" t="inlineStr">
        <is>
          <t>P016</t>
        </is>
      </c>
      <c r="F191" t="inlineStr">
        <is>
          <t>L</t>
        </is>
      </c>
      <c r="G191" s="4" t="inlineStr">
        <is>
          <t>CH02</t>
        </is>
      </c>
      <c r="H191" s="4" t="inlineStr">
        <is>
          <t>PR00</t>
        </is>
      </c>
      <c r="I191" s="8" t="n">
        <v>59</v>
      </c>
      <c r="J191" s="9" t="n">
        <v>0</v>
      </c>
      <c r="K191" s="10">
        <f>I191*(1-J191)</f>
        <v/>
      </c>
      <c r="L191" s="11" t="n">
        <v>1</v>
      </c>
      <c r="M191" s="10">
        <f>K191*L191</f>
        <v/>
      </c>
      <c r="N191" s="8" t="n">
        <v>27.53</v>
      </c>
      <c r="O191" s="10">
        <f>N191*L191</f>
        <v/>
      </c>
      <c r="P191" s="10">
        <f>M191-O191</f>
        <v/>
      </c>
      <c r="Q191" s="11" t="inlineStr">
        <is>
          <t>No</t>
        </is>
      </c>
      <c r="R191" s="11" t="n">
        <v>0</v>
      </c>
      <c r="S191" s="10">
        <f>M191-(R191*K191)</f>
        <v/>
      </c>
      <c r="T191" s="12">
        <f>VLOOKUP(E191,Dim_Product!$A$2:$Q$61,3,FALSE)</f>
        <v/>
      </c>
      <c r="U191" s="12">
        <f>VLOOKUP(E191,Dim_Product!$A$2:$Q$61,4,FALSE)</f>
        <v/>
      </c>
      <c r="V191" s="12">
        <f>VLOOKUP(D191,Dim_Customer!$A$2:$I$121,6,FALSE)</f>
        <v/>
      </c>
      <c r="W191" s="12">
        <f>VLOOKUP(G191,Dim_Channel!$A$2:$B$5,2,FALSE)</f>
        <v/>
      </c>
      <c r="X191" s="12">
        <f>VLOOKUP(H191,Dim_Promotion!$A$2:$G$11,2,FALSE)</f>
        <v/>
      </c>
    </row>
    <row r="192">
      <c r="A192" s="4" t="inlineStr">
        <is>
          <t>SL0191</t>
        </is>
      </c>
      <c r="B192" t="inlineStr">
        <is>
          <t>O010096</t>
        </is>
      </c>
      <c r="C192" t="n">
        <v>20250705</v>
      </c>
      <c r="D192" s="4" t="inlineStr">
        <is>
          <t>C096</t>
        </is>
      </c>
      <c r="E192" s="4" t="inlineStr">
        <is>
          <t>P008</t>
        </is>
      </c>
      <c r="F192" t="inlineStr">
        <is>
          <t>XL</t>
        </is>
      </c>
      <c r="G192" s="4" t="inlineStr">
        <is>
          <t>CH03</t>
        </is>
      </c>
      <c r="H192" s="4" t="inlineStr">
        <is>
          <t>PR04</t>
        </is>
      </c>
      <c r="I192" s="8" t="n">
        <v>52</v>
      </c>
      <c r="J192" s="9" t="n">
        <v>0.12</v>
      </c>
      <c r="K192" s="10">
        <f>I192*(1-J192)</f>
        <v/>
      </c>
      <c r="L192" s="11" t="n">
        <v>3</v>
      </c>
      <c r="M192" s="10">
        <f>K192*L192</f>
        <v/>
      </c>
      <c r="N192" s="8" t="n">
        <v>22.56</v>
      </c>
      <c r="O192" s="10">
        <f>N192*L192</f>
        <v/>
      </c>
      <c r="P192" s="10">
        <f>M192-O192</f>
        <v/>
      </c>
      <c r="Q192" s="11" t="inlineStr">
        <is>
          <t>No</t>
        </is>
      </c>
      <c r="R192" s="11" t="n">
        <v>0</v>
      </c>
      <c r="S192" s="10">
        <f>M192-(R192*K192)</f>
        <v/>
      </c>
      <c r="T192" s="12">
        <f>VLOOKUP(E192,Dim_Product!$A$2:$Q$61,3,FALSE)</f>
        <v/>
      </c>
      <c r="U192" s="12">
        <f>VLOOKUP(E192,Dim_Product!$A$2:$Q$61,4,FALSE)</f>
        <v/>
      </c>
      <c r="V192" s="12">
        <f>VLOOKUP(D192,Dim_Customer!$A$2:$I$121,6,FALSE)</f>
        <v/>
      </c>
      <c r="W192" s="12">
        <f>VLOOKUP(G192,Dim_Channel!$A$2:$B$5,2,FALSE)</f>
        <v/>
      </c>
      <c r="X192" s="12">
        <f>VLOOKUP(H192,Dim_Promotion!$A$2:$G$11,2,FALSE)</f>
        <v/>
      </c>
    </row>
    <row r="193">
      <c r="A193" s="4" t="inlineStr">
        <is>
          <t>SL0192</t>
        </is>
      </c>
      <c r="B193" t="inlineStr">
        <is>
          <t>O010096</t>
        </is>
      </c>
      <c r="C193" t="n">
        <v>20250302</v>
      </c>
      <c r="D193" s="4" t="inlineStr">
        <is>
          <t>C001</t>
        </is>
      </c>
      <c r="E193" s="4" t="inlineStr">
        <is>
          <t>P033</t>
        </is>
      </c>
      <c r="F193" t="inlineStr">
        <is>
          <t>L</t>
        </is>
      </c>
      <c r="G193" s="4" t="inlineStr">
        <is>
          <t>CH01</t>
        </is>
      </c>
      <c r="H193" s="4" t="inlineStr">
        <is>
          <t>PR00</t>
        </is>
      </c>
      <c r="I193" s="8" t="n">
        <v>86</v>
      </c>
      <c r="J193" s="9" t="n">
        <v>0</v>
      </c>
      <c r="K193" s="10">
        <f>I193*(1-J193)</f>
        <v/>
      </c>
      <c r="L193" s="11" t="n">
        <v>1</v>
      </c>
      <c r="M193" s="10">
        <f>K193*L193</f>
        <v/>
      </c>
      <c r="N193" s="8" t="n">
        <v>43.31</v>
      </c>
      <c r="O193" s="10">
        <f>N193*L193</f>
        <v/>
      </c>
      <c r="P193" s="10">
        <f>M193-O193</f>
        <v/>
      </c>
      <c r="Q193" s="11" t="inlineStr">
        <is>
          <t>No</t>
        </is>
      </c>
      <c r="R193" s="11" t="n">
        <v>0</v>
      </c>
      <c r="S193" s="10">
        <f>M193-(R193*K193)</f>
        <v/>
      </c>
      <c r="T193" s="12">
        <f>VLOOKUP(E193,Dim_Product!$A$2:$Q$61,3,FALSE)</f>
        <v/>
      </c>
      <c r="U193" s="12">
        <f>VLOOKUP(E193,Dim_Product!$A$2:$Q$61,4,FALSE)</f>
        <v/>
      </c>
      <c r="V193" s="12">
        <f>VLOOKUP(D193,Dim_Customer!$A$2:$I$121,6,FALSE)</f>
        <v/>
      </c>
      <c r="W193" s="12">
        <f>VLOOKUP(G193,Dim_Channel!$A$2:$B$5,2,FALSE)</f>
        <v/>
      </c>
      <c r="X193" s="12">
        <f>VLOOKUP(H193,Dim_Promotion!$A$2:$G$11,2,FALSE)</f>
        <v/>
      </c>
    </row>
    <row r="194">
      <c r="A194" s="4" t="inlineStr">
        <is>
          <t>SL0193</t>
        </is>
      </c>
      <c r="B194" t="inlineStr">
        <is>
          <t>O010097</t>
        </is>
      </c>
      <c r="C194" t="n">
        <v>20250320</v>
      </c>
      <c r="D194" s="4" t="inlineStr">
        <is>
          <t>C107</t>
        </is>
      </c>
      <c r="E194" s="4" t="inlineStr">
        <is>
          <t>P014</t>
        </is>
      </c>
      <c r="F194" t="inlineStr">
        <is>
          <t>L</t>
        </is>
      </c>
      <c r="G194" s="4" t="inlineStr">
        <is>
          <t>CH02</t>
        </is>
      </c>
      <c r="H194" s="4" t="inlineStr">
        <is>
          <t>PR00</t>
        </is>
      </c>
      <c r="I194" s="8" t="n">
        <v>62</v>
      </c>
      <c r="J194" s="9" t="n">
        <v>0</v>
      </c>
      <c r="K194" s="10">
        <f>I194*(1-J194)</f>
        <v/>
      </c>
      <c r="L194" s="11" t="n">
        <v>1</v>
      </c>
      <c r="M194" s="10">
        <f>K194*L194</f>
        <v/>
      </c>
      <c r="N194" s="8" t="n">
        <v>27.35</v>
      </c>
      <c r="O194" s="10">
        <f>N194*L194</f>
        <v/>
      </c>
      <c r="P194" s="10">
        <f>M194-O194</f>
        <v/>
      </c>
      <c r="Q194" s="11" t="inlineStr">
        <is>
          <t>No</t>
        </is>
      </c>
      <c r="R194" s="11" t="n">
        <v>0</v>
      </c>
      <c r="S194" s="10">
        <f>M194-(R194*K194)</f>
        <v/>
      </c>
      <c r="T194" s="12">
        <f>VLOOKUP(E194,Dim_Product!$A$2:$Q$61,3,FALSE)</f>
        <v/>
      </c>
      <c r="U194" s="12">
        <f>VLOOKUP(E194,Dim_Product!$A$2:$Q$61,4,FALSE)</f>
        <v/>
      </c>
      <c r="V194" s="12">
        <f>VLOOKUP(D194,Dim_Customer!$A$2:$I$121,6,FALSE)</f>
        <v/>
      </c>
      <c r="W194" s="12">
        <f>VLOOKUP(G194,Dim_Channel!$A$2:$B$5,2,FALSE)</f>
        <v/>
      </c>
      <c r="X194" s="12">
        <f>VLOOKUP(H194,Dim_Promotion!$A$2:$G$11,2,FALSE)</f>
        <v/>
      </c>
    </row>
    <row r="195">
      <c r="A195" s="4" t="inlineStr">
        <is>
          <t>SL0194</t>
        </is>
      </c>
      <c r="B195" t="inlineStr">
        <is>
          <t>O010097</t>
        </is>
      </c>
      <c r="C195" t="n">
        <v>20250204</v>
      </c>
      <c r="D195" s="4" t="inlineStr">
        <is>
          <t>C026</t>
        </is>
      </c>
      <c r="E195" s="4" t="inlineStr">
        <is>
          <t>P043</t>
        </is>
      </c>
      <c r="F195" t="inlineStr">
        <is>
          <t>S</t>
        </is>
      </c>
      <c r="G195" s="4" t="inlineStr">
        <is>
          <t>CH01</t>
        </is>
      </c>
      <c r="H195" s="4" t="inlineStr">
        <is>
          <t>PR02</t>
        </is>
      </c>
      <c r="I195" s="8" t="n">
        <v>78</v>
      </c>
      <c r="J195" s="9" t="n">
        <v>0.15</v>
      </c>
      <c r="K195" s="10">
        <f>I195*(1-J195)</f>
        <v/>
      </c>
      <c r="L195" s="11" t="n">
        <v>1</v>
      </c>
      <c r="M195" s="10">
        <f>K195*L195</f>
        <v/>
      </c>
      <c r="N195" s="8" t="n">
        <v>37.4</v>
      </c>
      <c r="O195" s="10">
        <f>N195*L195</f>
        <v/>
      </c>
      <c r="P195" s="10">
        <f>M195-O195</f>
        <v/>
      </c>
      <c r="Q195" s="11" t="inlineStr">
        <is>
          <t>No</t>
        </is>
      </c>
      <c r="R195" s="11" t="n">
        <v>0</v>
      </c>
      <c r="S195" s="10">
        <f>M195-(R195*K195)</f>
        <v/>
      </c>
      <c r="T195" s="12">
        <f>VLOOKUP(E195,Dim_Product!$A$2:$Q$61,3,FALSE)</f>
        <v/>
      </c>
      <c r="U195" s="12">
        <f>VLOOKUP(E195,Dim_Product!$A$2:$Q$61,4,FALSE)</f>
        <v/>
      </c>
      <c r="V195" s="12">
        <f>VLOOKUP(D195,Dim_Customer!$A$2:$I$121,6,FALSE)</f>
        <v/>
      </c>
      <c r="W195" s="12">
        <f>VLOOKUP(G195,Dim_Channel!$A$2:$B$5,2,FALSE)</f>
        <v/>
      </c>
      <c r="X195" s="12">
        <f>VLOOKUP(H195,Dim_Promotion!$A$2:$G$11,2,FALSE)</f>
        <v/>
      </c>
    </row>
    <row r="196">
      <c r="A196" s="4" t="inlineStr">
        <is>
          <t>SL0195</t>
        </is>
      </c>
      <c r="B196" t="inlineStr">
        <is>
          <t>O010098</t>
        </is>
      </c>
      <c r="C196" t="n">
        <v>20250711</v>
      </c>
      <c r="D196" s="4" t="inlineStr">
        <is>
          <t>C079</t>
        </is>
      </c>
      <c r="E196" s="4" t="inlineStr">
        <is>
          <t>P039</t>
        </is>
      </c>
      <c r="F196" t="inlineStr">
        <is>
          <t>S</t>
        </is>
      </c>
      <c r="G196" s="4" t="inlineStr">
        <is>
          <t>CH02</t>
        </is>
      </c>
      <c r="H196" s="4" t="inlineStr">
        <is>
          <t>PR00</t>
        </is>
      </c>
      <c r="I196" s="8" t="n">
        <v>75</v>
      </c>
      <c r="J196" s="9" t="n">
        <v>0</v>
      </c>
      <c r="K196" s="10">
        <f>I196*(1-J196)</f>
        <v/>
      </c>
      <c r="L196" s="11" t="n">
        <v>1</v>
      </c>
      <c r="M196" s="10">
        <f>K196*L196</f>
        <v/>
      </c>
      <c r="N196" s="8" t="n">
        <v>35.96</v>
      </c>
      <c r="O196" s="10">
        <f>N196*L196</f>
        <v/>
      </c>
      <c r="P196" s="10">
        <f>M196-O196</f>
        <v/>
      </c>
      <c r="Q196" s="11" t="inlineStr">
        <is>
          <t>No</t>
        </is>
      </c>
      <c r="R196" s="11" t="n">
        <v>0</v>
      </c>
      <c r="S196" s="10">
        <f>M196-(R196*K196)</f>
        <v/>
      </c>
      <c r="T196" s="12">
        <f>VLOOKUP(E196,Dim_Product!$A$2:$Q$61,3,FALSE)</f>
        <v/>
      </c>
      <c r="U196" s="12">
        <f>VLOOKUP(E196,Dim_Product!$A$2:$Q$61,4,FALSE)</f>
        <v/>
      </c>
      <c r="V196" s="12">
        <f>VLOOKUP(D196,Dim_Customer!$A$2:$I$121,6,FALSE)</f>
        <v/>
      </c>
      <c r="W196" s="12">
        <f>VLOOKUP(G196,Dim_Channel!$A$2:$B$5,2,FALSE)</f>
        <v/>
      </c>
      <c r="X196" s="12">
        <f>VLOOKUP(H196,Dim_Promotion!$A$2:$G$11,2,FALSE)</f>
        <v/>
      </c>
    </row>
    <row r="197">
      <c r="A197" s="4" t="inlineStr">
        <is>
          <t>SL0196</t>
        </is>
      </c>
      <c r="B197" t="inlineStr">
        <is>
          <t>O010098</t>
        </is>
      </c>
      <c r="C197" t="n">
        <v>20251021</v>
      </c>
      <c r="D197" s="4" t="inlineStr">
        <is>
          <t>C056</t>
        </is>
      </c>
      <c r="E197" s="4" t="inlineStr">
        <is>
          <t>P015</t>
        </is>
      </c>
      <c r="F197" t="inlineStr">
        <is>
          <t>L</t>
        </is>
      </c>
      <c r="G197" s="4" t="inlineStr">
        <is>
          <t>CH02</t>
        </is>
      </c>
      <c r="H197" s="4" t="inlineStr">
        <is>
          <t>PR00</t>
        </is>
      </c>
      <c r="I197" s="8" t="n">
        <v>57</v>
      </c>
      <c r="J197" s="9" t="n">
        <v>0</v>
      </c>
      <c r="K197" s="10">
        <f>I197*(1-J197)</f>
        <v/>
      </c>
      <c r="L197" s="11" t="n">
        <v>1</v>
      </c>
      <c r="M197" s="10">
        <f>K197*L197</f>
        <v/>
      </c>
      <c r="N197" s="8" t="n">
        <v>25.96</v>
      </c>
      <c r="O197" s="10">
        <f>N197*L197</f>
        <v/>
      </c>
      <c r="P197" s="10">
        <f>M197-O197</f>
        <v/>
      </c>
      <c r="Q197" s="11" t="inlineStr">
        <is>
          <t>No</t>
        </is>
      </c>
      <c r="R197" s="11" t="n">
        <v>0</v>
      </c>
      <c r="S197" s="10">
        <f>M197-(R197*K197)</f>
        <v/>
      </c>
      <c r="T197" s="12">
        <f>VLOOKUP(E197,Dim_Product!$A$2:$Q$61,3,FALSE)</f>
        <v/>
      </c>
      <c r="U197" s="12">
        <f>VLOOKUP(E197,Dim_Product!$A$2:$Q$61,4,FALSE)</f>
        <v/>
      </c>
      <c r="V197" s="12">
        <f>VLOOKUP(D197,Dim_Customer!$A$2:$I$121,6,FALSE)</f>
        <v/>
      </c>
      <c r="W197" s="12">
        <f>VLOOKUP(G197,Dim_Channel!$A$2:$B$5,2,FALSE)</f>
        <v/>
      </c>
      <c r="X197" s="12">
        <f>VLOOKUP(H197,Dim_Promotion!$A$2:$G$11,2,FALSE)</f>
        <v/>
      </c>
    </row>
    <row r="198">
      <c r="A198" s="4" t="inlineStr">
        <is>
          <t>SL0197</t>
        </is>
      </c>
      <c r="B198" t="inlineStr">
        <is>
          <t>O010099</t>
        </is>
      </c>
      <c r="C198" t="n">
        <v>20250320</v>
      </c>
      <c r="D198" s="4" t="inlineStr">
        <is>
          <t>C011</t>
        </is>
      </c>
      <c r="E198" s="4" t="inlineStr">
        <is>
          <t>P008</t>
        </is>
      </c>
      <c r="F198" t="inlineStr">
        <is>
          <t>M</t>
        </is>
      </c>
      <c r="G198" s="4" t="inlineStr">
        <is>
          <t>CH04</t>
        </is>
      </c>
      <c r="H198" s="4" t="inlineStr">
        <is>
          <t>PR00</t>
        </is>
      </c>
      <c r="I198" s="8" t="n">
        <v>54</v>
      </c>
      <c r="J198" s="9" t="n">
        <v>0.05</v>
      </c>
      <c r="K198" s="10">
        <f>I198*(1-J198)</f>
        <v/>
      </c>
      <c r="L198" s="11" t="n">
        <v>1</v>
      </c>
      <c r="M198" s="10">
        <f>K198*L198</f>
        <v/>
      </c>
      <c r="N198" s="8" t="n">
        <v>23.66</v>
      </c>
      <c r="O198" s="10">
        <f>N198*L198</f>
        <v/>
      </c>
      <c r="P198" s="10">
        <f>M198-O198</f>
        <v/>
      </c>
      <c r="Q198" s="11" t="inlineStr">
        <is>
          <t>No</t>
        </is>
      </c>
      <c r="R198" s="11" t="n">
        <v>0</v>
      </c>
      <c r="S198" s="10">
        <f>M198-(R198*K198)</f>
        <v/>
      </c>
      <c r="T198" s="12">
        <f>VLOOKUP(E198,Dim_Product!$A$2:$Q$61,3,FALSE)</f>
        <v/>
      </c>
      <c r="U198" s="12">
        <f>VLOOKUP(E198,Dim_Product!$A$2:$Q$61,4,FALSE)</f>
        <v/>
      </c>
      <c r="V198" s="12">
        <f>VLOOKUP(D198,Dim_Customer!$A$2:$I$121,6,FALSE)</f>
        <v/>
      </c>
      <c r="W198" s="12">
        <f>VLOOKUP(G198,Dim_Channel!$A$2:$B$5,2,FALSE)</f>
        <v/>
      </c>
      <c r="X198" s="12">
        <f>VLOOKUP(H198,Dim_Promotion!$A$2:$G$11,2,FALSE)</f>
        <v/>
      </c>
    </row>
    <row r="199">
      <c r="A199" s="4" t="inlineStr">
        <is>
          <t>SL0198</t>
        </is>
      </c>
      <c r="B199" t="inlineStr">
        <is>
          <t>O010099</t>
        </is>
      </c>
      <c r="C199" t="n">
        <v>20251007</v>
      </c>
      <c r="D199" s="4" t="inlineStr">
        <is>
          <t>C117</t>
        </is>
      </c>
      <c r="E199" s="4" t="inlineStr">
        <is>
          <t>P003</t>
        </is>
      </c>
      <c r="F199" t="inlineStr">
        <is>
          <t>XL</t>
        </is>
      </c>
      <c r="G199" s="4" t="inlineStr">
        <is>
          <t>CH02</t>
        </is>
      </c>
      <c r="H199" s="4" t="inlineStr">
        <is>
          <t>PR00</t>
        </is>
      </c>
      <c r="I199" s="8" t="n">
        <v>42</v>
      </c>
      <c r="J199" s="9" t="n">
        <v>0</v>
      </c>
      <c r="K199" s="10">
        <f>I199*(1-J199)</f>
        <v/>
      </c>
      <c r="L199" s="11" t="n">
        <v>1</v>
      </c>
      <c r="M199" s="10">
        <f>K199*L199</f>
        <v/>
      </c>
      <c r="N199" s="8" t="n">
        <v>19.87</v>
      </c>
      <c r="O199" s="10">
        <f>N199*L199</f>
        <v/>
      </c>
      <c r="P199" s="10">
        <f>M199-O199</f>
        <v/>
      </c>
      <c r="Q199" s="11" t="inlineStr">
        <is>
          <t>No</t>
        </is>
      </c>
      <c r="R199" s="11" t="n">
        <v>0</v>
      </c>
      <c r="S199" s="10">
        <f>M199-(R199*K199)</f>
        <v/>
      </c>
      <c r="T199" s="12">
        <f>VLOOKUP(E199,Dim_Product!$A$2:$Q$61,3,FALSE)</f>
        <v/>
      </c>
      <c r="U199" s="12">
        <f>VLOOKUP(E199,Dim_Product!$A$2:$Q$61,4,FALSE)</f>
        <v/>
      </c>
      <c r="V199" s="12">
        <f>VLOOKUP(D199,Dim_Customer!$A$2:$I$121,6,FALSE)</f>
        <v/>
      </c>
      <c r="W199" s="12">
        <f>VLOOKUP(G199,Dim_Channel!$A$2:$B$5,2,FALSE)</f>
        <v/>
      </c>
      <c r="X199" s="12">
        <f>VLOOKUP(H199,Dim_Promotion!$A$2:$G$11,2,FALSE)</f>
        <v/>
      </c>
    </row>
    <row r="200">
      <c r="A200" s="4" t="inlineStr">
        <is>
          <t>SL0199</t>
        </is>
      </c>
      <c r="B200" t="inlineStr">
        <is>
          <t>O010100</t>
        </is>
      </c>
      <c r="C200" t="n">
        <v>20251010</v>
      </c>
      <c r="D200" s="4" t="inlineStr">
        <is>
          <t>C018</t>
        </is>
      </c>
      <c r="E200" s="4" t="inlineStr">
        <is>
          <t>P026</t>
        </is>
      </c>
      <c r="F200" t="inlineStr">
        <is>
          <t>M</t>
        </is>
      </c>
      <c r="G200" s="4" t="inlineStr">
        <is>
          <t>CH01</t>
        </is>
      </c>
      <c r="H200" s="4" t="inlineStr">
        <is>
          <t>PR07</t>
        </is>
      </c>
      <c r="I200" s="8" t="n">
        <v>95</v>
      </c>
      <c r="J200" s="9" t="n">
        <v>0.12</v>
      </c>
      <c r="K200" s="10">
        <f>I200*(1-J200)</f>
        <v/>
      </c>
      <c r="L200" s="11" t="n">
        <v>1</v>
      </c>
      <c r="M200" s="10">
        <f>K200*L200</f>
        <v/>
      </c>
      <c r="N200" s="8" t="n">
        <v>46.14</v>
      </c>
      <c r="O200" s="10">
        <f>N200*L200</f>
        <v/>
      </c>
      <c r="P200" s="10">
        <f>M200-O200</f>
        <v/>
      </c>
      <c r="Q200" s="11" t="inlineStr">
        <is>
          <t>No</t>
        </is>
      </c>
      <c r="R200" s="11" t="n">
        <v>0</v>
      </c>
      <c r="S200" s="10">
        <f>M200-(R200*K200)</f>
        <v/>
      </c>
      <c r="T200" s="12">
        <f>VLOOKUP(E200,Dim_Product!$A$2:$Q$61,3,FALSE)</f>
        <v/>
      </c>
      <c r="U200" s="12">
        <f>VLOOKUP(E200,Dim_Product!$A$2:$Q$61,4,FALSE)</f>
        <v/>
      </c>
      <c r="V200" s="12">
        <f>VLOOKUP(D200,Dim_Customer!$A$2:$I$121,6,FALSE)</f>
        <v/>
      </c>
      <c r="W200" s="12">
        <f>VLOOKUP(G200,Dim_Channel!$A$2:$B$5,2,FALSE)</f>
        <v/>
      </c>
      <c r="X200" s="12">
        <f>VLOOKUP(H200,Dim_Promotion!$A$2:$G$11,2,FALSE)</f>
        <v/>
      </c>
    </row>
    <row r="201">
      <c r="A201" s="4" t="inlineStr">
        <is>
          <t>SL0200</t>
        </is>
      </c>
      <c r="B201" t="inlineStr">
        <is>
          <t>O010100</t>
        </is>
      </c>
      <c r="C201" t="n">
        <v>20250319</v>
      </c>
      <c r="D201" s="4" t="inlineStr">
        <is>
          <t>C073</t>
        </is>
      </c>
      <c r="E201" s="4" t="inlineStr">
        <is>
          <t>P043</t>
        </is>
      </c>
      <c r="F201" t="inlineStr">
        <is>
          <t>S</t>
        </is>
      </c>
      <c r="G201" s="4" t="inlineStr">
        <is>
          <t>CH02</t>
        </is>
      </c>
      <c r="H201" s="4" t="inlineStr">
        <is>
          <t>PR00</t>
        </is>
      </c>
      <c r="I201" s="8" t="n">
        <v>78</v>
      </c>
      <c r="J201" s="9" t="n">
        <v>0</v>
      </c>
      <c r="K201" s="10">
        <f>I201*(1-J201)</f>
        <v/>
      </c>
      <c r="L201" s="11" t="n">
        <v>1</v>
      </c>
      <c r="M201" s="10">
        <f>K201*L201</f>
        <v/>
      </c>
      <c r="N201" s="8" t="n">
        <v>37.77</v>
      </c>
      <c r="O201" s="10">
        <f>N201*L201</f>
        <v/>
      </c>
      <c r="P201" s="10">
        <f>M201-O201</f>
        <v/>
      </c>
      <c r="Q201" s="11" t="inlineStr">
        <is>
          <t>No</t>
        </is>
      </c>
      <c r="R201" s="11" t="n">
        <v>0</v>
      </c>
      <c r="S201" s="10">
        <f>M201-(R201*K201)</f>
        <v/>
      </c>
      <c r="T201" s="12">
        <f>VLOOKUP(E201,Dim_Product!$A$2:$Q$61,3,FALSE)</f>
        <v/>
      </c>
      <c r="U201" s="12">
        <f>VLOOKUP(E201,Dim_Product!$A$2:$Q$61,4,FALSE)</f>
        <v/>
      </c>
      <c r="V201" s="12">
        <f>VLOOKUP(D201,Dim_Customer!$A$2:$I$121,6,FALSE)</f>
        <v/>
      </c>
      <c r="W201" s="12">
        <f>VLOOKUP(G201,Dim_Channel!$A$2:$B$5,2,FALSE)</f>
        <v/>
      </c>
      <c r="X201" s="12">
        <f>VLOOKUP(H201,Dim_Promotion!$A$2:$G$11,2,FALSE)</f>
        <v/>
      </c>
    </row>
    <row r="202">
      <c r="A202" s="4" t="inlineStr">
        <is>
          <t>SL0201</t>
        </is>
      </c>
      <c r="B202" t="inlineStr">
        <is>
          <t>O010101</t>
        </is>
      </c>
      <c r="C202" t="n">
        <v>20250726</v>
      </c>
      <c r="D202" s="4" t="inlineStr">
        <is>
          <t>C047</t>
        </is>
      </c>
      <c r="E202" s="4" t="inlineStr">
        <is>
          <t>P052</t>
        </is>
      </c>
      <c r="F202" t="inlineStr">
        <is>
          <t>L</t>
        </is>
      </c>
      <c r="G202" s="4" t="inlineStr">
        <is>
          <t>CH01</t>
        </is>
      </c>
      <c r="H202" s="4" t="inlineStr">
        <is>
          <t>PR00</t>
        </is>
      </c>
      <c r="I202" s="8" t="n">
        <v>64</v>
      </c>
      <c r="J202" s="9" t="n">
        <v>0</v>
      </c>
      <c r="K202" s="10">
        <f>I202*(1-J202)</f>
        <v/>
      </c>
      <c r="L202" s="11" t="n">
        <v>2</v>
      </c>
      <c r="M202" s="10">
        <f>K202*L202</f>
        <v/>
      </c>
      <c r="N202" s="8" t="n">
        <v>30.87</v>
      </c>
      <c r="O202" s="10">
        <f>N202*L202</f>
        <v/>
      </c>
      <c r="P202" s="10">
        <f>M202-O202</f>
        <v/>
      </c>
      <c r="Q202" s="11" t="inlineStr">
        <is>
          <t>No</t>
        </is>
      </c>
      <c r="R202" s="11" t="n">
        <v>0</v>
      </c>
      <c r="S202" s="10">
        <f>M202-(R202*K202)</f>
        <v/>
      </c>
      <c r="T202" s="12">
        <f>VLOOKUP(E202,Dim_Product!$A$2:$Q$61,3,FALSE)</f>
        <v/>
      </c>
      <c r="U202" s="12">
        <f>VLOOKUP(E202,Dim_Product!$A$2:$Q$61,4,FALSE)</f>
        <v/>
      </c>
      <c r="V202" s="12">
        <f>VLOOKUP(D202,Dim_Customer!$A$2:$I$121,6,FALSE)</f>
        <v/>
      </c>
      <c r="W202" s="12">
        <f>VLOOKUP(G202,Dim_Channel!$A$2:$B$5,2,FALSE)</f>
        <v/>
      </c>
      <c r="X202" s="12">
        <f>VLOOKUP(H202,Dim_Promotion!$A$2:$G$11,2,FALSE)</f>
        <v/>
      </c>
    </row>
    <row r="203">
      <c r="A203" s="4" t="inlineStr">
        <is>
          <t>SL0202</t>
        </is>
      </c>
      <c r="B203" t="inlineStr">
        <is>
          <t>O010101</t>
        </is>
      </c>
      <c r="C203" t="n">
        <v>20250321</v>
      </c>
      <c r="D203" s="4" t="inlineStr">
        <is>
          <t>C049</t>
        </is>
      </c>
      <c r="E203" s="4" t="inlineStr">
        <is>
          <t>P020</t>
        </is>
      </c>
      <c r="F203" t="inlineStr">
        <is>
          <t>L</t>
        </is>
      </c>
      <c r="G203" s="4" t="inlineStr">
        <is>
          <t>CH01</t>
        </is>
      </c>
      <c r="H203" s="4" t="inlineStr">
        <is>
          <t>PR00</t>
        </is>
      </c>
      <c r="I203" s="8" t="n">
        <v>66</v>
      </c>
      <c r="J203" s="9" t="n">
        <v>0</v>
      </c>
      <c r="K203" s="10">
        <f>I203*(1-J203)</f>
        <v/>
      </c>
      <c r="L203" s="11" t="n">
        <v>1</v>
      </c>
      <c r="M203" s="10">
        <f>K203*L203</f>
        <v/>
      </c>
      <c r="N203" s="8" t="n">
        <v>30.87</v>
      </c>
      <c r="O203" s="10">
        <f>N203*L203</f>
        <v/>
      </c>
      <c r="P203" s="10">
        <f>M203-O203</f>
        <v/>
      </c>
      <c r="Q203" s="11" t="inlineStr">
        <is>
          <t>No</t>
        </is>
      </c>
      <c r="R203" s="11" t="n">
        <v>0</v>
      </c>
      <c r="S203" s="10">
        <f>M203-(R203*K203)</f>
        <v/>
      </c>
      <c r="T203" s="12">
        <f>VLOOKUP(E203,Dim_Product!$A$2:$Q$61,3,FALSE)</f>
        <v/>
      </c>
      <c r="U203" s="12">
        <f>VLOOKUP(E203,Dim_Product!$A$2:$Q$61,4,FALSE)</f>
        <v/>
      </c>
      <c r="V203" s="12">
        <f>VLOOKUP(D203,Dim_Customer!$A$2:$I$121,6,FALSE)</f>
        <v/>
      </c>
      <c r="W203" s="12">
        <f>VLOOKUP(G203,Dim_Channel!$A$2:$B$5,2,FALSE)</f>
        <v/>
      </c>
      <c r="X203" s="12">
        <f>VLOOKUP(H203,Dim_Promotion!$A$2:$G$11,2,FALSE)</f>
        <v/>
      </c>
    </row>
    <row r="204">
      <c r="A204" s="4" t="inlineStr">
        <is>
          <t>SL0203</t>
        </is>
      </c>
      <c r="B204" t="inlineStr">
        <is>
          <t>O010102</t>
        </is>
      </c>
      <c r="C204" t="n">
        <v>20251129</v>
      </c>
      <c r="D204" s="4" t="inlineStr">
        <is>
          <t>C078</t>
        </is>
      </c>
      <c r="E204" s="4" t="inlineStr">
        <is>
          <t>P025</t>
        </is>
      </c>
      <c r="F204" t="inlineStr">
        <is>
          <t>L</t>
        </is>
      </c>
      <c r="G204" s="4" t="inlineStr">
        <is>
          <t>CH01</t>
        </is>
      </c>
      <c r="H204" s="4" t="inlineStr">
        <is>
          <t>PR00</t>
        </is>
      </c>
      <c r="I204" s="8" t="n">
        <v>97</v>
      </c>
      <c r="J204" s="9" t="n">
        <v>0</v>
      </c>
      <c r="K204" s="10">
        <f>I204*(1-J204)</f>
        <v/>
      </c>
      <c r="L204" s="11" t="n">
        <v>1</v>
      </c>
      <c r="M204" s="10">
        <f>K204*L204</f>
        <v/>
      </c>
      <c r="N204" s="8" t="n">
        <v>44.42</v>
      </c>
      <c r="O204" s="10">
        <f>N204*L204</f>
        <v/>
      </c>
      <c r="P204" s="10">
        <f>M204-O204</f>
        <v/>
      </c>
      <c r="Q204" s="11" t="inlineStr">
        <is>
          <t>No</t>
        </is>
      </c>
      <c r="R204" s="11" t="n">
        <v>0</v>
      </c>
      <c r="S204" s="10">
        <f>M204-(R204*K204)</f>
        <v/>
      </c>
      <c r="T204" s="12">
        <f>VLOOKUP(E204,Dim_Product!$A$2:$Q$61,3,FALSE)</f>
        <v/>
      </c>
      <c r="U204" s="12">
        <f>VLOOKUP(E204,Dim_Product!$A$2:$Q$61,4,FALSE)</f>
        <v/>
      </c>
      <c r="V204" s="12">
        <f>VLOOKUP(D204,Dim_Customer!$A$2:$I$121,6,FALSE)</f>
        <v/>
      </c>
      <c r="W204" s="12">
        <f>VLOOKUP(G204,Dim_Channel!$A$2:$B$5,2,FALSE)</f>
        <v/>
      </c>
      <c r="X204" s="12">
        <f>VLOOKUP(H204,Dim_Promotion!$A$2:$G$11,2,FALSE)</f>
        <v/>
      </c>
    </row>
    <row r="205">
      <c r="A205" s="4" t="inlineStr">
        <is>
          <t>SL0204</t>
        </is>
      </c>
      <c r="B205" t="inlineStr">
        <is>
          <t>O010102</t>
        </is>
      </c>
      <c r="C205" t="n">
        <v>20251124</v>
      </c>
      <c r="D205" s="4" t="inlineStr">
        <is>
          <t>C015</t>
        </is>
      </c>
      <c r="E205" s="4" t="inlineStr">
        <is>
          <t>P027</t>
        </is>
      </c>
      <c r="F205" t="inlineStr">
        <is>
          <t>M</t>
        </is>
      </c>
      <c r="G205" s="4" t="inlineStr">
        <is>
          <t>CH01</t>
        </is>
      </c>
      <c r="H205" s="4" t="inlineStr">
        <is>
          <t>PR08</t>
        </is>
      </c>
      <c r="I205" s="8" t="n">
        <v>91</v>
      </c>
      <c r="J205" s="9" t="n">
        <v>0.25</v>
      </c>
      <c r="K205" s="10">
        <f>I205*(1-J205)</f>
        <v/>
      </c>
      <c r="L205" s="11" t="n">
        <v>1</v>
      </c>
      <c r="M205" s="10">
        <f>K205*L205</f>
        <v/>
      </c>
      <c r="N205" s="8" t="n">
        <v>44.45</v>
      </c>
      <c r="O205" s="10">
        <f>N205*L205</f>
        <v/>
      </c>
      <c r="P205" s="10">
        <f>M205-O205</f>
        <v/>
      </c>
      <c r="Q205" s="11" t="inlineStr">
        <is>
          <t>No</t>
        </is>
      </c>
      <c r="R205" s="11" t="n">
        <v>0</v>
      </c>
      <c r="S205" s="10">
        <f>M205-(R205*K205)</f>
        <v/>
      </c>
      <c r="T205" s="12">
        <f>VLOOKUP(E205,Dim_Product!$A$2:$Q$61,3,FALSE)</f>
        <v/>
      </c>
      <c r="U205" s="12">
        <f>VLOOKUP(E205,Dim_Product!$A$2:$Q$61,4,FALSE)</f>
        <v/>
      </c>
      <c r="V205" s="12">
        <f>VLOOKUP(D205,Dim_Customer!$A$2:$I$121,6,FALSE)</f>
        <v/>
      </c>
      <c r="W205" s="12">
        <f>VLOOKUP(G205,Dim_Channel!$A$2:$B$5,2,FALSE)</f>
        <v/>
      </c>
      <c r="X205" s="12">
        <f>VLOOKUP(H205,Dim_Promotion!$A$2:$G$11,2,FALSE)</f>
        <v/>
      </c>
    </row>
    <row r="206">
      <c r="A206" s="4" t="inlineStr">
        <is>
          <t>SL0205</t>
        </is>
      </c>
      <c r="B206" t="inlineStr">
        <is>
          <t>O010103</t>
        </is>
      </c>
      <c r="C206" t="n">
        <v>20250317</v>
      </c>
      <c r="D206" s="4" t="inlineStr">
        <is>
          <t>C006</t>
        </is>
      </c>
      <c r="E206" s="4" t="inlineStr">
        <is>
          <t>P053</t>
        </is>
      </c>
      <c r="F206" t="inlineStr">
        <is>
          <t>S</t>
        </is>
      </c>
      <c r="G206" s="4" t="inlineStr">
        <is>
          <t>CH04</t>
        </is>
      </c>
      <c r="H206" s="4" t="inlineStr">
        <is>
          <t>PR00</t>
        </is>
      </c>
      <c r="I206" s="8" t="n">
        <v>76</v>
      </c>
      <c r="J206" s="9" t="n">
        <v>0</v>
      </c>
      <c r="K206" s="10">
        <f>I206*(1-J206)</f>
        <v/>
      </c>
      <c r="L206" s="11" t="n">
        <v>1</v>
      </c>
      <c r="M206" s="10">
        <f>K206*L206</f>
        <v/>
      </c>
      <c r="N206" s="8" t="n">
        <v>35.11</v>
      </c>
      <c r="O206" s="10">
        <f>N206*L206</f>
        <v/>
      </c>
      <c r="P206" s="10">
        <f>M206-O206</f>
        <v/>
      </c>
      <c r="Q206" s="11" t="inlineStr">
        <is>
          <t>No</t>
        </is>
      </c>
      <c r="R206" s="11" t="n">
        <v>0</v>
      </c>
      <c r="S206" s="10">
        <f>M206-(R206*K206)</f>
        <v/>
      </c>
      <c r="T206" s="12">
        <f>VLOOKUP(E206,Dim_Product!$A$2:$Q$61,3,FALSE)</f>
        <v/>
      </c>
      <c r="U206" s="12">
        <f>VLOOKUP(E206,Dim_Product!$A$2:$Q$61,4,FALSE)</f>
        <v/>
      </c>
      <c r="V206" s="12">
        <f>VLOOKUP(D206,Dim_Customer!$A$2:$I$121,6,FALSE)</f>
        <v/>
      </c>
      <c r="W206" s="12">
        <f>VLOOKUP(G206,Dim_Channel!$A$2:$B$5,2,FALSE)</f>
        <v/>
      </c>
      <c r="X206" s="12">
        <f>VLOOKUP(H206,Dim_Promotion!$A$2:$G$11,2,FALSE)</f>
        <v/>
      </c>
    </row>
    <row r="207">
      <c r="A207" s="4" t="inlineStr">
        <is>
          <t>SL0206</t>
        </is>
      </c>
      <c r="B207" t="inlineStr">
        <is>
          <t>O010103</t>
        </is>
      </c>
      <c r="C207" t="n">
        <v>20251103</v>
      </c>
      <c r="D207" s="4" t="inlineStr">
        <is>
          <t>C028</t>
        </is>
      </c>
      <c r="E207" s="4" t="inlineStr">
        <is>
          <t>P051</t>
        </is>
      </c>
      <c r="F207" t="inlineStr">
        <is>
          <t>XL</t>
        </is>
      </c>
      <c r="G207" s="4" t="inlineStr">
        <is>
          <t>CH02</t>
        </is>
      </c>
      <c r="H207" s="4" t="inlineStr">
        <is>
          <t>PR00</t>
        </is>
      </c>
      <c r="I207" s="8" t="n">
        <v>70</v>
      </c>
      <c r="J207" s="9" t="n">
        <v>0</v>
      </c>
      <c r="K207" s="10">
        <f>I207*(1-J207)</f>
        <v/>
      </c>
      <c r="L207" s="11" t="n">
        <v>1</v>
      </c>
      <c r="M207" s="10">
        <f>K207*L207</f>
        <v/>
      </c>
      <c r="N207" s="8" t="n">
        <v>29.31</v>
      </c>
      <c r="O207" s="10">
        <f>N207*L207</f>
        <v/>
      </c>
      <c r="P207" s="10">
        <f>M207-O207</f>
        <v/>
      </c>
      <c r="Q207" s="11" t="inlineStr">
        <is>
          <t>No</t>
        </is>
      </c>
      <c r="R207" s="11" t="n">
        <v>0</v>
      </c>
      <c r="S207" s="10">
        <f>M207-(R207*K207)</f>
        <v/>
      </c>
      <c r="T207" s="12">
        <f>VLOOKUP(E207,Dim_Product!$A$2:$Q$61,3,FALSE)</f>
        <v/>
      </c>
      <c r="U207" s="12">
        <f>VLOOKUP(E207,Dim_Product!$A$2:$Q$61,4,FALSE)</f>
        <v/>
      </c>
      <c r="V207" s="12">
        <f>VLOOKUP(D207,Dim_Customer!$A$2:$I$121,6,FALSE)</f>
        <v/>
      </c>
      <c r="W207" s="12">
        <f>VLOOKUP(G207,Dim_Channel!$A$2:$B$5,2,FALSE)</f>
        <v/>
      </c>
      <c r="X207" s="12">
        <f>VLOOKUP(H207,Dim_Promotion!$A$2:$G$11,2,FALSE)</f>
        <v/>
      </c>
    </row>
    <row r="208">
      <c r="A208" s="4" t="inlineStr">
        <is>
          <t>SL0207</t>
        </is>
      </c>
      <c r="B208" t="inlineStr">
        <is>
          <t>O010104</t>
        </is>
      </c>
      <c r="C208" t="n">
        <v>20250930</v>
      </c>
      <c r="D208" s="4" t="inlineStr">
        <is>
          <t>C059</t>
        </is>
      </c>
      <c r="E208" s="4" t="inlineStr">
        <is>
          <t>P035</t>
        </is>
      </c>
      <c r="F208" t="inlineStr">
        <is>
          <t>M</t>
        </is>
      </c>
      <c r="G208" s="4" t="inlineStr">
        <is>
          <t>CH01</t>
        </is>
      </c>
      <c r="H208" s="4" t="inlineStr">
        <is>
          <t>PR00</t>
        </is>
      </c>
      <c r="I208" s="8" t="n">
        <v>90</v>
      </c>
      <c r="J208" s="9" t="n">
        <v>0</v>
      </c>
      <c r="K208" s="10">
        <f>I208*(1-J208)</f>
        <v/>
      </c>
      <c r="L208" s="11" t="n">
        <v>1</v>
      </c>
      <c r="M208" s="10">
        <f>K208*L208</f>
        <v/>
      </c>
      <c r="N208" s="8" t="n">
        <v>43.7</v>
      </c>
      <c r="O208" s="10">
        <f>N208*L208</f>
        <v/>
      </c>
      <c r="P208" s="10">
        <f>M208-O208</f>
        <v/>
      </c>
      <c r="Q208" s="11" t="inlineStr">
        <is>
          <t>No</t>
        </is>
      </c>
      <c r="R208" s="11" t="n">
        <v>0</v>
      </c>
      <c r="S208" s="10">
        <f>M208-(R208*K208)</f>
        <v/>
      </c>
      <c r="T208" s="12">
        <f>VLOOKUP(E208,Dim_Product!$A$2:$Q$61,3,FALSE)</f>
        <v/>
      </c>
      <c r="U208" s="12">
        <f>VLOOKUP(E208,Dim_Product!$A$2:$Q$61,4,FALSE)</f>
        <v/>
      </c>
      <c r="V208" s="12">
        <f>VLOOKUP(D208,Dim_Customer!$A$2:$I$121,6,FALSE)</f>
        <v/>
      </c>
      <c r="W208" s="12">
        <f>VLOOKUP(G208,Dim_Channel!$A$2:$B$5,2,FALSE)</f>
        <v/>
      </c>
      <c r="X208" s="12">
        <f>VLOOKUP(H208,Dim_Promotion!$A$2:$G$11,2,FALSE)</f>
        <v/>
      </c>
    </row>
    <row r="209">
      <c r="A209" s="4" t="inlineStr">
        <is>
          <t>SL0208</t>
        </is>
      </c>
      <c r="B209" t="inlineStr">
        <is>
          <t>O010104</t>
        </is>
      </c>
      <c r="C209" t="n">
        <v>20251220</v>
      </c>
      <c r="D209" s="4" t="inlineStr">
        <is>
          <t>C005</t>
        </is>
      </c>
      <c r="E209" s="4" t="inlineStr">
        <is>
          <t>P052</t>
        </is>
      </c>
      <c r="F209" t="inlineStr">
        <is>
          <t>L</t>
        </is>
      </c>
      <c r="G209" s="4" t="inlineStr">
        <is>
          <t>CH01</t>
        </is>
      </c>
      <c r="H209" s="4" t="inlineStr">
        <is>
          <t>PR09</t>
        </is>
      </c>
      <c r="I209" s="8" t="n">
        <v>66</v>
      </c>
      <c r="J209" s="9" t="n">
        <v>0.15</v>
      </c>
      <c r="K209" s="10">
        <f>I209*(1-J209)</f>
        <v/>
      </c>
      <c r="L209" s="11" t="n">
        <v>1</v>
      </c>
      <c r="M209" s="10">
        <f>K209*L209</f>
        <v/>
      </c>
      <c r="N209" s="8" t="n">
        <v>30.38</v>
      </c>
      <c r="O209" s="10">
        <f>N209*L209</f>
        <v/>
      </c>
      <c r="P209" s="10">
        <f>M209-O209</f>
        <v/>
      </c>
      <c r="Q209" s="11" t="inlineStr">
        <is>
          <t>No</t>
        </is>
      </c>
      <c r="R209" s="11" t="n">
        <v>0</v>
      </c>
      <c r="S209" s="10">
        <f>M209-(R209*K209)</f>
        <v/>
      </c>
      <c r="T209" s="12">
        <f>VLOOKUP(E209,Dim_Product!$A$2:$Q$61,3,FALSE)</f>
        <v/>
      </c>
      <c r="U209" s="12">
        <f>VLOOKUP(E209,Dim_Product!$A$2:$Q$61,4,FALSE)</f>
        <v/>
      </c>
      <c r="V209" s="12">
        <f>VLOOKUP(D209,Dim_Customer!$A$2:$I$121,6,FALSE)</f>
        <v/>
      </c>
      <c r="W209" s="12">
        <f>VLOOKUP(G209,Dim_Channel!$A$2:$B$5,2,FALSE)</f>
        <v/>
      </c>
      <c r="X209" s="12">
        <f>VLOOKUP(H209,Dim_Promotion!$A$2:$G$11,2,FALSE)</f>
        <v/>
      </c>
    </row>
    <row r="210">
      <c r="A210" s="4" t="inlineStr">
        <is>
          <t>SL0209</t>
        </is>
      </c>
      <c r="B210" t="inlineStr">
        <is>
          <t>O010105</t>
        </is>
      </c>
      <c r="C210" t="n">
        <v>20250914</v>
      </c>
      <c r="D210" s="4" t="inlineStr">
        <is>
          <t>C067</t>
        </is>
      </c>
      <c r="E210" s="4" t="inlineStr">
        <is>
          <t>P041</t>
        </is>
      </c>
      <c r="F210" t="inlineStr">
        <is>
          <t>XL</t>
        </is>
      </c>
      <c r="G210" s="4" t="inlineStr">
        <is>
          <t>CH01</t>
        </is>
      </c>
      <c r="H210" s="4" t="inlineStr">
        <is>
          <t>PR00</t>
        </is>
      </c>
      <c r="I210" s="8" t="n">
        <v>80</v>
      </c>
      <c r="J210" s="9" t="n">
        <v>0</v>
      </c>
      <c r="K210" s="10">
        <f>I210*(1-J210)</f>
        <v/>
      </c>
      <c r="L210" s="11" t="n">
        <v>1</v>
      </c>
      <c r="M210" s="10">
        <f>K210*L210</f>
        <v/>
      </c>
      <c r="N210" s="8" t="n">
        <v>37.55</v>
      </c>
      <c r="O210" s="10">
        <f>N210*L210</f>
        <v/>
      </c>
      <c r="P210" s="10">
        <f>M210-O210</f>
        <v/>
      </c>
      <c r="Q210" s="11" t="inlineStr">
        <is>
          <t>No</t>
        </is>
      </c>
      <c r="R210" s="11" t="n">
        <v>0</v>
      </c>
      <c r="S210" s="10">
        <f>M210-(R210*K210)</f>
        <v/>
      </c>
      <c r="T210" s="12">
        <f>VLOOKUP(E210,Dim_Product!$A$2:$Q$61,3,FALSE)</f>
        <v/>
      </c>
      <c r="U210" s="12">
        <f>VLOOKUP(E210,Dim_Product!$A$2:$Q$61,4,FALSE)</f>
        <v/>
      </c>
      <c r="V210" s="12">
        <f>VLOOKUP(D210,Dim_Customer!$A$2:$I$121,6,FALSE)</f>
        <v/>
      </c>
      <c r="W210" s="12">
        <f>VLOOKUP(G210,Dim_Channel!$A$2:$B$5,2,FALSE)</f>
        <v/>
      </c>
      <c r="X210" s="12">
        <f>VLOOKUP(H210,Dim_Promotion!$A$2:$G$11,2,FALSE)</f>
        <v/>
      </c>
    </row>
    <row r="211">
      <c r="A211" s="4" t="inlineStr">
        <is>
          <t>SL0210</t>
        </is>
      </c>
      <c r="B211" t="inlineStr">
        <is>
          <t>O010105</t>
        </is>
      </c>
      <c r="C211" t="n">
        <v>20250428</v>
      </c>
      <c r="D211" s="4" t="inlineStr">
        <is>
          <t>C011</t>
        </is>
      </c>
      <c r="E211" s="4" t="inlineStr">
        <is>
          <t>P023</t>
        </is>
      </c>
      <c r="F211" t="inlineStr">
        <is>
          <t>L</t>
        </is>
      </c>
      <c r="G211" s="4" t="inlineStr">
        <is>
          <t>CH04</t>
        </is>
      </c>
      <c r="H211" s="4" t="inlineStr">
        <is>
          <t>PR00</t>
        </is>
      </c>
      <c r="I211" s="8" t="n">
        <v>54</v>
      </c>
      <c r="J211" s="9" t="n">
        <v>0</v>
      </c>
      <c r="K211" s="10">
        <f>I211*(1-J211)</f>
        <v/>
      </c>
      <c r="L211" s="11" t="n">
        <v>1</v>
      </c>
      <c r="M211" s="10">
        <f>K211*L211</f>
        <v/>
      </c>
      <c r="N211" s="8" t="n">
        <v>25.8</v>
      </c>
      <c r="O211" s="10">
        <f>N211*L211</f>
        <v/>
      </c>
      <c r="P211" s="10">
        <f>M211-O211</f>
        <v/>
      </c>
      <c r="Q211" s="11" t="inlineStr">
        <is>
          <t>No</t>
        </is>
      </c>
      <c r="R211" s="11" t="n">
        <v>0</v>
      </c>
      <c r="S211" s="10">
        <f>M211-(R211*K211)</f>
        <v/>
      </c>
      <c r="T211" s="12">
        <f>VLOOKUP(E211,Dim_Product!$A$2:$Q$61,3,FALSE)</f>
        <v/>
      </c>
      <c r="U211" s="12">
        <f>VLOOKUP(E211,Dim_Product!$A$2:$Q$61,4,FALSE)</f>
        <v/>
      </c>
      <c r="V211" s="12">
        <f>VLOOKUP(D211,Dim_Customer!$A$2:$I$121,6,FALSE)</f>
        <v/>
      </c>
      <c r="W211" s="12">
        <f>VLOOKUP(G211,Dim_Channel!$A$2:$B$5,2,FALSE)</f>
        <v/>
      </c>
      <c r="X211" s="12">
        <f>VLOOKUP(H211,Dim_Promotion!$A$2:$G$11,2,FALSE)</f>
        <v/>
      </c>
    </row>
    <row r="212">
      <c r="A212" s="4" t="inlineStr">
        <is>
          <t>SL0211</t>
        </is>
      </c>
      <c r="B212" t="inlineStr">
        <is>
          <t>O010106</t>
        </is>
      </c>
      <c r="C212" t="n">
        <v>20250604</v>
      </c>
      <c r="D212" s="4" t="inlineStr">
        <is>
          <t>C020</t>
        </is>
      </c>
      <c r="E212" s="4" t="inlineStr">
        <is>
          <t>P024</t>
        </is>
      </c>
      <c r="F212" t="inlineStr">
        <is>
          <t>M</t>
        </is>
      </c>
      <c r="G212" s="4" t="inlineStr">
        <is>
          <t>CH02</t>
        </is>
      </c>
      <c r="H212" s="4" t="inlineStr">
        <is>
          <t>PR00</t>
        </is>
      </c>
      <c r="I212" s="8" t="n">
        <v>62</v>
      </c>
      <c r="J212" s="9" t="n">
        <v>0</v>
      </c>
      <c r="K212" s="10">
        <f>I212*(1-J212)</f>
        <v/>
      </c>
      <c r="L212" s="11" t="n">
        <v>1</v>
      </c>
      <c r="M212" s="10">
        <f>K212*L212</f>
        <v/>
      </c>
      <c r="N212" s="8" t="n">
        <v>27.56</v>
      </c>
      <c r="O212" s="10">
        <f>N212*L212</f>
        <v/>
      </c>
      <c r="P212" s="10">
        <f>M212-O212</f>
        <v/>
      </c>
      <c r="Q212" s="11" t="inlineStr">
        <is>
          <t>No</t>
        </is>
      </c>
      <c r="R212" s="11" t="n">
        <v>0</v>
      </c>
      <c r="S212" s="10">
        <f>M212-(R212*K212)</f>
        <v/>
      </c>
      <c r="T212" s="12">
        <f>VLOOKUP(E212,Dim_Product!$A$2:$Q$61,3,FALSE)</f>
        <v/>
      </c>
      <c r="U212" s="12">
        <f>VLOOKUP(E212,Dim_Product!$A$2:$Q$61,4,FALSE)</f>
        <v/>
      </c>
      <c r="V212" s="12">
        <f>VLOOKUP(D212,Dim_Customer!$A$2:$I$121,6,FALSE)</f>
        <v/>
      </c>
      <c r="W212" s="12">
        <f>VLOOKUP(G212,Dim_Channel!$A$2:$B$5,2,FALSE)</f>
        <v/>
      </c>
      <c r="X212" s="12">
        <f>VLOOKUP(H212,Dim_Promotion!$A$2:$G$11,2,FALSE)</f>
        <v/>
      </c>
    </row>
    <row r="213">
      <c r="A213" s="4" t="inlineStr">
        <is>
          <t>SL0212</t>
        </is>
      </c>
      <c r="B213" t="inlineStr">
        <is>
          <t>O010106</t>
        </is>
      </c>
      <c r="C213" t="n">
        <v>20250626</v>
      </c>
      <c r="D213" s="4" t="inlineStr">
        <is>
          <t>C072</t>
        </is>
      </c>
      <c r="E213" s="4" t="inlineStr">
        <is>
          <t>P027</t>
        </is>
      </c>
      <c r="F213" t="inlineStr">
        <is>
          <t>L</t>
        </is>
      </c>
      <c r="G213" s="4" t="inlineStr">
        <is>
          <t>CH01</t>
        </is>
      </c>
      <c r="H213" s="4" t="inlineStr">
        <is>
          <t>PR00</t>
        </is>
      </c>
      <c r="I213" s="8" t="n">
        <v>94</v>
      </c>
      <c r="J213" s="9" t="n">
        <v>0</v>
      </c>
      <c r="K213" s="10">
        <f>I213*(1-J213)</f>
        <v/>
      </c>
      <c r="L213" s="11" t="n">
        <v>2</v>
      </c>
      <c r="M213" s="10">
        <f>K213*L213</f>
        <v/>
      </c>
      <c r="N213" s="8" t="n">
        <v>46.41</v>
      </c>
      <c r="O213" s="10">
        <f>N213*L213</f>
        <v/>
      </c>
      <c r="P213" s="10">
        <f>M213-O213</f>
        <v/>
      </c>
      <c r="Q213" s="11" t="inlineStr">
        <is>
          <t>No</t>
        </is>
      </c>
      <c r="R213" s="11" t="n">
        <v>0</v>
      </c>
      <c r="S213" s="10">
        <f>M213-(R213*K213)</f>
        <v/>
      </c>
      <c r="T213" s="12">
        <f>VLOOKUP(E213,Dim_Product!$A$2:$Q$61,3,FALSE)</f>
        <v/>
      </c>
      <c r="U213" s="12">
        <f>VLOOKUP(E213,Dim_Product!$A$2:$Q$61,4,FALSE)</f>
        <v/>
      </c>
      <c r="V213" s="12">
        <f>VLOOKUP(D213,Dim_Customer!$A$2:$I$121,6,FALSE)</f>
        <v/>
      </c>
      <c r="W213" s="12">
        <f>VLOOKUP(G213,Dim_Channel!$A$2:$B$5,2,FALSE)</f>
        <v/>
      </c>
      <c r="X213" s="12">
        <f>VLOOKUP(H213,Dim_Promotion!$A$2:$G$11,2,FALSE)</f>
        <v/>
      </c>
    </row>
    <row r="214">
      <c r="A214" s="4" t="inlineStr">
        <is>
          <t>SL0213</t>
        </is>
      </c>
      <c r="B214" t="inlineStr">
        <is>
          <t>O010107</t>
        </is>
      </c>
      <c r="C214" t="n">
        <v>20251015</v>
      </c>
      <c r="D214" s="4" t="inlineStr">
        <is>
          <t>C101</t>
        </is>
      </c>
      <c r="E214" s="4" t="inlineStr">
        <is>
          <t>P041</t>
        </is>
      </c>
      <c r="F214" t="inlineStr">
        <is>
          <t>S</t>
        </is>
      </c>
      <c r="G214" s="4" t="inlineStr">
        <is>
          <t>CH01</t>
        </is>
      </c>
      <c r="H214" s="4" t="inlineStr">
        <is>
          <t>PR00</t>
        </is>
      </c>
      <c r="I214" s="8" t="n">
        <v>76</v>
      </c>
      <c r="J214" s="9" t="n">
        <v>0</v>
      </c>
      <c r="K214" s="10">
        <f>I214*(1-J214)</f>
        <v/>
      </c>
      <c r="L214" s="11" t="n">
        <v>1</v>
      </c>
      <c r="M214" s="10">
        <f>K214*L214</f>
        <v/>
      </c>
      <c r="N214" s="8" t="n">
        <v>39.44</v>
      </c>
      <c r="O214" s="10">
        <f>N214*L214</f>
        <v/>
      </c>
      <c r="P214" s="10">
        <f>M214-O214</f>
        <v/>
      </c>
      <c r="Q214" s="11" t="inlineStr">
        <is>
          <t>Yes</t>
        </is>
      </c>
      <c r="R214" s="11" t="n">
        <v>1</v>
      </c>
      <c r="S214" s="10">
        <f>M214-(R214*K214)</f>
        <v/>
      </c>
      <c r="T214" s="12">
        <f>VLOOKUP(E214,Dim_Product!$A$2:$Q$61,3,FALSE)</f>
        <v/>
      </c>
      <c r="U214" s="12">
        <f>VLOOKUP(E214,Dim_Product!$A$2:$Q$61,4,FALSE)</f>
        <v/>
      </c>
      <c r="V214" s="12">
        <f>VLOOKUP(D214,Dim_Customer!$A$2:$I$121,6,FALSE)</f>
        <v/>
      </c>
      <c r="W214" s="12">
        <f>VLOOKUP(G214,Dim_Channel!$A$2:$B$5,2,FALSE)</f>
        <v/>
      </c>
      <c r="X214" s="12">
        <f>VLOOKUP(H214,Dim_Promotion!$A$2:$G$11,2,FALSE)</f>
        <v/>
      </c>
    </row>
    <row r="215">
      <c r="A215" s="4" t="inlineStr">
        <is>
          <t>SL0214</t>
        </is>
      </c>
      <c r="B215" t="inlineStr">
        <is>
          <t>O010107</t>
        </is>
      </c>
      <c r="C215" t="n">
        <v>20251116</v>
      </c>
      <c r="D215" s="4" t="inlineStr">
        <is>
          <t>C119</t>
        </is>
      </c>
      <c r="E215" s="4" t="inlineStr">
        <is>
          <t>P035</t>
        </is>
      </c>
      <c r="F215" t="inlineStr">
        <is>
          <t>M</t>
        </is>
      </c>
      <c r="G215" s="4" t="inlineStr">
        <is>
          <t>CH03</t>
        </is>
      </c>
      <c r="H215" s="4" t="inlineStr">
        <is>
          <t>PR00</t>
        </is>
      </c>
      <c r="I215" s="8" t="n">
        <v>89</v>
      </c>
      <c r="J215" s="9" t="n">
        <v>0</v>
      </c>
      <c r="K215" s="10">
        <f>I215*(1-J215)</f>
        <v/>
      </c>
      <c r="L215" s="11" t="n">
        <v>3</v>
      </c>
      <c r="M215" s="10">
        <f>K215*L215</f>
        <v/>
      </c>
      <c r="N215" s="8" t="n">
        <v>43.83</v>
      </c>
      <c r="O215" s="10">
        <f>N215*L215</f>
        <v/>
      </c>
      <c r="P215" s="10">
        <f>M215-O215</f>
        <v/>
      </c>
      <c r="Q215" s="11" t="inlineStr">
        <is>
          <t>No</t>
        </is>
      </c>
      <c r="R215" s="11" t="n">
        <v>0</v>
      </c>
      <c r="S215" s="10">
        <f>M215-(R215*K215)</f>
        <v/>
      </c>
      <c r="T215" s="12">
        <f>VLOOKUP(E215,Dim_Product!$A$2:$Q$61,3,FALSE)</f>
        <v/>
      </c>
      <c r="U215" s="12">
        <f>VLOOKUP(E215,Dim_Product!$A$2:$Q$61,4,FALSE)</f>
        <v/>
      </c>
      <c r="V215" s="12">
        <f>VLOOKUP(D215,Dim_Customer!$A$2:$I$121,6,FALSE)</f>
        <v/>
      </c>
      <c r="W215" s="12">
        <f>VLOOKUP(G215,Dim_Channel!$A$2:$B$5,2,FALSE)</f>
        <v/>
      </c>
      <c r="X215" s="12">
        <f>VLOOKUP(H215,Dim_Promotion!$A$2:$G$11,2,FALSE)</f>
        <v/>
      </c>
    </row>
    <row r="216">
      <c r="A216" s="4" t="inlineStr">
        <is>
          <t>SL0215</t>
        </is>
      </c>
      <c r="B216" t="inlineStr">
        <is>
          <t>O010108</t>
        </is>
      </c>
      <c r="C216" t="n">
        <v>20251202</v>
      </c>
      <c r="D216" s="4" t="inlineStr">
        <is>
          <t>C100</t>
        </is>
      </c>
      <c r="E216" s="4" t="inlineStr">
        <is>
          <t>P025</t>
        </is>
      </c>
      <c r="F216" t="inlineStr">
        <is>
          <t>L</t>
        </is>
      </c>
      <c r="G216" s="4" t="inlineStr">
        <is>
          <t>CH03</t>
        </is>
      </c>
      <c r="H216" s="4" t="inlineStr">
        <is>
          <t>PR00</t>
        </is>
      </c>
      <c r="I216" s="8" t="n">
        <v>93</v>
      </c>
      <c r="J216" s="9" t="n">
        <v>0</v>
      </c>
      <c r="K216" s="10">
        <f>I216*(1-J216)</f>
        <v/>
      </c>
      <c r="L216" s="11" t="n">
        <v>2</v>
      </c>
      <c r="M216" s="10">
        <f>K216*L216</f>
        <v/>
      </c>
      <c r="N216" s="8" t="n">
        <v>45.48</v>
      </c>
      <c r="O216" s="10">
        <f>N216*L216</f>
        <v/>
      </c>
      <c r="P216" s="10">
        <f>M216-O216</f>
        <v/>
      </c>
      <c r="Q216" s="11" t="inlineStr">
        <is>
          <t>No</t>
        </is>
      </c>
      <c r="R216" s="11" t="n">
        <v>0</v>
      </c>
      <c r="S216" s="10">
        <f>M216-(R216*K216)</f>
        <v/>
      </c>
      <c r="T216" s="12">
        <f>VLOOKUP(E216,Dim_Product!$A$2:$Q$61,3,FALSE)</f>
        <v/>
      </c>
      <c r="U216" s="12">
        <f>VLOOKUP(E216,Dim_Product!$A$2:$Q$61,4,FALSE)</f>
        <v/>
      </c>
      <c r="V216" s="12">
        <f>VLOOKUP(D216,Dim_Customer!$A$2:$I$121,6,FALSE)</f>
        <v/>
      </c>
      <c r="W216" s="12">
        <f>VLOOKUP(G216,Dim_Channel!$A$2:$B$5,2,FALSE)</f>
        <v/>
      </c>
      <c r="X216" s="12">
        <f>VLOOKUP(H216,Dim_Promotion!$A$2:$G$11,2,FALSE)</f>
        <v/>
      </c>
    </row>
    <row r="217">
      <c r="A217" s="4" t="inlineStr">
        <is>
          <t>SL0216</t>
        </is>
      </c>
      <c r="B217" t="inlineStr">
        <is>
          <t>O010108</t>
        </is>
      </c>
      <c r="C217" t="n">
        <v>20250822</v>
      </c>
      <c r="D217" s="4" t="inlineStr">
        <is>
          <t>C005</t>
        </is>
      </c>
      <c r="E217" s="4" t="inlineStr">
        <is>
          <t>P020</t>
        </is>
      </c>
      <c r="F217" t="inlineStr">
        <is>
          <t>XL</t>
        </is>
      </c>
      <c r="G217" s="4" t="inlineStr">
        <is>
          <t>CH01</t>
        </is>
      </c>
      <c r="H217" s="4" t="inlineStr">
        <is>
          <t>PR00</t>
        </is>
      </c>
      <c r="I217" s="8" t="n">
        <v>65</v>
      </c>
      <c r="J217" s="9" t="n">
        <v>0</v>
      </c>
      <c r="K217" s="10">
        <f>I217*(1-J217)</f>
        <v/>
      </c>
      <c r="L217" s="11" t="n">
        <v>1</v>
      </c>
      <c r="M217" s="10">
        <f>K217*L217</f>
        <v/>
      </c>
      <c r="N217" s="8" t="n">
        <v>29.76</v>
      </c>
      <c r="O217" s="10">
        <f>N217*L217</f>
        <v/>
      </c>
      <c r="P217" s="10">
        <f>M217-O217</f>
        <v/>
      </c>
      <c r="Q217" s="11" t="inlineStr">
        <is>
          <t>Yes</t>
        </is>
      </c>
      <c r="R217" s="11" t="n">
        <v>1</v>
      </c>
      <c r="S217" s="10">
        <f>M217-(R217*K217)</f>
        <v/>
      </c>
      <c r="T217" s="12">
        <f>VLOOKUP(E217,Dim_Product!$A$2:$Q$61,3,FALSE)</f>
        <v/>
      </c>
      <c r="U217" s="12">
        <f>VLOOKUP(E217,Dim_Product!$A$2:$Q$61,4,FALSE)</f>
        <v/>
      </c>
      <c r="V217" s="12">
        <f>VLOOKUP(D217,Dim_Customer!$A$2:$I$121,6,FALSE)</f>
        <v/>
      </c>
      <c r="W217" s="12">
        <f>VLOOKUP(G217,Dim_Channel!$A$2:$B$5,2,FALSE)</f>
        <v/>
      </c>
      <c r="X217" s="12">
        <f>VLOOKUP(H217,Dim_Promotion!$A$2:$G$11,2,FALSE)</f>
        <v/>
      </c>
    </row>
    <row r="218">
      <c r="A218" s="4" t="inlineStr">
        <is>
          <t>SL0217</t>
        </is>
      </c>
      <c r="B218" t="inlineStr">
        <is>
          <t>O010109</t>
        </is>
      </c>
      <c r="C218" t="n">
        <v>20251218</v>
      </c>
      <c r="D218" s="4" t="inlineStr">
        <is>
          <t>C037</t>
        </is>
      </c>
      <c r="E218" s="4" t="inlineStr">
        <is>
          <t>P043</t>
        </is>
      </c>
      <c r="F218" t="inlineStr">
        <is>
          <t>M</t>
        </is>
      </c>
      <c r="G218" s="4" t="inlineStr">
        <is>
          <t>CH01</t>
        </is>
      </c>
      <c r="H218" s="4" t="inlineStr">
        <is>
          <t>PR00</t>
        </is>
      </c>
      <c r="I218" s="8" t="n">
        <v>80</v>
      </c>
      <c r="J218" s="9" t="n">
        <v>0</v>
      </c>
      <c r="K218" s="10">
        <f>I218*(1-J218)</f>
        <v/>
      </c>
      <c r="L218" s="11" t="n">
        <v>1</v>
      </c>
      <c r="M218" s="10">
        <f>K218*L218</f>
        <v/>
      </c>
      <c r="N218" s="8" t="n">
        <v>38.16</v>
      </c>
      <c r="O218" s="10">
        <f>N218*L218</f>
        <v/>
      </c>
      <c r="P218" s="10">
        <f>M218-O218</f>
        <v/>
      </c>
      <c r="Q218" s="11" t="inlineStr">
        <is>
          <t>Yes</t>
        </is>
      </c>
      <c r="R218" s="11" t="n">
        <v>1</v>
      </c>
      <c r="S218" s="10">
        <f>M218-(R218*K218)</f>
        <v/>
      </c>
      <c r="T218" s="12">
        <f>VLOOKUP(E218,Dim_Product!$A$2:$Q$61,3,FALSE)</f>
        <v/>
      </c>
      <c r="U218" s="12">
        <f>VLOOKUP(E218,Dim_Product!$A$2:$Q$61,4,FALSE)</f>
        <v/>
      </c>
      <c r="V218" s="12">
        <f>VLOOKUP(D218,Dim_Customer!$A$2:$I$121,6,FALSE)</f>
        <v/>
      </c>
      <c r="W218" s="12">
        <f>VLOOKUP(G218,Dim_Channel!$A$2:$B$5,2,FALSE)</f>
        <v/>
      </c>
      <c r="X218" s="12">
        <f>VLOOKUP(H218,Dim_Promotion!$A$2:$G$11,2,FALSE)</f>
        <v/>
      </c>
    </row>
    <row r="219">
      <c r="A219" s="4" t="inlineStr">
        <is>
          <t>SL0218</t>
        </is>
      </c>
      <c r="B219" t="inlineStr">
        <is>
          <t>O010109</t>
        </is>
      </c>
      <c r="C219" t="n">
        <v>20250604</v>
      </c>
      <c r="D219" s="4" t="inlineStr">
        <is>
          <t>C072</t>
        </is>
      </c>
      <c r="E219" s="4" t="inlineStr">
        <is>
          <t>P004</t>
        </is>
      </c>
      <c r="F219" t="inlineStr">
        <is>
          <t>XL</t>
        </is>
      </c>
      <c r="G219" s="4" t="inlineStr">
        <is>
          <t>CH03</t>
        </is>
      </c>
      <c r="H219" s="4" t="inlineStr">
        <is>
          <t>PR04</t>
        </is>
      </c>
      <c r="I219" s="8" t="n">
        <v>44</v>
      </c>
      <c r="J219" s="9" t="n">
        <v>0.12</v>
      </c>
      <c r="K219" s="10">
        <f>I219*(1-J219)</f>
        <v/>
      </c>
      <c r="L219" s="11" t="n">
        <v>2</v>
      </c>
      <c r="M219" s="10">
        <f>K219*L219</f>
        <v/>
      </c>
      <c r="N219" s="8" t="n">
        <v>19.28</v>
      </c>
      <c r="O219" s="10">
        <f>N219*L219</f>
        <v/>
      </c>
      <c r="P219" s="10">
        <f>M219-O219</f>
        <v/>
      </c>
      <c r="Q219" s="11" t="inlineStr">
        <is>
          <t>No</t>
        </is>
      </c>
      <c r="R219" s="11" t="n">
        <v>0</v>
      </c>
      <c r="S219" s="10">
        <f>M219-(R219*K219)</f>
        <v/>
      </c>
      <c r="T219" s="12">
        <f>VLOOKUP(E219,Dim_Product!$A$2:$Q$61,3,FALSE)</f>
        <v/>
      </c>
      <c r="U219" s="12">
        <f>VLOOKUP(E219,Dim_Product!$A$2:$Q$61,4,FALSE)</f>
        <v/>
      </c>
      <c r="V219" s="12">
        <f>VLOOKUP(D219,Dim_Customer!$A$2:$I$121,6,FALSE)</f>
        <v/>
      </c>
      <c r="W219" s="12">
        <f>VLOOKUP(G219,Dim_Channel!$A$2:$B$5,2,FALSE)</f>
        <v/>
      </c>
      <c r="X219" s="12">
        <f>VLOOKUP(H219,Dim_Promotion!$A$2:$G$11,2,FALSE)</f>
        <v/>
      </c>
    </row>
    <row r="220">
      <c r="A220" s="4" t="inlineStr">
        <is>
          <t>SL0219</t>
        </is>
      </c>
      <c r="B220" t="inlineStr">
        <is>
          <t>O010110</t>
        </is>
      </c>
      <c r="C220" t="n">
        <v>20251219</v>
      </c>
      <c r="D220" s="4" t="inlineStr">
        <is>
          <t>C062</t>
        </is>
      </c>
      <c r="E220" s="4" t="inlineStr">
        <is>
          <t>P058</t>
        </is>
      </c>
      <c r="F220" t="inlineStr">
        <is>
          <t>M</t>
        </is>
      </c>
      <c r="G220" s="4" t="inlineStr">
        <is>
          <t>CH02</t>
        </is>
      </c>
      <c r="H220" s="4" t="inlineStr">
        <is>
          <t>PR00</t>
        </is>
      </c>
      <c r="I220" s="8" t="n">
        <v>72</v>
      </c>
      <c r="J220" s="9" t="n">
        <v>0</v>
      </c>
      <c r="K220" s="10">
        <f>I220*(1-J220)</f>
        <v/>
      </c>
      <c r="L220" s="11" t="n">
        <v>1</v>
      </c>
      <c r="M220" s="10">
        <f>K220*L220</f>
        <v/>
      </c>
      <c r="N220" s="8" t="n">
        <v>36.11</v>
      </c>
      <c r="O220" s="10">
        <f>N220*L220</f>
        <v/>
      </c>
      <c r="P220" s="10">
        <f>M220-O220</f>
        <v/>
      </c>
      <c r="Q220" s="11" t="inlineStr">
        <is>
          <t>No</t>
        </is>
      </c>
      <c r="R220" s="11" t="n">
        <v>0</v>
      </c>
      <c r="S220" s="10">
        <f>M220-(R220*K220)</f>
        <v/>
      </c>
      <c r="T220" s="12">
        <f>VLOOKUP(E220,Dim_Product!$A$2:$Q$61,3,FALSE)</f>
        <v/>
      </c>
      <c r="U220" s="12">
        <f>VLOOKUP(E220,Dim_Product!$A$2:$Q$61,4,FALSE)</f>
        <v/>
      </c>
      <c r="V220" s="12">
        <f>VLOOKUP(D220,Dim_Customer!$A$2:$I$121,6,FALSE)</f>
        <v/>
      </c>
      <c r="W220" s="12">
        <f>VLOOKUP(G220,Dim_Channel!$A$2:$B$5,2,FALSE)</f>
        <v/>
      </c>
      <c r="X220" s="12">
        <f>VLOOKUP(H220,Dim_Promotion!$A$2:$G$11,2,FALSE)</f>
        <v/>
      </c>
    </row>
    <row r="221">
      <c r="A221" s="4" t="inlineStr">
        <is>
          <t>SL0220</t>
        </is>
      </c>
      <c r="B221" t="inlineStr">
        <is>
          <t>O010110</t>
        </is>
      </c>
      <c r="C221" t="n">
        <v>20250423</v>
      </c>
      <c r="D221" s="4" t="inlineStr">
        <is>
          <t>C030</t>
        </is>
      </c>
      <c r="E221" s="4" t="inlineStr">
        <is>
          <t>P047</t>
        </is>
      </c>
      <c r="F221" t="inlineStr">
        <is>
          <t>S</t>
        </is>
      </c>
      <c r="G221" s="4" t="inlineStr">
        <is>
          <t>CH03</t>
        </is>
      </c>
      <c r="H221" s="4" t="inlineStr">
        <is>
          <t>PR00</t>
        </is>
      </c>
      <c r="I221" s="8" t="n">
        <v>72</v>
      </c>
      <c r="J221" s="9" t="n">
        <v>0</v>
      </c>
      <c r="K221" s="10">
        <f>I221*(1-J221)</f>
        <v/>
      </c>
      <c r="L221" s="11" t="n">
        <v>1</v>
      </c>
      <c r="M221" s="10">
        <f>K221*L221</f>
        <v/>
      </c>
      <c r="N221" s="8" t="n">
        <v>30.55</v>
      </c>
      <c r="O221" s="10">
        <f>N221*L221</f>
        <v/>
      </c>
      <c r="P221" s="10">
        <f>M221-O221</f>
        <v/>
      </c>
      <c r="Q221" s="11" t="inlineStr">
        <is>
          <t>No</t>
        </is>
      </c>
      <c r="R221" s="11" t="n">
        <v>0</v>
      </c>
      <c r="S221" s="10">
        <f>M221-(R221*K221)</f>
        <v/>
      </c>
      <c r="T221" s="12">
        <f>VLOOKUP(E221,Dim_Product!$A$2:$Q$61,3,FALSE)</f>
        <v/>
      </c>
      <c r="U221" s="12">
        <f>VLOOKUP(E221,Dim_Product!$A$2:$Q$61,4,FALSE)</f>
        <v/>
      </c>
      <c r="V221" s="12">
        <f>VLOOKUP(D221,Dim_Customer!$A$2:$I$121,6,FALSE)</f>
        <v/>
      </c>
      <c r="W221" s="12">
        <f>VLOOKUP(G221,Dim_Channel!$A$2:$B$5,2,FALSE)</f>
        <v/>
      </c>
      <c r="X221" s="12">
        <f>VLOOKUP(H221,Dim_Promotion!$A$2:$G$11,2,FALSE)</f>
        <v/>
      </c>
    </row>
    <row r="222">
      <c r="A222" s="4" t="inlineStr">
        <is>
          <t>SL0221</t>
        </is>
      </c>
      <c r="B222" t="inlineStr">
        <is>
          <t>O010111</t>
        </is>
      </c>
      <c r="C222" t="n">
        <v>20251103</v>
      </c>
      <c r="D222" s="4" t="inlineStr">
        <is>
          <t>C071</t>
        </is>
      </c>
      <c r="E222" s="4" t="inlineStr">
        <is>
          <t>P056</t>
        </is>
      </c>
      <c r="F222" t="inlineStr">
        <is>
          <t>S</t>
        </is>
      </c>
      <c r="G222" s="4" t="inlineStr">
        <is>
          <t>CH04</t>
        </is>
      </c>
      <c r="H222" s="4" t="inlineStr">
        <is>
          <t>PR00</t>
        </is>
      </c>
      <c r="I222" s="8" t="n">
        <v>68</v>
      </c>
      <c r="J222" s="9" t="n">
        <v>0</v>
      </c>
      <c r="K222" s="10">
        <f>I222*(1-J222)</f>
        <v/>
      </c>
      <c r="L222" s="11" t="n">
        <v>1</v>
      </c>
      <c r="M222" s="10">
        <f>K222*L222</f>
        <v/>
      </c>
      <c r="N222" s="8" t="n">
        <v>32.74</v>
      </c>
      <c r="O222" s="10">
        <f>N222*L222</f>
        <v/>
      </c>
      <c r="P222" s="10">
        <f>M222-O222</f>
        <v/>
      </c>
      <c r="Q222" s="11" t="inlineStr">
        <is>
          <t>No</t>
        </is>
      </c>
      <c r="R222" s="11" t="n">
        <v>0</v>
      </c>
      <c r="S222" s="10">
        <f>M222-(R222*K222)</f>
        <v/>
      </c>
      <c r="T222" s="12">
        <f>VLOOKUP(E222,Dim_Product!$A$2:$Q$61,3,FALSE)</f>
        <v/>
      </c>
      <c r="U222" s="12">
        <f>VLOOKUP(E222,Dim_Product!$A$2:$Q$61,4,FALSE)</f>
        <v/>
      </c>
      <c r="V222" s="12">
        <f>VLOOKUP(D222,Dim_Customer!$A$2:$I$121,6,FALSE)</f>
        <v/>
      </c>
      <c r="W222" s="12">
        <f>VLOOKUP(G222,Dim_Channel!$A$2:$B$5,2,FALSE)</f>
        <v/>
      </c>
      <c r="X222" s="12">
        <f>VLOOKUP(H222,Dim_Promotion!$A$2:$G$11,2,FALSE)</f>
        <v/>
      </c>
    </row>
    <row r="223">
      <c r="A223" s="4" t="inlineStr">
        <is>
          <t>SL0222</t>
        </is>
      </c>
      <c r="B223" t="inlineStr">
        <is>
          <t>O010111</t>
        </is>
      </c>
      <c r="C223" t="n">
        <v>20251107</v>
      </c>
      <c r="D223" s="4" t="inlineStr">
        <is>
          <t>C030</t>
        </is>
      </c>
      <c r="E223" s="4" t="inlineStr">
        <is>
          <t>P011</t>
        </is>
      </c>
      <c r="F223" t="inlineStr">
        <is>
          <t>L</t>
        </is>
      </c>
      <c r="G223" s="4" t="inlineStr">
        <is>
          <t>CH01</t>
        </is>
      </c>
      <c r="H223" s="4" t="inlineStr">
        <is>
          <t>PR00</t>
        </is>
      </c>
      <c r="I223" s="8" t="n">
        <v>47</v>
      </c>
      <c r="J223" s="9" t="n">
        <v>0</v>
      </c>
      <c r="K223" s="10">
        <f>I223*(1-J223)</f>
        <v/>
      </c>
      <c r="L223" s="11" t="n">
        <v>1</v>
      </c>
      <c r="M223" s="10">
        <f>K223*L223</f>
        <v/>
      </c>
      <c r="N223" s="8" t="n">
        <v>20.52</v>
      </c>
      <c r="O223" s="10">
        <f>N223*L223</f>
        <v/>
      </c>
      <c r="P223" s="10">
        <f>M223-O223</f>
        <v/>
      </c>
      <c r="Q223" s="11" t="inlineStr">
        <is>
          <t>No</t>
        </is>
      </c>
      <c r="R223" s="11" t="n">
        <v>0</v>
      </c>
      <c r="S223" s="10">
        <f>M223-(R223*K223)</f>
        <v/>
      </c>
      <c r="T223" s="12">
        <f>VLOOKUP(E223,Dim_Product!$A$2:$Q$61,3,FALSE)</f>
        <v/>
      </c>
      <c r="U223" s="12">
        <f>VLOOKUP(E223,Dim_Product!$A$2:$Q$61,4,FALSE)</f>
        <v/>
      </c>
      <c r="V223" s="12">
        <f>VLOOKUP(D223,Dim_Customer!$A$2:$I$121,6,FALSE)</f>
        <v/>
      </c>
      <c r="W223" s="12">
        <f>VLOOKUP(G223,Dim_Channel!$A$2:$B$5,2,FALSE)</f>
        <v/>
      </c>
      <c r="X223" s="12">
        <f>VLOOKUP(H223,Dim_Promotion!$A$2:$G$11,2,FALSE)</f>
        <v/>
      </c>
    </row>
    <row r="224">
      <c r="A224" s="4" t="inlineStr">
        <is>
          <t>SL0223</t>
        </is>
      </c>
      <c r="B224" t="inlineStr">
        <is>
          <t>O010112</t>
        </is>
      </c>
      <c r="C224" t="n">
        <v>20250116</v>
      </c>
      <c r="D224" s="4" t="inlineStr">
        <is>
          <t>C048</t>
        </is>
      </c>
      <c r="E224" s="4" t="inlineStr">
        <is>
          <t>P036</t>
        </is>
      </c>
      <c r="F224" t="inlineStr">
        <is>
          <t>XXL</t>
        </is>
      </c>
      <c r="G224" s="4" t="inlineStr">
        <is>
          <t>CH04</t>
        </is>
      </c>
      <c r="H224" s="4" t="inlineStr">
        <is>
          <t>PR00</t>
        </is>
      </c>
      <c r="I224" s="8" t="n">
        <v>90</v>
      </c>
      <c r="J224" s="9" t="n">
        <v>0</v>
      </c>
      <c r="K224" s="10">
        <f>I224*(1-J224)</f>
        <v/>
      </c>
      <c r="L224" s="11" t="n">
        <v>1</v>
      </c>
      <c r="M224" s="10">
        <f>K224*L224</f>
        <v/>
      </c>
      <c r="N224" s="8" t="n">
        <v>41.72</v>
      </c>
      <c r="O224" s="10">
        <f>N224*L224</f>
        <v/>
      </c>
      <c r="P224" s="10">
        <f>M224-O224</f>
        <v/>
      </c>
      <c r="Q224" s="11" t="inlineStr">
        <is>
          <t>No</t>
        </is>
      </c>
      <c r="R224" s="11" t="n">
        <v>0</v>
      </c>
      <c r="S224" s="10">
        <f>M224-(R224*K224)</f>
        <v/>
      </c>
      <c r="T224" s="12">
        <f>VLOOKUP(E224,Dim_Product!$A$2:$Q$61,3,FALSE)</f>
        <v/>
      </c>
      <c r="U224" s="12">
        <f>VLOOKUP(E224,Dim_Product!$A$2:$Q$61,4,FALSE)</f>
        <v/>
      </c>
      <c r="V224" s="12">
        <f>VLOOKUP(D224,Dim_Customer!$A$2:$I$121,6,FALSE)</f>
        <v/>
      </c>
      <c r="W224" s="12">
        <f>VLOOKUP(G224,Dim_Channel!$A$2:$B$5,2,FALSE)</f>
        <v/>
      </c>
      <c r="X224" s="12">
        <f>VLOOKUP(H224,Dim_Promotion!$A$2:$G$11,2,FALSE)</f>
        <v/>
      </c>
    </row>
    <row r="225">
      <c r="A225" s="4" t="inlineStr">
        <is>
          <t>SL0224</t>
        </is>
      </c>
      <c r="B225" t="inlineStr">
        <is>
          <t>O010112</t>
        </is>
      </c>
      <c r="C225" t="n">
        <v>20250126</v>
      </c>
      <c r="D225" s="4" t="inlineStr">
        <is>
          <t>C055</t>
        </is>
      </c>
      <c r="E225" s="4" t="inlineStr">
        <is>
          <t>P027</t>
        </is>
      </c>
      <c r="F225" t="inlineStr">
        <is>
          <t>L</t>
        </is>
      </c>
      <c r="G225" s="4" t="inlineStr">
        <is>
          <t>CH01</t>
        </is>
      </c>
      <c r="H225" s="4" t="inlineStr">
        <is>
          <t>PR00</t>
        </is>
      </c>
      <c r="I225" s="8" t="n">
        <v>91</v>
      </c>
      <c r="J225" s="9" t="n">
        <v>0</v>
      </c>
      <c r="K225" s="10">
        <f>I225*(1-J225)</f>
        <v/>
      </c>
      <c r="L225" s="11" t="n">
        <v>1</v>
      </c>
      <c r="M225" s="10">
        <f>K225*L225</f>
        <v/>
      </c>
      <c r="N225" s="8" t="n">
        <v>45.34</v>
      </c>
      <c r="O225" s="10">
        <f>N225*L225</f>
        <v/>
      </c>
      <c r="P225" s="10">
        <f>M225-O225</f>
        <v/>
      </c>
      <c r="Q225" s="11" t="inlineStr">
        <is>
          <t>No</t>
        </is>
      </c>
      <c r="R225" s="11" t="n">
        <v>0</v>
      </c>
      <c r="S225" s="10">
        <f>M225-(R225*K225)</f>
        <v/>
      </c>
      <c r="T225" s="12">
        <f>VLOOKUP(E225,Dim_Product!$A$2:$Q$61,3,FALSE)</f>
        <v/>
      </c>
      <c r="U225" s="12">
        <f>VLOOKUP(E225,Dim_Product!$A$2:$Q$61,4,FALSE)</f>
        <v/>
      </c>
      <c r="V225" s="12">
        <f>VLOOKUP(D225,Dim_Customer!$A$2:$I$121,6,FALSE)</f>
        <v/>
      </c>
      <c r="W225" s="12">
        <f>VLOOKUP(G225,Dim_Channel!$A$2:$B$5,2,FALSE)</f>
        <v/>
      </c>
      <c r="X225" s="12">
        <f>VLOOKUP(H225,Dim_Promotion!$A$2:$G$11,2,FALSE)</f>
        <v/>
      </c>
    </row>
    <row r="226">
      <c r="A226" s="4" t="inlineStr">
        <is>
          <t>SL0225</t>
        </is>
      </c>
      <c r="B226" t="inlineStr">
        <is>
          <t>O010113</t>
        </is>
      </c>
      <c r="C226" t="n">
        <v>20250107</v>
      </c>
      <c r="D226" s="4" t="inlineStr">
        <is>
          <t>C049</t>
        </is>
      </c>
      <c r="E226" s="4" t="inlineStr">
        <is>
          <t>P034</t>
        </is>
      </c>
      <c r="F226" t="inlineStr">
        <is>
          <t>L</t>
        </is>
      </c>
      <c r="G226" s="4" t="inlineStr">
        <is>
          <t>CH01</t>
        </is>
      </c>
      <c r="H226" s="4" t="inlineStr">
        <is>
          <t>PR00</t>
        </is>
      </c>
      <c r="I226" s="8" t="n">
        <v>91</v>
      </c>
      <c r="J226" s="9" t="n">
        <v>0</v>
      </c>
      <c r="K226" s="10">
        <f>I226*(1-J226)</f>
        <v/>
      </c>
      <c r="L226" s="11" t="n">
        <v>3</v>
      </c>
      <c r="M226" s="10">
        <f>K226*L226</f>
        <v/>
      </c>
      <c r="N226" s="8" t="n">
        <v>44.03</v>
      </c>
      <c r="O226" s="10">
        <f>N226*L226</f>
        <v/>
      </c>
      <c r="P226" s="10">
        <f>M226-O226</f>
        <v/>
      </c>
      <c r="Q226" s="11" t="inlineStr">
        <is>
          <t>No</t>
        </is>
      </c>
      <c r="R226" s="11" t="n">
        <v>0</v>
      </c>
      <c r="S226" s="10">
        <f>M226-(R226*K226)</f>
        <v/>
      </c>
      <c r="T226" s="12">
        <f>VLOOKUP(E226,Dim_Product!$A$2:$Q$61,3,FALSE)</f>
        <v/>
      </c>
      <c r="U226" s="12">
        <f>VLOOKUP(E226,Dim_Product!$A$2:$Q$61,4,FALSE)</f>
        <v/>
      </c>
      <c r="V226" s="12">
        <f>VLOOKUP(D226,Dim_Customer!$A$2:$I$121,6,FALSE)</f>
        <v/>
      </c>
      <c r="W226" s="12">
        <f>VLOOKUP(G226,Dim_Channel!$A$2:$B$5,2,FALSE)</f>
        <v/>
      </c>
      <c r="X226" s="12">
        <f>VLOOKUP(H226,Dim_Promotion!$A$2:$G$11,2,FALSE)</f>
        <v/>
      </c>
    </row>
    <row r="227">
      <c r="A227" s="4" t="inlineStr">
        <is>
          <t>SL0226</t>
        </is>
      </c>
      <c r="B227" t="inlineStr">
        <is>
          <t>O010113</t>
        </is>
      </c>
      <c r="C227" t="n">
        <v>20250614</v>
      </c>
      <c r="D227" s="4" t="inlineStr">
        <is>
          <t>C090</t>
        </is>
      </c>
      <c r="E227" s="4" t="inlineStr">
        <is>
          <t>P044</t>
        </is>
      </c>
      <c r="F227" t="inlineStr">
        <is>
          <t>S</t>
        </is>
      </c>
      <c r="G227" s="4" t="inlineStr">
        <is>
          <t>CH03</t>
        </is>
      </c>
      <c r="H227" s="4" t="inlineStr">
        <is>
          <t>PR00</t>
        </is>
      </c>
      <c r="I227" s="8" t="n">
        <v>80</v>
      </c>
      <c r="J227" s="9" t="n">
        <v>0</v>
      </c>
      <c r="K227" s="10">
        <f>I227*(1-J227)</f>
        <v/>
      </c>
      <c r="L227" s="11" t="n">
        <v>1</v>
      </c>
      <c r="M227" s="10">
        <f>K227*L227</f>
        <v/>
      </c>
      <c r="N227" s="8" t="n">
        <v>36.01</v>
      </c>
      <c r="O227" s="10">
        <f>N227*L227</f>
        <v/>
      </c>
      <c r="P227" s="10">
        <f>M227-O227</f>
        <v/>
      </c>
      <c r="Q227" s="11" t="inlineStr">
        <is>
          <t>No</t>
        </is>
      </c>
      <c r="R227" s="11" t="n">
        <v>0</v>
      </c>
      <c r="S227" s="10">
        <f>M227-(R227*K227)</f>
        <v/>
      </c>
      <c r="T227" s="12">
        <f>VLOOKUP(E227,Dim_Product!$A$2:$Q$61,3,FALSE)</f>
        <v/>
      </c>
      <c r="U227" s="12">
        <f>VLOOKUP(E227,Dim_Product!$A$2:$Q$61,4,FALSE)</f>
        <v/>
      </c>
      <c r="V227" s="12">
        <f>VLOOKUP(D227,Dim_Customer!$A$2:$I$121,6,FALSE)</f>
        <v/>
      </c>
      <c r="W227" s="12">
        <f>VLOOKUP(G227,Dim_Channel!$A$2:$B$5,2,FALSE)</f>
        <v/>
      </c>
      <c r="X227" s="12">
        <f>VLOOKUP(H227,Dim_Promotion!$A$2:$G$11,2,FALSE)</f>
        <v/>
      </c>
    </row>
    <row r="228">
      <c r="A228" s="4" t="inlineStr">
        <is>
          <t>SL0227</t>
        </is>
      </c>
      <c r="B228" t="inlineStr">
        <is>
          <t>O010114</t>
        </is>
      </c>
      <c r="C228" t="n">
        <v>20251118</v>
      </c>
      <c r="D228" s="4" t="inlineStr">
        <is>
          <t>C056</t>
        </is>
      </c>
      <c r="E228" s="4" t="inlineStr">
        <is>
          <t>P051</t>
        </is>
      </c>
      <c r="F228" t="inlineStr">
        <is>
          <t>L</t>
        </is>
      </c>
      <c r="G228" s="4" t="inlineStr">
        <is>
          <t>CH03</t>
        </is>
      </c>
      <c r="H228" s="4" t="inlineStr">
        <is>
          <t>PR00</t>
        </is>
      </c>
      <c r="I228" s="8" t="n">
        <v>68</v>
      </c>
      <c r="J228" s="9" t="n">
        <v>0</v>
      </c>
      <c r="K228" s="10">
        <f>I228*(1-J228)</f>
        <v/>
      </c>
      <c r="L228" s="11" t="n">
        <v>1</v>
      </c>
      <c r="M228" s="10">
        <f>K228*L228</f>
        <v/>
      </c>
      <c r="N228" s="8" t="n">
        <v>29.29</v>
      </c>
      <c r="O228" s="10">
        <f>N228*L228</f>
        <v/>
      </c>
      <c r="P228" s="10">
        <f>M228-O228</f>
        <v/>
      </c>
      <c r="Q228" s="11" t="inlineStr">
        <is>
          <t>No</t>
        </is>
      </c>
      <c r="R228" s="11" t="n">
        <v>0</v>
      </c>
      <c r="S228" s="10">
        <f>M228-(R228*K228)</f>
        <v/>
      </c>
      <c r="T228" s="12">
        <f>VLOOKUP(E228,Dim_Product!$A$2:$Q$61,3,FALSE)</f>
        <v/>
      </c>
      <c r="U228" s="12">
        <f>VLOOKUP(E228,Dim_Product!$A$2:$Q$61,4,FALSE)</f>
        <v/>
      </c>
      <c r="V228" s="12">
        <f>VLOOKUP(D228,Dim_Customer!$A$2:$I$121,6,FALSE)</f>
        <v/>
      </c>
      <c r="W228" s="12">
        <f>VLOOKUP(G228,Dim_Channel!$A$2:$B$5,2,FALSE)</f>
        <v/>
      </c>
      <c r="X228" s="12">
        <f>VLOOKUP(H228,Dim_Promotion!$A$2:$G$11,2,FALSE)</f>
        <v/>
      </c>
    </row>
    <row r="229">
      <c r="A229" s="4" t="inlineStr">
        <is>
          <t>SL0228</t>
        </is>
      </c>
      <c r="B229" t="inlineStr">
        <is>
          <t>O010114</t>
        </is>
      </c>
      <c r="C229" t="n">
        <v>20251117</v>
      </c>
      <c r="D229" s="4" t="inlineStr">
        <is>
          <t>C069</t>
        </is>
      </c>
      <c r="E229" s="4" t="inlineStr">
        <is>
          <t>P017</t>
        </is>
      </c>
      <c r="F229" t="inlineStr">
        <is>
          <t>M</t>
        </is>
      </c>
      <c r="G229" s="4" t="inlineStr">
        <is>
          <t>CH01</t>
        </is>
      </c>
      <c r="H229" s="4" t="inlineStr">
        <is>
          <t>PR00</t>
        </is>
      </c>
      <c r="I229" s="8" t="n">
        <v>69</v>
      </c>
      <c r="J229" s="9" t="n">
        <v>0.08</v>
      </c>
      <c r="K229" s="10">
        <f>I229*(1-J229)</f>
        <v/>
      </c>
      <c r="L229" s="11" t="n">
        <v>2</v>
      </c>
      <c r="M229" s="10">
        <f>K229*L229</f>
        <v/>
      </c>
      <c r="N229" s="8" t="n">
        <v>31.54</v>
      </c>
      <c r="O229" s="10">
        <f>N229*L229</f>
        <v/>
      </c>
      <c r="P229" s="10">
        <f>M229-O229</f>
        <v/>
      </c>
      <c r="Q229" s="11" t="inlineStr">
        <is>
          <t>No</t>
        </is>
      </c>
      <c r="R229" s="11" t="n">
        <v>0</v>
      </c>
      <c r="S229" s="10">
        <f>M229-(R229*K229)</f>
        <v/>
      </c>
      <c r="T229" s="12">
        <f>VLOOKUP(E229,Dim_Product!$A$2:$Q$61,3,FALSE)</f>
        <v/>
      </c>
      <c r="U229" s="12">
        <f>VLOOKUP(E229,Dim_Product!$A$2:$Q$61,4,FALSE)</f>
        <v/>
      </c>
      <c r="V229" s="12">
        <f>VLOOKUP(D229,Dim_Customer!$A$2:$I$121,6,FALSE)</f>
        <v/>
      </c>
      <c r="W229" s="12">
        <f>VLOOKUP(G229,Dim_Channel!$A$2:$B$5,2,FALSE)</f>
        <v/>
      </c>
      <c r="X229" s="12">
        <f>VLOOKUP(H229,Dim_Promotion!$A$2:$G$11,2,FALSE)</f>
        <v/>
      </c>
    </row>
    <row r="230">
      <c r="A230" s="4" t="inlineStr">
        <is>
          <t>SL0229</t>
        </is>
      </c>
      <c r="B230" t="inlineStr">
        <is>
          <t>O010115</t>
        </is>
      </c>
      <c r="C230" t="n">
        <v>20250412</v>
      </c>
      <c r="D230" s="4" t="inlineStr">
        <is>
          <t>C072</t>
        </is>
      </c>
      <c r="E230" s="4" t="inlineStr">
        <is>
          <t>P019</t>
        </is>
      </c>
      <c r="F230" t="inlineStr">
        <is>
          <t>S</t>
        </is>
      </c>
      <c r="G230" s="4" t="inlineStr">
        <is>
          <t>CH02</t>
        </is>
      </c>
      <c r="H230" s="4" t="inlineStr">
        <is>
          <t>PR00</t>
        </is>
      </c>
      <c r="I230" s="8" t="n">
        <v>66</v>
      </c>
      <c r="J230" s="9" t="n">
        <v>0</v>
      </c>
      <c r="K230" s="10">
        <f>I230*(1-J230)</f>
        <v/>
      </c>
      <c r="L230" s="11" t="n">
        <v>1</v>
      </c>
      <c r="M230" s="10">
        <f>K230*L230</f>
        <v/>
      </c>
      <c r="N230" s="8" t="n">
        <v>32.61</v>
      </c>
      <c r="O230" s="10">
        <f>N230*L230</f>
        <v/>
      </c>
      <c r="P230" s="10">
        <f>M230-O230</f>
        <v/>
      </c>
      <c r="Q230" s="11" t="inlineStr">
        <is>
          <t>No</t>
        </is>
      </c>
      <c r="R230" s="11" t="n">
        <v>0</v>
      </c>
      <c r="S230" s="10">
        <f>M230-(R230*K230)</f>
        <v/>
      </c>
      <c r="T230" s="12">
        <f>VLOOKUP(E230,Dim_Product!$A$2:$Q$61,3,FALSE)</f>
        <v/>
      </c>
      <c r="U230" s="12">
        <f>VLOOKUP(E230,Dim_Product!$A$2:$Q$61,4,FALSE)</f>
        <v/>
      </c>
      <c r="V230" s="12">
        <f>VLOOKUP(D230,Dim_Customer!$A$2:$I$121,6,FALSE)</f>
        <v/>
      </c>
      <c r="W230" s="12">
        <f>VLOOKUP(G230,Dim_Channel!$A$2:$B$5,2,FALSE)</f>
        <v/>
      </c>
      <c r="X230" s="12">
        <f>VLOOKUP(H230,Dim_Promotion!$A$2:$G$11,2,FALSE)</f>
        <v/>
      </c>
    </row>
    <row r="231">
      <c r="A231" s="4" t="inlineStr">
        <is>
          <t>SL0230</t>
        </is>
      </c>
      <c r="B231" t="inlineStr">
        <is>
          <t>O010115</t>
        </is>
      </c>
      <c r="C231" t="n">
        <v>20251012</v>
      </c>
      <c r="D231" s="4" t="inlineStr">
        <is>
          <t>C042</t>
        </is>
      </c>
      <c r="E231" s="4" t="inlineStr">
        <is>
          <t>P040</t>
        </is>
      </c>
      <c r="F231" t="inlineStr">
        <is>
          <t>M</t>
        </is>
      </c>
      <c r="G231" s="4" t="inlineStr">
        <is>
          <t>CH04</t>
        </is>
      </c>
      <c r="H231" s="4" t="inlineStr">
        <is>
          <t>PR00</t>
        </is>
      </c>
      <c r="I231" s="8" t="n">
        <v>70</v>
      </c>
      <c r="J231" s="9" t="n">
        <v>0</v>
      </c>
      <c r="K231" s="10">
        <f>I231*(1-J231)</f>
        <v/>
      </c>
      <c r="L231" s="11" t="n">
        <v>2</v>
      </c>
      <c r="M231" s="10">
        <f>K231*L231</f>
        <v/>
      </c>
      <c r="N231" s="8" t="n">
        <v>34.63</v>
      </c>
      <c r="O231" s="10">
        <f>N231*L231</f>
        <v/>
      </c>
      <c r="P231" s="10">
        <f>M231-O231</f>
        <v/>
      </c>
      <c r="Q231" s="11" t="inlineStr">
        <is>
          <t>No</t>
        </is>
      </c>
      <c r="R231" s="11" t="n">
        <v>0</v>
      </c>
      <c r="S231" s="10">
        <f>M231-(R231*K231)</f>
        <v/>
      </c>
      <c r="T231" s="12">
        <f>VLOOKUP(E231,Dim_Product!$A$2:$Q$61,3,FALSE)</f>
        <v/>
      </c>
      <c r="U231" s="12">
        <f>VLOOKUP(E231,Dim_Product!$A$2:$Q$61,4,FALSE)</f>
        <v/>
      </c>
      <c r="V231" s="12">
        <f>VLOOKUP(D231,Dim_Customer!$A$2:$I$121,6,FALSE)</f>
        <v/>
      </c>
      <c r="W231" s="12">
        <f>VLOOKUP(G231,Dim_Channel!$A$2:$B$5,2,FALSE)</f>
        <v/>
      </c>
      <c r="X231" s="12">
        <f>VLOOKUP(H231,Dim_Promotion!$A$2:$G$11,2,FALSE)</f>
        <v/>
      </c>
    </row>
    <row r="232">
      <c r="A232" s="4" t="inlineStr">
        <is>
          <t>SL0231</t>
        </is>
      </c>
      <c r="B232" t="inlineStr">
        <is>
          <t>O010116</t>
        </is>
      </c>
      <c r="C232" t="n">
        <v>20250620</v>
      </c>
      <c r="D232" s="4" t="inlineStr">
        <is>
          <t>C074</t>
        </is>
      </c>
      <c r="E232" s="4" t="inlineStr">
        <is>
          <t>P005</t>
        </is>
      </c>
      <c r="F232" t="inlineStr">
        <is>
          <t>M</t>
        </is>
      </c>
      <c r="G232" s="4" t="inlineStr">
        <is>
          <t>CH02</t>
        </is>
      </c>
      <c r="H232" s="4" t="inlineStr">
        <is>
          <t>PR04</t>
        </is>
      </c>
      <c r="I232" s="8" t="n">
        <v>54</v>
      </c>
      <c r="J232" s="9" t="n">
        <v>0.12</v>
      </c>
      <c r="K232" s="10">
        <f>I232*(1-J232)</f>
        <v/>
      </c>
      <c r="L232" s="11" t="n">
        <v>1</v>
      </c>
      <c r="M232" s="10">
        <f>K232*L232</f>
        <v/>
      </c>
      <c r="N232" s="8" t="n">
        <v>19.93</v>
      </c>
      <c r="O232" s="10">
        <f>N232*L232</f>
        <v/>
      </c>
      <c r="P232" s="10">
        <f>M232-O232</f>
        <v/>
      </c>
      <c r="Q232" s="11" t="inlineStr">
        <is>
          <t>No</t>
        </is>
      </c>
      <c r="R232" s="11" t="n">
        <v>0</v>
      </c>
      <c r="S232" s="10">
        <f>M232-(R232*K232)</f>
        <v/>
      </c>
      <c r="T232" s="12">
        <f>VLOOKUP(E232,Dim_Product!$A$2:$Q$61,3,FALSE)</f>
        <v/>
      </c>
      <c r="U232" s="12">
        <f>VLOOKUP(E232,Dim_Product!$A$2:$Q$61,4,FALSE)</f>
        <v/>
      </c>
      <c r="V232" s="12">
        <f>VLOOKUP(D232,Dim_Customer!$A$2:$I$121,6,FALSE)</f>
        <v/>
      </c>
      <c r="W232" s="12">
        <f>VLOOKUP(G232,Dim_Channel!$A$2:$B$5,2,FALSE)</f>
        <v/>
      </c>
      <c r="X232" s="12">
        <f>VLOOKUP(H232,Dim_Promotion!$A$2:$G$11,2,FALSE)</f>
        <v/>
      </c>
    </row>
    <row r="233">
      <c r="A233" s="4" t="inlineStr">
        <is>
          <t>SL0232</t>
        </is>
      </c>
      <c r="B233" t="inlineStr">
        <is>
          <t>O010116</t>
        </is>
      </c>
      <c r="C233" t="n">
        <v>20251112</v>
      </c>
      <c r="D233" s="4" t="inlineStr">
        <is>
          <t>C096</t>
        </is>
      </c>
      <c r="E233" s="4" t="inlineStr">
        <is>
          <t>P023</t>
        </is>
      </c>
      <c r="F233" t="inlineStr">
        <is>
          <t>S</t>
        </is>
      </c>
      <c r="G233" s="4" t="inlineStr">
        <is>
          <t>CH03</t>
        </is>
      </c>
      <c r="H233" s="4" t="inlineStr">
        <is>
          <t>PR00</t>
        </is>
      </c>
      <c r="I233" s="8" t="n">
        <v>54</v>
      </c>
      <c r="J233" s="9" t="n">
        <v>0</v>
      </c>
      <c r="K233" s="10">
        <f>I233*(1-J233)</f>
        <v/>
      </c>
      <c r="L233" s="11" t="n">
        <v>1</v>
      </c>
      <c r="M233" s="10">
        <f>K233*L233</f>
        <v/>
      </c>
      <c r="N233" s="8" t="n">
        <v>26.1</v>
      </c>
      <c r="O233" s="10">
        <f>N233*L233</f>
        <v/>
      </c>
      <c r="P233" s="10">
        <f>M233-O233</f>
        <v/>
      </c>
      <c r="Q233" s="11" t="inlineStr">
        <is>
          <t>No</t>
        </is>
      </c>
      <c r="R233" s="11" t="n">
        <v>0</v>
      </c>
      <c r="S233" s="10">
        <f>M233-(R233*K233)</f>
        <v/>
      </c>
      <c r="T233" s="12">
        <f>VLOOKUP(E233,Dim_Product!$A$2:$Q$61,3,FALSE)</f>
        <v/>
      </c>
      <c r="U233" s="12">
        <f>VLOOKUP(E233,Dim_Product!$A$2:$Q$61,4,FALSE)</f>
        <v/>
      </c>
      <c r="V233" s="12">
        <f>VLOOKUP(D233,Dim_Customer!$A$2:$I$121,6,FALSE)</f>
        <v/>
      </c>
      <c r="W233" s="12">
        <f>VLOOKUP(G233,Dim_Channel!$A$2:$B$5,2,FALSE)</f>
        <v/>
      </c>
      <c r="X233" s="12">
        <f>VLOOKUP(H233,Dim_Promotion!$A$2:$G$11,2,FALSE)</f>
        <v/>
      </c>
    </row>
    <row r="234">
      <c r="A234" s="4" t="inlineStr">
        <is>
          <t>SL0233</t>
        </is>
      </c>
      <c r="B234" t="inlineStr">
        <is>
          <t>O010117</t>
        </is>
      </c>
      <c r="C234" t="n">
        <v>20251216</v>
      </c>
      <c r="D234" s="4" t="inlineStr">
        <is>
          <t>C071</t>
        </is>
      </c>
      <c r="E234" s="4" t="inlineStr">
        <is>
          <t>P022</t>
        </is>
      </c>
      <c r="F234" t="inlineStr">
        <is>
          <t>L</t>
        </is>
      </c>
      <c r="G234" s="4" t="inlineStr">
        <is>
          <t>CH03</t>
        </is>
      </c>
      <c r="H234" s="4" t="inlineStr">
        <is>
          <t>PR00</t>
        </is>
      </c>
      <c r="I234" s="8" t="n">
        <v>62</v>
      </c>
      <c r="J234" s="9" t="n">
        <v>0</v>
      </c>
      <c r="K234" s="10">
        <f>I234*(1-J234)</f>
        <v/>
      </c>
      <c r="L234" s="11" t="n">
        <v>2</v>
      </c>
      <c r="M234" s="10">
        <f>K234*L234</f>
        <v/>
      </c>
      <c r="N234" s="8" t="n">
        <v>25.52</v>
      </c>
      <c r="O234" s="10">
        <f>N234*L234</f>
        <v/>
      </c>
      <c r="P234" s="10">
        <f>M234-O234</f>
        <v/>
      </c>
      <c r="Q234" s="11" t="inlineStr">
        <is>
          <t>No</t>
        </is>
      </c>
      <c r="R234" s="11" t="n">
        <v>0</v>
      </c>
      <c r="S234" s="10">
        <f>M234-(R234*K234)</f>
        <v/>
      </c>
      <c r="T234" s="12">
        <f>VLOOKUP(E234,Dim_Product!$A$2:$Q$61,3,FALSE)</f>
        <v/>
      </c>
      <c r="U234" s="12">
        <f>VLOOKUP(E234,Dim_Product!$A$2:$Q$61,4,FALSE)</f>
        <v/>
      </c>
      <c r="V234" s="12">
        <f>VLOOKUP(D234,Dim_Customer!$A$2:$I$121,6,FALSE)</f>
        <v/>
      </c>
      <c r="W234" s="12">
        <f>VLOOKUP(G234,Dim_Channel!$A$2:$B$5,2,FALSE)</f>
        <v/>
      </c>
      <c r="X234" s="12">
        <f>VLOOKUP(H234,Dim_Promotion!$A$2:$G$11,2,FALSE)</f>
        <v/>
      </c>
    </row>
    <row r="235">
      <c r="A235" s="4" t="inlineStr">
        <is>
          <t>SL0234</t>
        </is>
      </c>
      <c r="B235" t="inlineStr">
        <is>
          <t>O010117</t>
        </is>
      </c>
      <c r="C235" t="n">
        <v>20251111</v>
      </c>
      <c r="D235" s="4" t="inlineStr">
        <is>
          <t>C111</t>
        </is>
      </c>
      <c r="E235" s="4" t="inlineStr">
        <is>
          <t>P031</t>
        </is>
      </c>
      <c r="F235" t="inlineStr">
        <is>
          <t>S</t>
        </is>
      </c>
      <c r="G235" s="4" t="inlineStr">
        <is>
          <t>CH04</t>
        </is>
      </c>
      <c r="H235" s="4" t="inlineStr">
        <is>
          <t>PR00</t>
        </is>
      </c>
      <c r="I235" s="8" t="n">
        <v>114</v>
      </c>
      <c r="J235" s="9" t="n">
        <v>0</v>
      </c>
      <c r="K235" s="10">
        <f>I235*(1-J235)</f>
        <v/>
      </c>
      <c r="L235" s="11" t="n">
        <v>1</v>
      </c>
      <c r="M235" s="10">
        <f>K235*L235</f>
        <v/>
      </c>
      <c r="N235" s="8" t="n">
        <v>56.37</v>
      </c>
      <c r="O235" s="10">
        <f>N235*L235</f>
        <v/>
      </c>
      <c r="P235" s="10">
        <f>M235-O235</f>
        <v/>
      </c>
      <c r="Q235" s="11" t="inlineStr">
        <is>
          <t>No</t>
        </is>
      </c>
      <c r="R235" s="11" t="n">
        <v>0</v>
      </c>
      <c r="S235" s="10">
        <f>M235-(R235*K235)</f>
        <v/>
      </c>
      <c r="T235" s="12">
        <f>VLOOKUP(E235,Dim_Product!$A$2:$Q$61,3,FALSE)</f>
        <v/>
      </c>
      <c r="U235" s="12">
        <f>VLOOKUP(E235,Dim_Product!$A$2:$Q$61,4,FALSE)</f>
        <v/>
      </c>
      <c r="V235" s="12">
        <f>VLOOKUP(D235,Dim_Customer!$A$2:$I$121,6,FALSE)</f>
        <v/>
      </c>
      <c r="W235" s="12">
        <f>VLOOKUP(G235,Dim_Channel!$A$2:$B$5,2,FALSE)</f>
        <v/>
      </c>
      <c r="X235" s="12">
        <f>VLOOKUP(H235,Dim_Promotion!$A$2:$G$11,2,FALSE)</f>
        <v/>
      </c>
    </row>
    <row r="236">
      <c r="A236" s="4" t="inlineStr">
        <is>
          <t>SL0235</t>
        </is>
      </c>
      <c r="B236" t="inlineStr">
        <is>
          <t>O010118</t>
        </is>
      </c>
      <c r="C236" t="n">
        <v>20250621</v>
      </c>
      <c r="D236" s="4" t="inlineStr">
        <is>
          <t>C082</t>
        </is>
      </c>
      <c r="E236" s="4" t="inlineStr">
        <is>
          <t>P027</t>
        </is>
      </c>
      <c r="F236" t="inlineStr">
        <is>
          <t>S</t>
        </is>
      </c>
      <c r="G236" s="4" t="inlineStr">
        <is>
          <t>CH02</t>
        </is>
      </c>
      <c r="H236" s="4" t="inlineStr">
        <is>
          <t>PR00</t>
        </is>
      </c>
      <c r="I236" s="8" t="n">
        <v>93</v>
      </c>
      <c r="J236" s="9" t="n">
        <v>0</v>
      </c>
      <c r="K236" s="10">
        <f>I236*(1-J236)</f>
        <v/>
      </c>
      <c r="L236" s="11" t="n">
        <v>1</v>
      </c>
      <c r="M236" s="10">
        <f>K236*L236</f>
        <v/>
      </c>
      <c r="N236" s="8" t="n">
        <v>44.1</v>
      </c>
      <c r="O236" s="10">
        <f>N236*L236</f>
        <v/>
      </c>
      <c r="P236" s="10">
        <f>M236-O236</f>
        <v/>
      </c>
      <c r="Q236" s="11" t="inlineStr">
        <is>
          <t>No</t>
        </is>
      </c>
      <c r="R236" s="11" t="n">
        <v>0</v>
      </c>
      <c r="S236" s="10">
        <f>M236-(R236*K236)</f>
        <v/>
      </c>
      <c r="T236" s="12">
        <f>VLOOKUP(E236,Dim_Product!$A$2:$Q$61,3,FALSE)</f>
        <v/>
      </c>
      <c r="U236" s="12">
        <f>VLOOKUP(E236,Dim_Product!$A$2:$Q$61,4,FALSE)</f>
        <v/>
      </c>
      <c r="V236" s="12">
        <f>VLOOKUP(D236,Dim_Customer!$A$2:$I$121,6,FALSE)</f>
        <v/>
      </c>
      <c r="W236" s="12">
        <f>VLOOKUP(G236,Dim_Channel!$A$2:$B$5,2,FALSE)</f>
        <v/>
      </c>
      <c r="X236" s="12">
        <f>VLOOKUP(H236,Dim_Promotion!$A$2:$G$11,2,FALSE)</f>
        <v/>
      </c>
    </row>
    <row r="237">
      <c r="A237" s="4" t="inlineStr">
        <is>
          <t>SL0236</t>
        </is>
      </c>
      <c r="B237" t="inlineStr">
        <is>
          <t>O010118</t>
        </is>
      </c>
      <c r="C237" t="n">
        <v>20251112</v>
      </c>
      <c r="D237" s="4" t="inlineStr">
        <is>
          <t>C037</t>
        </is>
      </c>
      <c r="E237" s="4" t="inlineStr">
        <is>
          <t>P027</t>
        </is>
      </c>
      <c r="F237" t="inlineStr">
        <is>
          <t>XL</t>
        </is>
      </c>
      <c r="G237" s="4" t="inlineStr">
        <is>
          <t>CH04</t>
        </is>
      </c>
      <c r="H237" s="4" t="inlineStr">
        <is>
          <t>PR00</t>
        </is>
      </c>
      <c r="I237" s="8" t="n">
        <v>93</v>
      </c>
      <c r="J237" s="9" t="n">
        <v>0.08</v>
      </c>
      <c r="K237" s="10">
        <f>I237*(1-J237)</f>
        <v/>
      </c>
      <c r="L237" s="11" t="n">
        <v>1</v>
      </c>
      <c r="M237" s="10">
        <f>K237*L237</f>
        <v/>
      </c>
      <c r="N237" s="8" t="n">
        <v>46.25</v>
      </c>
      <c r="O237" s="10">
        <f>N237*L237</f>
        <v/>
      </c>
      <c r="P237" s="10">
        <f>M237-O237</f>
        <v/>
      </c>
      <c r="Q237" s="11" t="inlineStr">
        <is>
          <t>No</t>
        </is>
      </c>
      <c r="R237" s="11" t="n">
        <v>0</v>
      </c>
      <c r="S237" s="10">
        <f>M237-(R237*K237)</f>
        <v/>
      </c>
      <c r="T237" s="12">
        <f>VLOOKUP(E237,Dim_Product!$A$2:$Q$61,3,FALSE)</f>
        <v/>
      </c>
      <c r="U237" s="12">
        <f>VLOOKUP(E237,Dim_Product!$A$2:$Q$61,4,FALSE)</f>
        <v/>
      </c>
      <c r="V237" s="12">
        <f>VLOOKUP(D237,Dim_Customer!$A$2:$I$121,6,FALSE)</f>
        <v/>
      </c>
      <c r="W237" s="12">
        <f>VLOOKUP(G237,Dim_Channel!$A$2:$B$5,2,FALSE)</f>
        <v/>
      </c>
      <c r="X237" s="12">
        <f>VLOOKUP(H237,Dim_Promotion!$A$2:$G$11,2,FALSE)</f>
        <v/>
      </c>
    </row>
    <row r="238">
      <c r="A238" s="4" t="inlineStr">
        <is>
          <t>SL0237</t>
        </is>
      </c>
      <c r="B238" t="inlineStr">
        <is>
          <t>O010119</t>
        </is>
      </c>
      <c r="C238" t="n">
        <v>20250329</v>
      </c>
      <c r="D238" s="4" t="inlineStr">
        <is>
          <t>C072</t>
        </is>
      </c>
      <c r="E238" s="4" t="inlineStr">
        <is>
          <t>P024</t>
        </is>
      </c>
      <c r="F238" t="inlineStr">
        <is>
          <t>L</t>
        </is>
      </c>
      <c r="G238" s="4" t="inlineStr">
        <is>
          <t>CH02</t>
        </is>
      </c>
      <c r="H238" s="4" t="inlineStr">
        <is>
          <t>PR00</t>
        </is>
      </c>
      <c r="I238" s="8" t="n">
        <v>60</v>
      </c>
      <c r="J238" s="9" t="n">
        <v>0</v>
      </c>
      <c r="K238" s="10">
        <f>I238*(1-J238)</f>
        <v/>
      </c>
      <c r="L238" s="11" t="n">
        <v>1</v>
      </c>
      <c r="M238" s="10">
        <f>K238*L238</f>
        <v/>
      </c>
      <c r="N238" s="8" t="n">
        <v>27.14</v>
      </c>
      <c r="O238" s="10">
        <f>N238*L238</f>
        <v/>
      </c>
      <c r="P238" s="10">
        <f>M238-O238</f>
        <v/>
      </c>
      <c r="Q238" s="11" t="inlineStr">
        <is>
          <t>No</t>
        </is>
      </c>
      <c r="R238" s="11" t="n">
        <v>0</v>
      </c>
      <c r="S238" s="10">
        <f>M238-(R238*K238)</f>
        <v/>
      </c>
      <c r="T238" s="12">
        <f>VLOOKUP(E238,Dim_Product!$A$2:$Q$61,3,FALSE)</f>
        <v/>
      </c>
      <c r="U238" s="12">
        <f>VLOOKUP(E238,Dim_Product!$A$2:$Q$61,4,FALSE)</f>
        <v/>
      </c>
      <c r="V238" s="12">
        <f>VLOOKUP(D238,Dim_Customer!$A$2:$I$121,6,FALSE)</f>
        <v/>
      </c>
      <c r="W238" s="12">
        <f>VLOOKUP(G238,Dim_Channel!$A$2:$B$5,2,FALSE)</f>
        <v/>
      </c>
      <c r="X238" s="12">
        <f>VLOOKUP(H238,Dim_Promotion!$A$2:$G$11,2,FALSE)</f>
        <v/>
      </c>
    </row>
    <row r="239">
      <c r="A239" s="4" t="inlineStr">
        <is>
          <t>SL0238</t>
        </is>
      </c>
      <c r="B239" t="inlineStr">
        <is>
          <t>O010119</t>
        </is>
      </c>
      <c r="C239" t="n">
        <v>20251030</v>
      </c>
      <c r="D239" s="4" t="inlineStr">
        <is>
          <t>C079</t>
        </is>
      </c>
      <c r="E239" s="4" t="inlineStr">
        <is>
          <t>P048</t>
        </is>
      </c>
      <c r="F239" t="inlineStr">
        <is>
          <t>S</t>
        </is>
      </c>
      <c r="G239" s="4" t="inlineStr">
        <is>
          <t>CH03</t>
        </is>
      </c>
      <c r="H239" s="4" t="inlineStr">
        <is>
          <t>PR00</t>
        </is>
      </c>
      <c r="I239" s="8" t="n">
        <v>69</v>
      </c>
      <c r="J239" s="9" t="n">
        <v>0</v>
      </c>
      <c r="K239" s="10">
        <f>I239*(1-J239)</f>
        <v/>
      </c>
      <c r="L239" s="11" t="n">
        <v>1</v>
      </c>
      <c r="M239" s="10">
        <f>K239*L239</f>
        <v/>
      </c>
      <c r="N239" s="8" t="n">
        <v>32.48</v>
      </c>
      <c r="O239" s="10">
        <f>N239*L239</f>
        <v/>
      </c>
      <c r="P239" s="10">
        <f>M239-O239</f>
        <v/>
      </c>
      <c r="Q239" s="11" t="inlineStr">
        <is>
          <t>No</t>
        </is>
      </c>
      <c r="R239" s="11" t="n">
        <v>0</v>
      </c>
      <c r="S239" s="10">
        <f>M239-(R239*K239)</f>
        <v/>
      </c>
      <c r="T239" s="12">
        <f>VLOOKUP(E239,Dim_Product!$A$2:$Q$61,3,FALSE)</f>
        <v/>
      </c>
      <c r="U239" s="12">
        <f>VLOOKUP(E239,Dim_Product!$A$2:$Q$61,4,FALSE)</f>
        <v/>
      </c>
      <c r="V239" s="12">
        <f>VLOOKUP(D239,Dim_Customer!$A$2:$I$121,6,FALSE)</f>
        <v/>
      </c>
      <c r="W239" s="12">
        <f>VLOOKUP(G239,Dim_Channel!$A$2:$B$5,2,FALSE)</f>
        <v/>
      </c>
      <c r="X239" s="12">
        <f>VLOOKUP(H239,Dim_Promotion!$A$2:$G$11,2,FALSE)</f>
        <v/>
      </c>
    </row>
    <row r="240">
      <c r="A240" s="4" t="inlineStr">
        <is>
          <t>SL0239</t>
        </is>
      </c>
      <c r="B240" t="inlineStr">
        <is>
          <t>O010120</t>
        </is>
      </c>
      <c r="C240" t="n">
        <v>20250215</v>
      </c>
      <c r="D240" s="4" t="inlineStr">
        <is>
          <t>C080</t>
        </is>
      </c>
      <c r="E240" s="4" t="inlineStr">
        <is>
          <t>P026</t>
        </is>
      </c>
      <c r="F240" t="inlineStr">
        <is>
          <t>L</t>
        </is>
      </c>
      <c r="G240" s="4" t="inlineStr">
        <is>
          <t>CH01</t>
        </is>
      </c>
      <c r="H240" s="4" t="inlineStr">
        <is>
          <t>PR00</t>
        </is>
      </c>
      <c r="I240" s="8" t="n">
        <v>91</v>
      </c>
      <c r="J240" s="9" t="n">
        <v>0</v>
      </c>
      <c r="K240" s="10">
        <f>I240*(1-J240)</f>
        <v/>
      </c>
      <c r="L240" s="11" t="n">
        <v>2</v>
      </c>
      <c r="M240" s="10">
        <f>K240*L240</f>
        <v/>
      </c>
      <c r="N240" s="8" t="n">
        <v>44.83</v>
      </c>
      <c r="O240" s="10">
        <f>N240*L240</f>
        <v/>
      </c>
      <c r="P240" s="10">
        <f>M240-O240</f>
        <v/>
      </c>
      <c r="Q240" s="11" t="inlineStr">
        <is>
          <t>No</t>
        </is>
      </c>
      <c r="R240" s="11" t="n">
        <v>0</v>
      </c>
      <c r="S240" s="10">
        <f>M240-(R240*K240)</f>
        <v/>
      </c>
      <c r="T240" s="12">
        <f>VLOOKUP(E240,Dim_Product!$A$2:$Q$61,3,FALSE)</f>
        <v/>
      </c>
      <c r="U240" s="12">
        <f>VLOOKUP(E240,Dim_Product!$A$2:$Q$61,4,FALSE)</f>
        <v/>
      </c>
      <c r="V240" s="12">
        <f>VLOOKUP(D240,Dim_Customer!$A$2:$I$121,6,FALSE)</f>
        <v/>
      </c>
      <c r="W240" s="12">
        <f>VLOOKUP(G240,Dim_Channel!$A$2:$B$5,2,FALSE)</f>
        <v/>
      </c>
      <c r="X240" s="12">
        <f>VLOOKUP(H240,Dim_Promotion!$A$2:$G$11,2,FALSE)</f>
        <v/>
      </c>
    </row>
    <row r="241">
      <c r="A241" s="4" t="inlineStr">
        <is>
          <t>SL0240</t>
        </is>
      </c>
      <c r="B241" t="inlineStr">
        <is>
          <t>O010120</t>
        </is>
      </c>
      <c r="C241" t="n">
        <v>20251008</v>
      </c>
      <c r="D241" s="4" t="inlineStr">
        <is>
          <t>C012</t>
        </is>
      </c>
      <c r="E241" s="4" t="inlineStr">
        <is>
          <t>P008</t>
        </is>
      </c>
      <c r="F241" t="inlineStr">
        <is>
          <t>M</t>
        </is>
      </c>
      <c r="G241" s="4" t="inlineStr">
        <is>
          <t>CH01</t>
        </is>
      </c>
      <c r="H241" s="4" t="inlineStr">
        <is>
          <t>PR00</t>
        </is>
      </c>
      <c r="I241" s="8" t="n">
        <v>53</v>
      </c>
      <c r="J241" s="9" t="n">
        <v>0</v>
      </c>
      <c r="K241" s="10">
        <f>I241*(1-J241)</f>
        <v/>
      </c>
      <c r="L241" s="11" t="n">
        <v>1</v>
      </c>
      <c r="M241" s="10">
        <f>K241*L241</f>
        <v/>
      </c>
      <c r="N241" s="8" t="n">
        <v>22.58</v>
      </c>
      <c r="O241" s="10">
        <f>N241*L241</f>
        <v/>
      </c>
      <c r="P241" s="10">
        <f>M241-O241</f>
        <v/>
      </c>
      <c r="Q241" s="11" t="inlineStr">
        <is>
          <t>No</t>
        </is>
      </c>
      <c r="R241" s="11" t="n">
        <v>0</v>
      </c>
      <c r="S241" s="10">
        <f>M241-(R241*K241)</f>
        <v/>
      </c>
      <c r="T241" s="12">
        <f>VLOOKUP(E241,Dim_Product!$A$2:$Q$61,3,FALSE)</f>
        <v/>
      </c>
      <c r="U241" s="12">
        <f>VLOOKUP(E241,Dim_Product!$A$2:$Q$61,4,FALSE)</f>
        <v/>
      </c>
      <c r="V241" s="12">
        <f>VLOOKUP(D241,Dim_Customer!$A$2:$I$121,6,FALSE)</f>
        <v/>
      </c>
      <c r="W241" s="12">
        <f>VLOOKUP(G241,Dim_Channel!$A$2:$B$5,2,FALSE)</f>
        <v/>
      </c>
      <c r="X241" s="12">
        <f>VLOOKUP(H241,Dim_Promotion!$A$2:$G$11,2,FALSE)</f>
        <v/>
      </c>
    </row>
    <row r="242">
      <c r="A242" s="4" t="inlineStr">
        <is>
          <t>SL0241</t>
        </is>
      </c>
      <c r="B242" t="inlineStr">
        <is>
          <t>O010121</t>
        </is>
      </c>
      <c r="C242" t="n">
        <v>20251005</v>
      </c>
      <c r="D242" s="4" t="inlineStr">
        <is>
          <t>C008</t>
        </is>
      </c>
      <c r="E242" s="4" t="inlineStr">
        <is>
          <t>P015</t>
        </is>
      </c>
      <c r="F242" t="inlineStr">
        <is>
          <t>L</t>
        </is>
      </c>
      <c r="G242" s="4" t="inlineStr">
        <is>
          <t>CH01</t>
        </is>
      </c>
      <c r="H242" s="4" t="inlineStr">
        <is>
          <t>PR00</t>
        </is>
      </c>
      <c r="I242" s="8" t="n">
        <v>57</v>
      </c>
      <c r="J242" s="9" t="n">
        <v>0</v>
      </c>
      <c r="K242" s="10">
        <f>I242*(1-J242)</f>
        <v/>
      </c>
      <c r="L242" s="11" t="n">
        <v>2</v>
      </c>
      <c r="M242" s="10">
        <f>K242*L242</f>
        <v/>
      </c>
      <c r="N242" s="8" t="n">
        <v>25.67</v>
      </c>
      <c r="O242" s="10">
        <f>N242*L242</f>
        <v/>
      </c>
      <c r="P242" s="10">
        <f>M242-O242</f>
        <v/>
      </c>
      <c r="Q242" s="11" t="inlineStr">
        <is>
          <t>No</t>
        </is>
      </c>
      <c r="R242" s="11" t="n">
        <v>0</v>
      </c>
      <c r="S242" s="10">
        <f>M242-(R242*K242)</f>
        <v/>
      </c>
      <c r="T242" s="12">
        <f>VLOOKUP(E242,Dim_Product!$A$2:$Q$61,3,FALSE)</f>
        <v/>
      </c>
      <c r="U242" s="12">
        <f>VLOOKUP(E242,Dim_Product!$A$2:$Q$61,4,FALSE)</f>
        <v/>
      </c>
      <c r="V242" s="12">
        <f>VLOOKUP(D242,Dim_Customer!$A$2:$I$121,6,FALSE)</f>
        <v/>
      </c>
      <c r="W242" s="12">
        <f>VLOOKUP(G242,Dim_Channel!$A$2:$B$5,2,FALSE)</f>
        <v/>
      </c>
      <c r="X242" s="12">
        <f>VLOOKUP(H242,Dim_Promotion!$A$2:$G$11,2,FALSE)</f>
        <v/>
      </c>
    </row>
    <row r="243">
      <c r="A243" s="4" t="inlineStr">
        <is>
          <t>SL0242</t>
        </is>
      </c>
      <c r="B243" t="inlineStr">
        <is>
          <t>O010121</t>
        </is>
      </c>
      <c r="C243" t="n">
        <v>20250425</v>
      </c>
      <c r="D243" s="4" t="inlineStr">
        <is>
          <t>C057</t>
        </is>
      </c>
      <c r="E243" s="4" t="inlineStr">
        <is>
          <t>P011</t>
        </is>
      </c>
      <c r="F243" t="inlineStr">
        <is>
          <t>S</t>
        </is>
      </c>
      <c r="G243" s="4" t="inlineStr">
        <is>
          <t>CH04</t>
        </is>
      </c>
      <c r="H243" s="4" t="inlineStr">
        <is>
          <t>PR00</t>
        </is>
      </c>
      <c r="I243" s="8" t="n">
        <v>46</v>
      </c>
      <c r="J243" s="9" t="n">
        <v>0</v>
      </c>
      <c r="K243" s="10">
        <f>I243*(1-J243)</f>
        <v/>
      </c>
      <c r="L243" s="11" t="n">
        <v>3</v>
      </c>
      <c r="M243" s="10">
        <f>K243*L243</f>
        <v/>
      </c>
      <c r="N243" s="8" t="n">
        <v>19.79</v>
      </c>
      <c r="O243" s="10">
        <f>N243*L243</f>
        <v/>
      </c>
      <c r="P243" s="10">
        <f>M243-O243</f>
        <v/>
      </c>
      <c r="Q243" s="11" t="inlineStr">
        <is>
          <t>No</t>
        </is>
      </c>
      <c r="R243" s="11" t="n">
        <v>0</v>
      </c>
      <c r="S243" s="10">
        <f>M243-(R243*K243)</f>
        <v/>
      </c>
      <c r="T243" s="12">
        <f>VLOOKUP(E243,Dim_Product!$A$2:$Q$61,3,FALSE)</f>
        <v/>
      </c>
      <c r="U243" s="12">
        <f>VLOOKUP(E243,Dim_Product!$A$2:$Q$61,4,FALSE)</f>
        <v/>
      </c>
      <c r="V243" s="12">
        <f>VLOOKUP(D243,Dim_Customer!$A$2:$I$121,6,FALSE)</f>
        <v/>
      </c>
      <c r="W243" s="12">
        <f>VLOOKUP(G243,Dim_Channel!$A$2:$B$5,2,FALSE)</f>
        <v/>
      </c>
      <c r="X243" s="12">
        <f>VLOOKUP(H243,Dim_Promotion!$A$2:$G$11,2,FALSE)</f>
        <v/>
      </c>
    </row>
    <row r="244">
      <c r="A244" s="4" t="inlineStr">
        <is>
          <t>SL0243</t>
        </is>
      </c>
      <c r="B244" t="inlineStr">
        <is>
          <t>O010122</t>
        </is>
      </c>
      <c r="C244" t="n">
        <v>20251018</v>
      </c>
      <c r="D244" s="4" t="inlineStr">
        <is>
          <t>C067</t>
        </is>
      </c>
      <c r="E244" s="4" t="inlineStr">
        <is>
          <t>P007</t>
        </is>
      </c>
      <c r="F244" t="inlineStr">
        <is>
          <t>M</t>
        </is>
      </c>
      <c r="G244" s="4" t="inlineStr">
        <is>
          <t>CH01</t>
        </is>
      </c>
      <c r="H244" s="4" t="inlineStr">
        <is>
          <t>PR00</t>
        </is>
      </c>
      <c r="I244" s="8" t="n">
        <v>48</v>
      </c>
      <c r="J244" s="9" t="n">
        <v>0</v>
      </c>
      <c r="K244" s="10">
        <f>I244*(1-J244)</f>
        <v/>
      </c>
      <c r="L244" s="11" t="n">
        <v>1</v>
      </c>
      <c r="M244" s="10">
        <f>K244*L244</f>
        <v/>
      </c>
      <c r="N244" s="8" t="n">
        <v>22.13</v>
      </c>
      <c r="O244" s="10">
        <f>N244*L244</f>
        <v/>
      </c>
      <c r="P244" s="10">
        <f>M244-O244</f>
        <v/>
      </c>
      <c r="Q244" s="11" t="inlineStr">
        <is>
          <t>Yes</t>
        </is>
      </c>
      <c r="R244" s="11" t="n">
        <v>1</v>
      </c>
      <c r="S244" s="10">
        <f>M244-(R244*K244)</f>
        <v/>
      </c>
      <c r="T244" s="12">
        <f>VLOOKUP(E244,Dim_Product!$A$2:$Q$61,3,FALSE)</f>
        <v/>
      </c>
      <c r="U244" s="12">
        <f>VLOOKUP(E244,Dim_Product!$A$2:$Q$61,4,FALSE)</f>
        <v/>
      </c>
      <c r="V244" s="12">
        <f>VLOOKUP(D244,Dim_Customer!$A$2:$I$121,6,FALSE)</f>
        <v/>
      </c>
      <c r="W244" s="12">
        <f>VLOOKUP(G244,Dim_Channel!$A$2:$B$5,2,FALSE)</f>
        <v/>
      </c>
      <c r="X244" s="12">
        <f>VLOOKUP(H244,Dim_Promotion!$A$2:$G$11,2,FALSE)</f>
        <v/>
      </c>
    </row>
    <row r="245">
      <c r="A245" s="4" t="inlineStr">
        <is>
          <t>SL0244</t>
        </is>
      </c>
      <c r="B245" t="inlineStr">
        <is>
          <t>O010122</t>
        </is>
      </c>
      <c r="C245" t="n">
        <v>20250813</v>
      </c>
      <c r="D245" s="4" t="inlineStr">
        <is>
          <t>C102</t>
        </is>
      </c>
      <c r="E245" s="4" t="inlineStr">
        <is>
          <t>P034</t>
        </is>
      </c>
      <c r="F245" t="inlineStr">
        <is>
          <t>L</t>
        </is>
      </c>
      <c r="G245" s="4" t="inlineStr">
        <is>
          <t>CH01</t>
        </is>
      </c>
      <c r="H245" s="4" t="inlineStr">
        <is>
          <t>PR00</t>
        </is>
      </c>
      <c r="I245" s="8" t="n">
        <v>91</v>
      </c>
      <c r="J245" s="9" t="n">
        <v>0</v>
      </c>
      <c r="K245" s="10">
        <f>I245*(1-J245)</f>
        <v/>
      </c>
      <c r="L245" s="11" t="n">
        <v>1</v>
      </c>
      <c r="M245" s="10">
        <f>K245*L245</f>
        <v/>
      </c>
      <c r="N245" s="8" t="n">
        <v>44.75</v>
      </c>
      <c r="O245" s="10">
        <f>N245*L245</f>
        <v/>
      </c>
      <c r="P245" s="10">
        <f>M245-O245</f>
        <v/>
      </c>
      <c r="Q245" s="11" t="inlineStr">
        <is>
          <t>No</t>
        </is>
      </c>
      <c r="R245" s="11" t="n">
        <v>0</v>
      </c>
      <c r="S245" s="10">
        <f>M245-(R245*K245)</f>
        <v/>
      </c>
      <c r="T245" s="12">
        <f>VLOOKUP(E245,Dim_Product!$A$2:$Q$61,3,FALSE)</f>
        <v/>
      </c>
      <c r="U245" s="12">
        <f>VLOOKUP(E245,Dim_Product!$A$2:$Q$61,4,FALSE)</f>
        <v/>
      </c>
      <c r="V245" s="12">
        <f>VLOOKUP(D245,Dim_Customer!$A$2:$I$121,6,FALSE)</f>
        <v/>
      </c>
      <c r="W245" s="12">
        <f>VLOOKUP(G245,Dim_Channel!$A$2:$B$5,2,FALSE)</f>
        <v/>
      </c>
      <c r="X245" s="12">
        <f>VLOOKUP(H245,Dim_Promotion!$A$2:$G$11,2,FALSE)</f>
        <v/>
      </c>
    </row>
    <row r="246">
      <c r="A246" s="4" t="inlineStr">
        <is>
          <t>SL0245</t>
        </is>
      </c>
      <c r="B246" t="inlineStr">
        <is>
          <t>O010123</t>
        </is>
      </c>
      <c r="C246" t="n">
        <v>20251221</v>
      </c>
      <c r="D246" s="4" t="inlineStr">
        <is>
          <t>C008</t>
        </is>
      </c>
      <c r="E246" s="4" t="inlineStr">
        <is>
          <t>P004</t>
        </is>
      </c>
      <c r="F246" t="inlineStr">
        <is>
          <t>L</t>
        </is>
      </c>
      <c r="G246" s="4" t="inlineStr">
        <is>
          <t>CH03</t>
        </is>
      </c>
      <c r="H246" s="4" t="inlineStr">
        <is>
          <t>PR00</t>
        </is>
      </c>
      <c r="I246" s="8" t="n">
        <v>42</v>
      </c>
      <c r="J246" s="9" t="n">
        <v>0</v>
      </c>
      <c r="K246" s="10">
        <f>I246*(1-J246)</f>
        <v/>
      </c>
      <c r="L246" s="11" t="n">
        <v>1</v>
      </c>
      <c r="M246" s="10">
        <f>K246*L246</f>
        <v/>
      </c>
      <c r="N246" s="8" t="n">
        <v>19.26</v>
      </c>
      <c r="O246" s="10">
        <f>N246*L246</f>
        <v/>
      </c>
      <c r="P246" s="10">
        <f>M246-O246</f>
        <v/>
      </c>
      <c r="Q246" s="11" t="inlineStr">
        <is>
          <t>No</t>
        </is>
      </c>
      <c r="R246" s="11" t="n">
        <v>0</v>
      </c>
      <c r="S246" s="10">
        <f>M246-(R246*K246)</f>
        <v/>
      </c>
      <c r="T246" s="12">
        <f>VLOOKUP(E246,Dim_Product!$A$2:$Q$61,3,FALSE)</f>
        <v/>
      </c>
      <c r="U246" s="12">
        <f>VLOOKUP(E246,Dim_Product!$A$2:$Q$61,4,FALSE)</f>
        <v/>
      </c>
      <c r="V246" s="12">
        <f>VLOOKUP(D246,Dim_Customer!$A$2:$I$121,6,FALSE)</f>
        <v/>
      </c>
      <c r="W246" s="12">
        <f>VLOOKUP(G246,Dim_Channel!$A$2:$B$5,2,FALSE)</f>
        <v/>
      </c>
      <c r="X246" s="12">
        <f>VLOOKUP(H246,Dim_Promotion!$A$2:$G$11,2,FALSE)</f>
        <v/>
      </c>
    </row>
    <row r="247">
      <c r="A247" s="4" t="inlineStr">
        <is>
          <t>SL0246</t>
        </is>
      </c>
      <c r="B247" t="inlineStr">
        <is>
          <t>O010123</t>
        </is>
      </c>
      <c r="C247" t="n">
        <v>20250529</v>
      </c>
      <c r="D247" s="4" t="inlineStr">
        <is>
          <t>C057</t>
        </is>
      </c>
      <c r="E247" s="4" t="inlineStr">
        <is>
          <t>P043</t>
        </is>
      </c>
      <c r="F247" t="inlineStr">
        <is>
          <t>S</t>
        </is>
      </c>
      <c r="G247" s="4" t="inlineStr">
        <is>
          <t>CH04</t>
        </is>
      </c>
      <c r="H247" s="4" t="inlineStr">
        <is>
          <t>PR00</t>
        </is>
      </c>
      <c r="I247" s="8" t="n">
        <v>82</v>
      </c>
      <c r="J247" s="9" t="n">
        <v>0.08</v>
      </c>
      <c r="K247" s="10">
        <f>I247*(1-J247)</f>
        <v/>
      </c>
      <c r="L247" s="11" t="n">
        <v>1</v>
      </c>
      <c r="M247" s="10">
        <f>K247*L247</f>
        <v/>
      </c>
      <c r="N247" s="8" t="n">
        <v>38.83</v>
      </c>
      <c r="O247" s="10">
        <f>N247*L247</f>
        <v/>
      </c>
      <c r="P247" s="10">
        <f>M247-O247</f>
        <v/>
      </c>
      <c r="Q247" s="11" t="inlineStr">
        <is>
          <t>No</t>
        </is>
      </c>
      <c r="R247" s="11" t="n">
        <v>0</v>
      </c>
      <c r="S247" s="10">
        <f>M247-(R247*K247)</f>
        <v/>
      </c>
      <c r="T247" s="12">
        <f>VLOOKUP(E247,Dim_Product!$A$2:$Q$61,3,FALSE)</f>
        <v/>
      </c>
      <c r="U247" s="12">
        <f>VLOOKUP(E247,Dim_Product!$A$2:$Q$61,4,FALSE)</f>
        <v/>
      </c>
      <c r="V247" s="12">
        <f>VLOOKUP(D247,Dim_Customer!$A$2:$I$121,6,FALSE)</f>
        <v/>
      </c>
      <c r="W247" s="12">
        <f>VLOOKUP(G247,Dim_Channel!$A$2:$B$5,2,FALSE)</f>
        <v/>
      </c>
      <c r="X247" s="12">
        <f>VLOOKUP(H247,Dim_Promotion!$A$2:$G$11,2,FALSE)</f>
        <v/>
      </c>
    </row>
    <row r="248">
      <c r="A248" s="4" t="inlineStr">
        <is>
          <t>SL0247</t>
        </is>
      </c>
      <c r="B248" t="inlineStr">
        <is>
          <t>O010124</t>
        </is>
      </c>
      <c r="C248" t="n">
        <v>20250312</v>
      </c>
      <c r="D248" s="4" t="inlineStr">
        <is>
          <t>C042</t>
        </is>
      </c>
      <c r="E248" s="4" t="inlineStr">
        <is>
          <t>P043</t>
        </is>
      </c>
      <c r="F248" t="inlineStr">
        <is>
          <t>L</t>
        </is>
      </c>
      <c r="G248" s="4" t="inlineStr">
        <is>
          <t>CH04</t>
        </is>
      </c>
      <c r="H248" s="4" t="inlineStr">
        <is>
          <t>PR00</t>
        </is>
      </c>
      <c r="I248" s="8" t="n">
        <v>81</v>
      </c>
      <c r="J248" s="9" t="n">
        <v>0.05</v>
      </c>
      <c r="K248" s="10">
        <f>I248*(1-J248)</f>
        <v/>
      </c>
      <c r="L248" s="11" t="n">
        <v>1</v>
      </c>
      <c r="M248" s="10">
        <f>K248*L248</f>
        <v/>
      </c>
      <c r="N248" s="8" t="n">
        <v>37.84</v>
      </c>
      <c r="O248" s="10">
        <f>N248*L248</f>
        <v/>
      </c>
      <c r="P248" s="10">
        <f>M248-O248</f>
        <v/>
      </c>
      <c r="Q248" s="11" t="inlineStr">
        <is>
          <t>No</t>
        </is>
      </c>
      <c r="R248" s="11" t="n">
        <v>0</v>
      </c>
      <c r="S248" s="10">
        <f>M248-(R248*K248)</f>
        <v/>
      </c>
      <c r="T248" s="12">
        <f>VLOOKUP(E248,Dim_Product!$A$2:$Q$61,3,FALSE)</f>
        <v/>
      </c>
      <c r="U248" s="12">
        <f>VLOOKUP(E248,Dim_Product!$A$2:$Q$61,4,FALSE)</f>
        <v/>
      </c>
      <c r="V248" s="12">
        <f>VLOOKUP(D248,Dim_Customer!$A$2:$I$121,6,FALSE)</f>
        <v/>
      </c>
      <c r="W248" s="12">
        <f>VLOOKUP(G248,Dim_Channel!$A$2:$B$5,2,FALSE)</f>
        <v/>
      </c>
      <c r="X248" s="12">
        <f>VLOOKUP(H248,Dim_Promotion!$A$2:$G$11,2,FALSE)</f>
        <v/>
      </c>
    </row>
    <row r="249">
      <c r="A249" s="4" t="inlineStr">
        <is>
          <t>SL0248</t>
        </is>
      </c>
      <c r="B249" t="inlineStr">
        <is>
          <t>O010124</t>
        </is>
      </c>
      <c r="C249" t="n">
        <v>20250121</v>
      </c>
      <c r="D249" s="4" t="inlineStr">
        <is>
          <t>C065</t>
        </is>
      </c>
      <c r="E249" s="4" t="inlineStr">
        <is>
          <t>P021</t>
        </is>
      </c>
      <c r="F249" t="inlineStr">
        <is>
          <t>S</t>
        </is>
      </c>
      <c r="G249" s="4" t="inlineStr">
        <is>
          <t>CH04</t>
        </is>
      </c>
      <c r="H249" s="4" t="inlineStr">
        <is>
          <t>PR00</t>
        </is>
      </c>
      <c r="I249" s="8" t="n">
        <v>52</v>
      </c>
      <c r="J249" s="9" t="n">
        <v>0</v>
      </c>
      <c r="K249" s="10">
        <f>I249*(1-J249)</f>
        <v/>
      </c>
      <c r="L249" s="11" t="n">
        <v>1</v>
      </c>
      <c r="M249" s="10">
        <f>K249*L249</f>
        <v/>
      </c>
      <c r="N249" s="8" t="n">
        <v>28.35</v>
      </c>
      <c r="O249" s="10">
        <f>N249*L249</f>
        <v/>
      </c>
      <c r="P249" s="10">
        <f>M249-O249</f>
        <v/>
      </c>
      <c r="Q249" s="11" t="inlineStr">
        <is>
          <t>No</t>
        </is>
      </c>
      <c r="R249" s="11" t="n">
        <v>0</v>
      </c>
      <c r="S249" s="10">
        <f>M249-(R249*K249)</f>
        <v/>
      </c>
      <c r="T249" s="12">
        <f>VLOOKUP(E249,Dim_Product!$A$2:$Q$61,3,FALSE)</f>
        <v/>
      </c>
      <c r="U249" s="12">
        <f>VLOOKUP(E249,Dim_Product!$A$2:$Q$61,4,FALSE)</f>
        <v/>
      </c>
      <c r="V249" s="12">
        <f>VLOOKUP(D249,Dim_Customer!$A$2:$I$121,6,FALSE)</f>
        <v/>
      </c>
      <c r="W249" s="12">
        <f>VLOOKUP(G249,Dim_Channel!$A$2:$B$5,2,FALSE)</f>
        <v/>
      </c>
      <c r="X249" s="12">
        <f>VLOOKUP(H249,Dim_Promotion!$A$2:$G$11,2,FALSE)</f>
        <v/>
      </c>
    </row>
    <row r="250">
      <c r="A250" s="4" t="inlineStr">
        <is>
          <t>SL0249</t>
        </is>
      </c>
      <c r="B250" t="inlineStr">
        <is>
          <t>O010125</t>
        </is>
      </c>
      <c r="C250" t="n">
        <v>20250716</v>
      </c>
      <c r="D250" s="4" t="inlineStr">
        <is>
          <t>C099</t>
        </is>
      </c>
      <c r="E250" s="4" t="inlineStr">
        <is>
          <t>P006</t>
        </is>
      </c>
      <c r="F250" t="inlineStr">
        <is>
          <t>S</t>
        </is>
      </c>
      <c r="G250" s="4" t="inlineStr">
        <is>
          <t>CH03</t>
        </is>
      </c>
      <c r="H250" s="4" t="inlineStr">
        <is>
          <t>PR00</t>
        </is>
      </c>
      <c r="I250" s="8" t="n">
        <v>44</v>
      </c>
      <c r="J250" s="9" t="n">
        <v>0</v>
      </c>
      <c r="K250" s="10">
        <f>I250*(1-J250)</f>
        <v/>
      </c>
      <c r="L250" s="11" t="n">
        <v>1</v>
      </c>
      <c r="M250" s="10">
        <f>K250*L250</f>
        <v/>
      </c>
      <c r="N250" s="8" t="n">
        <v>21.19</v>
      </c>
      <c r="O250" s="10">
        <f>N250*L250</f>
        <v/>
      </c>
      <c r="P250" s="10">
        <f>M250-O250</f>
        <v/>
      </c>
      <c r="Q250" s="11" t="inlineStr">
        <is>
          <t>No</t>
        </is>
      </c>
      <c r="R250" s="11" t="n">
        <v>0</v>
      </c>
      <c r="S250" s="10">
        <f>M250-(R250*K250)</f>
        <v/>
      </c>
      <c r="T250" s="12">
        <f>VLOOKUP(E250,Dim_Product!$A$2:$Q$61,3,FALSE)</f>
        <v/>
      </c>
      <c r="U250" s="12">
        <f>VLOOKUP(E250,Dim_Product!$A$2:$Q$61,4,FALSE)</f>
        <v/>
      </c>
      <c r="V250" s="12">
        <f>VLOOKUP(D250,Dim_Customer!$A$2:$I$121,6,FALSE)</f>
        <v/>
      </c>
      <c r="W250" s="12">
        <f>VLOOKUP(G250,Dim_Channel!$A$2:$B$5,2,FALSE)</f>
        <v/>
      </c>
      <c r="X250" s="12">
        <f>VLOOKUP(H250,Dim_Promotion!$A$2:$G$11,2,FALSE)</f>
        <v/>
      </c>
    </row>
    <row r="251">
      <c r="A251" s="4" t="inlineStr">
        <is>
          <t>SL0250</t>
        </is>
      </c>
      <c r="B251" t="inlineStr">
        <is>
          <t>O010125</t>
        </is>
      </c>
      <c r="C251" t="n">
        <v>20250827</v>
      </c>
      <c r="D251" s="4" t="inlineStr">
        <is>
          <t>C050</t>
        </is>
      </c>
      <c r="E251" s="4" t="inlineStr">
        <is>
          <t>P039</t>
        </is>
      </c>
      <c r="F251" t="inlineStr">
        <is>
          <t>M</t>
        </is>
      </c>
      <c r="G251" s="4" t="inlineStr">
        <is>
          <t>CH01</t>
        </is>
      </c>
      <c r="H251" s="4" t="inlineStr">
        <is>
          <t>PR00</t>
        </is>
      </c>
      <c r="I251" s="8" t="n">
        <v>72</v>
      </c>
      <c r="J251" s="9" t="n">
        <v>0</v>
      </c>
      <c r="K251" s="10">
        <f>I251*(1-J251)</f>
        <v/>
      </c>
      <c r="L251" s="11" t="n">
        <v>1</v>
      </c>
      <c r="M251" s="10">
        <f>K251*L251</f>
        <v/>
      </c>
      <c r="N251" s="8" t="n">
        <v>37.27</v>
      </c>
      <c r="O251" s="10">
        <f>N251*L251</f>
        <v/>
      </c>
      <c r="P251" s="10">
        <f>M251-O251</f>
        <v/>
      </c>
      <c r="Q251" s="11" t="inlineStr">
        <is>
          <t>No</t>
        </is>
      </c>
      <c r="R251" s="11" t="n">
        <v>0</v>
      </c>
      <c r="S251" s="10">
        <f>M251-(R251*K251)</f>
        <v/>
      </c>
      <c r="T251" s="12">
        <f>VLOOKUP(E251,Dim_Product!$A$2:$Q$61,3,FALSE)</f>
        <v/>
      </c>
      <c r="U251" s="12">
        <f>VLOOKUP(E251,Dim_Product!$A$2:$Q$61,4,FALSE)</f>
        <v/>
      </c>
      <c r="V251" s="12">
        <f>VLOOKUP(D251,Dim_Customer!$A$2:$I$121,6,FALSE)</f>
        <v/>
      </c>
      <c r="W251" s="12">
        <f>VLOOKUP(G251,Dim_Channel!$A$2:$B$5,2,FALSE)</f>
        <v/>
      </c>
      <c r="X251" s="12">
        <f>VLOOKUP(H251,Dim_Promotion!$A$2:$G$11,2,FALSE)</f>
        <v/>
      </c>
    </row>
    <row r="252">
      <c r="A252" s="4" t="inlineStr">
        <is>
          <t>SL0251</t>
        </is>
      </c>
      <c r="B252" t="inlineStr">
        <is>
          <t>O010126</t>
        </is>
      </c>
      <c r="C252" t="n">
        <v>20251227</v>
      </c>
      <c r="D252" s="4" t="inlineStr">
        <is>
          <t>C011</t>
        </is>
      </c>
      <c r="E252" s="4" t="inlineStr">
        <is>
          <t>P027</t>
        </is>
      </c>
      <c r="F252" t="inlineStr">
        <is>
          <t>M</t>
        </is>
      </c>
      <c r="G252" s="4" t="inlineStr">
        <is>
          <t>CH04</t>
        </is>
      </c>
      <c r="H252" s="4" t="inlineStr">
        <is>
          <t>PR00</t>
        </is>
      </c>
      <c r="I252" s="8" t="n">
        <v>91</v>
      </c>
      <c r="J252" s="9" t="n">
        <v>0</v>
      </c>
      <c r="K252" s="10">
        <f>I252*(1-J252)</f>
        <v/>
      </c>
      <c r="L252" s="11" t="n">
        <v>2</v>
      </c>
      <c r="M252" s="10">
        <f>K252*L252</f>
        <v/>
      </c>
      <c r="N252" s="8" t="n">
        <v>44.82</v>
      </c>
      <c r="O252" s="10">
        <f>N252*L252</f>
        <v/>
      </c>
      <c r="P252" s="10">
        <f>M252-O252</f>
        <v/>
      </c>
      <c r="Q252" s="11" t="inlineStr">
        <is>
          <t>Yes</t>
        </is>
      </c>
      <c r="R252" s="11" t="n">
        <v>1</v>
      </c>
      <c r="S252" s="10">
        <f>M252-(R252*K252)</f>
        <v/>
      </c>
      <c r="T252" s="12">
        <f>VLOOKUP(E252,Dim_Product!$A$2:$Q$61,3,FALSE)</f>
        <v/>
      </c>
      <c r="U252" s="12">
        <f>VLOOKUP(E252,Dim_Product!$A$2:$Q$61,4,FALSE)</f>
        <v/>
      </c>
      <c r="V252" s="12">
        <f>VLOOKUP(D252,Dim_Customer!$A$2:$I$121,6,FALSE)</f>
        <v/>
      </c>
      <c r="W252" s="12">
        <f>VLOOKUP(G252,Dim_Channel!$A$2:$B$5,2,FALSE)</f>
        <v/>
      </c>
      <c r="X252" s="12">
        <f>VLOOKUP(H252,Dim_Promotion!$A$2:$G$11,2,FALSE)</f>
        <v/>
      </c>
    </row>
    <row r="253">
      <c r="A253" s="4" t="inlineStr">
        <is>
          <t>SL0252</t>
        </is>
      </c>
      <c r="B253" t="inlineStr">
        <is>
          <t>O010126</t>
        </is>
      </c>
      <c r="C253" t="n">
        <v>20251103</v>
      </c>
      <c r="D253" s="4" t="inlineStr">
        <is>
          <t>C028</t>
        </is>
      </c>
      <c r="E253" s="4" t="inlineStr">
        <is>
          <t>P058</t>
        </is>
      </c>
      <c r="F253" t="inlineStr">
        <is>
          <t>L</t>
        </is>
      </c>
      <c r="G253" s="4" t="inlineStr">
        <is>
          <t>CH02</t>
        </is>
      </c>
      <c r="H253" s="4" t="inlineStr">
        <is>
          <t>PR00</t>
        </is>
      </c>
      <c r="I253" s="8" t="n">
        <v>76</v>
      </c>
      <c r="J253" s="9" t="n">
        <v>0</v>
      </c>
      <c r="K253" s="10">
        <f>I253*(1-J253)</f>
        <v/>
      </c>
      <c r="L253" s="11" t="n">
        <v>1</v>
      </c>
      <c r="M253" s="10">
        <f>K253*L253</f>
        <v/>
      </c>
      <c r="N253" s="8" t="n">
        <v>36.51</v>
      </c>
      <c r="O253" s="10">
        <f>N253*L253</f>
        <v/>
      </c>
      <c r="P253" s="10">
        <f>M253-O253</f>
        <v/>
      </c>
      <c r="Q253" s="11" t="inlineStr">
        <is>
          <t>No</t>
        </is>
      </c>
      <c r="R253" s="11" t="n">
        <v>0</v>
      </c>
      <c r="S253" s="10">
        <f>M253-(R253*K253)</f>
        <v/>
      </c>
      <c r="T253" s="12">
        <f>VLOOKUP(E253,Dim_Product!$A$2:$Q$61,3,FALSE)</f>
        <v/>
      </c>
      <c r="U253" s="12">
        <f>VLOOKUP(E253,Dim_Product!$A$2:$Q$61,4,FALSE)</f>
        <v/>
      </c>
      <c r="V253" s="12">
        <f>VLOOKUP(D253,Dim_Customer!$A$2:$I$121,6,FALSE)</f>
        <v/>
      </c>
      <c r="W253" s="12">
        <f>VLOOKUP(G253,Dim_Channel!$A$2:$B$5,2,FALSE)</f>
        <v/>
      </c>
      <c r="X253" s="12">
        <f>VLOOKUP(H253,Dim_Promotion!$A$2:$G$11,2,FALSE)</f>
        <v/>
      </c>
    </row>
    <row r="254">
      <c r="A254" s="4" t="inlineStr">
        <is>
          <t>SL0253</t>
        </is>
      </c>
      <c r="B254" t="inlineStr">
        <is>
          <t>O010127</t>
        </is>
      </c>
      <c r="C254" t="n">
        <v>20250818</v>
      </c>
      <c r="D254" s="4" t="inlineStr">
        <is>
          <t>C054</t>
        </is>
      </c>
      <c r="E254" s="4" t="inlineStr">
        <is>
          <t>P034</t>
        </is>
      </c>
      <c r="F254" t="inlineStr">
        <is>
          <t>L</t>
        </is>
      </c>
      <c r="G254" s="4" t="inlineStr">
        <is>
          <t>CH01</t>
        </is>
      </c>
      <c r="H254" s="4" t="inlineStr">
        <is>
          <t>PR00</t>
        </is>
      </c>
      <c r="I254" s="8" t="n">
        <v>92</v>
      </c>
      <c r="J254" s="9" t="n">
        <v>0</v>
      </c>
      <c r="K254" s="10">
        <f>I254*(1-J254)</f>
        <v/>
      </c>
      <c r="L254" s="11" t="n">
        <v>1</v>
      </c>
      <c r="M254" s="10">
        <f>K254*L254</f>
        <v/>
      </c>
      <c r="N254" s="8" t="n">
        <v>44.01</v>
      </c>
      <c r="O254" s="10">
        <f>N254*L254</f>
        <v/>
      </c>
      <c r="P254" s="10">
        <f>M254-O254</f>
        <v/>
      </c>
      <c r="Q254" s="11" t="inlineStr">
        <is>
          <t>No</t>
        </is>
      </c>
      <c r="R254" s="11" t="n">
        <v>0</v>
      </c>
      <c r="S254" s="10">
        <f>M254-(R254*K254)</f>
        <v/>
      </c>
      <c r="T254" s="12">
        <f>VLOOKUP(E254,Dim_Product!$A$2:$Q$61,3,FALSE)</f>
        <v/>
      </c>
      <c r="U254" s="12">
        <f>VLOOKUP(E254,Dim_Product!$A$2:$Q$61,4,FALSE)</f>
        <v/>
      </c>
      <c r="V254" s="12">
        <f>VLOOKUP(D254,Dim_Customer!$A$2:$I$121,6,FALSE)</f>
        <v/>
      </c>
      <c r="W254" s="12">
        <f>VLOOKUP(G254,Dim_Channel!$A$2:$B$5,2,FALSE)</f>
        <v/>
      </c>
      <c r="X254" s="12">
        <f>VLOOKUP(H254,Dim_Promotion!$A$2:$G$11,2,FALSE)</f>
        <v/>
      </c>
    </row>
    <row r="255">
      <c r="A255" s="4" t="inlineStr">
        <is>
          <t>SL0254</t>
        </is>
      </c>
      <c r="B255" t="inlineStr">
        <is>
          <t>O010127</t>
        </is>
      </c>
      <c r="C255" t="n">
        <v>20251215</v>
      </c>
      <c r="D255" s="4" t="inlineStr">
        <is>
          <t>C120</t>
        </is>
      </c>
      <c r="E255" s="4" t="inlineStr">
        <is>
          <t>P020</t>
        </is>
      </c>
      <c r="F255" t="inlineStr">
        <is>
          <t>XL</t>
        </is>
      </c>
      <c r="G255" s="4" t="inlineStr">
        <is>
          <t>CH01</t>
        </is>
      </c>
      <c r="H255" s="4" t="inlineStr">
        <is>
          <t>PR00</t>
        </is>
      </c>
      <c r="I255" s="8" t="n">
        <v>65</v>
      </c>
      <c r="J255" s="9" t="n">
        <v>0</v>
      </c>
      <c r="K255" s="10">
        <f>I255*(1-J255)</f>
        <v/>
      </c>
      <c r="L255" s="11" t="n">
        <v>2</v>
      </c>
      <c r="M255" s="10">
        <f>K255*L255</f>
        <v/>
      </c>
      <c r="N255" s="8" t="n">
        <v>29.98</v>
      </c>
      <c r="O255" s="10">
        <f>N255*L255</f>
        <v/>
      </c>
      <c r="P255" s="10">
        <f>M255-O255</f>
        <v/>
      </c>
      <c r="Q255" s="11" t="inlineStr">
        <is>
          <t>No</t>
        </is>
      </c>
      <c r="R255" s="11" t="n">
        <v>0</v>
      </c>
      <c r="S255" s="10">
        <f>M255-(R255*K255)</f>
        <v/>
      </c>
      <c r="T255" s="12">
        <f>VLOOKUP(E255,Dim_Product!$A$2:$Q$61,3,FALSE)</f>
        <v/>
      </c>
      <c r="U255" s="12">
        <f>VLOOKUP(E255,Dim_Product!$A$2:$Q$61,4,FALSE)</f>
        <v/>
      </c>
      <c r="V255" s="12">
        <f>VLOOKUP(D255,Dim_Customer!$A$2:$I$121,6,FALSE)</f>
        <v/>
      </c>
      <c r="W255" s="12">
        <f>VLOOKUP(G255,Dim_Channel!$A$2:$B$5,2,FALSE)</f>
        <v/>
      </c>
      <c r="X255" s="12">
        <f>VLOOKUP(H255,Dim_Promotion!$A$2:$G$11,2,FALSE)</f>
        <v/>
      </c>
    </row>
    <row r="256">
      <c r="A256" s="4" t="inlineStr">
        <is>
          <t>SL0255</t>
        </is>
      </c>
      <c r="B256" t="inlineStr">
        <is>
          <t>O010128</t>
        </is>
      </c>
      <c r="C256" t="n">
        <v>20250813</v>
      </c>
      <c r="D256" s="4" t="inlineStr">
        <is>
          <t>C099</t>
        </is>
      </c>
      <c r="E256" s="4" t="inlineStr">
        <is>
          <t>P020</t>
        </is>
      </c>
      <c r="F256" t="inlineStr">
        <is>
          <t>XL</t>
        </is>
      </c>
      <c r="G256" s="4" t="inlineStr">
        <is>
          <t>CH01</t>
        </is>
      </c>
      <c r="H256" s="4" t="inlineStr">
        <is>
          <t>PR00</t>
        </is>
      </c>
      <c r="I256" s="8" t="n">
        <v>62</v>
      </c>
      <c r="J256" s="9" t="n">
        <v>0</v>
      </c>
      <c r="K256" s="10">
        <f>I256*(1-J256)</f>
        <v/>
      </c>
      <c r="L256" s="11" t="n">
        <v>1</v>
      </c>
      <c r="M256" s="10">
        <f>K256*L256</f>
        <v/>
      </c>
      <c r="N256" s="8" t="n">
        <v>31.19</v>
      </c>
      <c r="O256" s="10">
        <f>N256*L256</f>
        <v/>
      </c>
      <c r="P256" s="10">
        <f>M256-O256</f>
        <v/>
      </c>
      <c r="Q256" s="11" t="inlineStr">
        <is>
          <t>No</t>
        </is>
      </c>
      <c r="R256" s="11" t="n">
        <v>0</v>
      </c>
      <c r="S256" s="10">
        <f>M256-(R256*K256)</f>
        <v/>
      </c>
      <c r="T256" s="12">
        <f>VLOOKUP(E256,Dim_Product!$A$2:$Q$61,3,FALSE)</f>
        <v/>
      </c>
      <c r="U256" s="12">
        <f>VLOOKUP(E256,Dim_Product!$A$2:$Q$61,4,FALSE)</f>
        <v/>
      </c>
      <c r="V256" s="12">
        <f>VLOOKUP(D256,Dim_Customer!$A$2:$I$121,6,FALSE)</f>
        <v/>
      </c>
      <c r="W256" s="12">
        <f>VLOOKUP(G256,Dim_Channel!$A$2:$B$5,2,FALSE)</f>
        <v/>
      </c>
      <c r="X256" s="12">
        <f>VLOOKUP(H256,Dim_Promotion!$A$2:$G$11,2,FALSE)</f>
        <v/>
      </c>
    </row>
    <row r="257">
      <c r="A257" s="4" t="inlineStr">
        <is>
          <t>SL0256</t>
        </is>
      </c>
      <c r="B257" t="inlineStr">
        <is>
          <t>O010128</t>
        </is>
      </c>
      <c r="C257" t="n">
        <v>20250508</v>
      </c>
      <c r="D257" s="4" t="inlineStr">
        <is>
          <t>C028</t>
        </is>
      </c>
      <c r="E257" s="4" t="inlineStr">
        <is>
          <t>P051</t>
        </is>
      </c>
      <c r="F257" t="inlineStr">
        <is>
          <t>XL</t>
        </is>
      </c>
      <c r="G257" s="4" t="inlineStr">
        <is>
          <t>CH03</t>
        </is>
      </c>
      <c r="H257" s="4" t="inlineStr">
        <is>
          <t>PR00</t>
        </is>
      </c>
      <c r="I257" s="8" t="n">
        <v>72</v>
      </c>
      <c r="J257" s="9" t="n">
        <v>0</v>
      </c>
      <c r="K257" s="10">
        <f>I257*(1-J257)</f>
        <v/>
      </c>
      <c r="L257" s="11" t="n">
        <v>1</v>
      </c>
      <c r="M257" s="10">
        <f>K257*L257</f>
        <v/>
      </c>
      <c r="N257" s="8" t="n">
        <v>29.41</v>
      </c>
      <c r="O257" s="10">
        <f>N257*L257</f>
        <v/>
      </c>
      <c r="P257" s="10">
        <f>M257-O257</f>
        <v/>
      </c>
      <c r="Q257" s="11" t="inlineStr">
        <is>
          <t>No</t>
        </is>
      </c>
      <c r="R257" s="11" t="n">
        <v>0</v>
      </c>
      <c r="S257" s="10">
        <f>M257-(R257*K257)</f>
        <v/>
      </c>
      <c r="T257" s="12">
        <f>VLOOKUP(E257,Dim_Product!$A$2:$Q$61,3,FALSE)</f>
        <v/>
      </c>
      <c r="U257" s="12">
        <f>VLOOKUP(E257,Dim_Product!$A$2:$Q$61,4,FALSE)</f>
        <v/>
      </c>
      <c r="V257" s="12">
        <f>VLOOKUP(D257,Dim_Customer!$A$2:$I$121,6,FALSE)</f>
        <v/>
      </c>
      <c r="W257" s="12">
        <f>VLOOKUP(G257,Dim_Channel!$A$2:$B$5,2,FALSE)</f>
        <v/>
      </c>
      <c r="X257" s="12">
        <f>VLOOKUP(H257,Dim_Promotion!$A$2:$G$11,2,FALSE)</f>
        <v/>
      </c>
    </row>
    <row r="258">
      <c r="A258" s="4" t="inlineStr">
        <is>
          <t>SL0257</t>
        </is>
      </c>
      <c r="B258" t="inlineStr">
        <is>
          <t>O010129</t>
        </is>
      </c>
      <c r="C258" t="n">
        <v>20250215</v>
      </c>
      <c r="D258" s="4" t="inlineStr">
        <is>
          <t>C046</t>
        </is>
      </c>
      <c r="E258" s="4" t="inlineStr">
        <is>
          <t>P009</t>
        </is>
      </c>
      <c r="F258" t="inlineStr">
        <is>
          <t>XL</t>
        </is>
      </c>
      <c r="G258" s="4" t="inlineStr">
        <is>
          <t>CH02</t>
        </is>
      </c>
      <c r="H258" s="4" t="inlineStr">
        <is>
          <t>PR00</t>
        </is>
      </c>
      <c r="I258" s="8" t="n">
        <v>48</v>
      </c>
      <c r="J258" s="9" t="n">
        <v>0</v>
      </c>
      <c r="K258" s="10">
        <f>I258*(1-J258)</f>
        <v/>
      </c>
      <c r="L258" s="11" t="n">
        <v>1</v>
      </c>
      <c r="M258" s="10">
        <f>K258*L258</f>
        <v/>
      </c>
      <c r="N258" s="8" t="n">
        <v>19.08</v>
      </c>
      <c r="O258" s="10">
        <f>N258*L258</f>
        <v/>
      </c>
      <c r="P258" s="10">
        <f>M258-O258</f>
        <v/>
      </c>
      <c r="Q258" s="11" t="inlineStr">
        <is>
          <t>No</t>
        </is>
      </c>
      <c r="R258" s="11" t="n">
        <v>0</v>
      </c>
      <c r="S258" s="10">
        <f>M258-(R258*K258)</f>
        <v/>
      </c>
      <c r="T258" s="12">
        <f>VLOOKUP(E258,Dim_Product!$A$2:$Q$61,3,FALSE)</f>
        <v/>
      </c>
      <c r="U258" s="12">
        <f>VLOOKUP(E258,Dim_Product!$A$2:$Q$61,4,FALSE)</f>
        <v/>
      </c>
      <c r="V258" s="12">
        <f>VLOOKUP(D258,Dim_Customer!$A$2:$I$121,6,FALSE)</f>
        <v/>
      </c>
      <c r="W258" s="12">
        <f>VLOOKUP(G258,Dim_Channel!$A$2:$B$5,2,FALSE)</f>
        <v/>
      </c>
      <c r="X258" s="12">
        <f>VLOOKUP(H258,Dim_Promotion!$A$2:$G$11,2,FALSE)</f>
        <v/>
      </c>
    </row>
    <row r="259">
      <c r="A259" s="4" t="inlineStr">
        <is>
          <t>SL0258</t>
        </is>
      </c>
      <c r="B259" t="inlineStr">
        <is>
          <t>O010129</t>
        </is>
      </c>
      <c r="C259" t="n">
        <v>20251024</v>
      </c>
      <c r="D259" s="4" t="inlineStr">
        <is>
          <t>C042</t>
        </is>
      </c>
      <c r="E259" s="4" t="inlineStr">
        <is>
          <t>P047</t>
        </is>
      </c>
      <c r="F259" t="inlineStr">
        <is>
          <t>L</t>
        </is>
      </c>
      <c r="G259" s="4" t="inlineStr">
        <is>
          <t>CH03</t>
        </is>
      </c>
      <c r="H259" s="4" t="inlineStr">
        <is>
          <t>PR00</t>
        </is>
      </c>
      <c r="I259" s="8" t="n">
        <v>70</v>
      </c>
      <c r="J259" s="9" t="n">
        <v>0</v>
      </c>
      <c r="K259" s="10">
        <f>I259*(1-J259)</f>
        <v/>
      </c>
      <c r="L259" s="11" t="n">
        <v>1</v>
      </c>
      <c r="M259" s="10">
        <f>K259*L259</f>
        <v/>
      </c>
      <c r="N259" s="8" t="n">
        <v>30.94</v>
      </c>
      <c r="O259" s="10">
        <f>N259*L259</f>
        <v/>
      </c>
      <c r="P259" s="10">
        <f>M259-O259</f>
        <v/>
      </c>
      <c r="Q259" s="11" t="inlineStr">
        <is>
          <t>No</t>
        </is>
      </c>
      <c r="R259" s="11" t="n">
        <v>0</v>
      </c>
      <c r="S259" s="10">
        <f>M259-(R259*K259)</f>
        <v/>
      </c>
      <c r="T259" s="12">
        <f>VLOOKUP(E259,Dim_Product!$A$2:$Q$61,3,FALSE)</f>
        <v/>
      </c>
      <c r="U259" s="12">
        <f>VLOOKUP(E259,Dim_Product!$A$2:$Q$61,4,FALSE)</f>
        <v/>
      </c>
      <c r="V259" s="12">
        <f>VLOOKUP(D259,Dim_Customer!$A$2:$I$121,6,FALSE)</f>
        <v/>
      </c>
      <c r="W259" s="12">
        <f>VLOOKUP(G259,Dim_Channel!$A$2:$B$5,2,FALSE)</f>
        <v/>
      </c>
      <c r="X259" s="12">
        <f>VLOOKUP(H259,Dim_Promotion!$A$2:$G$11,2,FALSE)</f>
        <v/>
      </c>
    </row>
    <row r="260">
      <c r="A260" s="4" t="inlineStr">
        <is>
          <t>SL0259</t>
        </is>
      </c>
      <c r="B260" t="inlineStr">
        <is>
          <t>O010130</t>
        </is>
      </c>
      <c r="C260" t="n">
        <v>20250803</v>
      </c>
      <c r="D260" s="4" t="inlineStr">
        <is>
          <t>C100</t>
        </is>
      </c>
      <c r="E260" s="4" t="inlineStr">
        <is>
          <t>P052</t>
        </is>
      </c>
      <c r="F260" t="inlineStr">
        <is>
          <t>L</t>
        </is>
      </c>
      <c r="G260" s="4" t="inlineStr">
        <is>
          <t>CH02</t>
        </is>
      </c>
      <c r="H260" s="4" t="inlineStr">
        <is>
          <t>PR00</t>
        </is>
      </c>
      <c r="I260" s="8" t="n">
        <v>65</v>
      </c>
      <c r="J260" s="9" t="n">
        <v>0</v>
      </c>
      <c r="K260" s="10">
        <f>I260*(1-J260)</f>
        <v/>
      </c>
      <c r="L260" s="11" t="n">
        <v>1</v>
      </c>
      <c r="M260" s="10">
        <f>K260*L260</f>
        <v/>
      </c>
      <c r="N260" s="8" t="n">
        <v>31.36</v>
      </c>
      <c r="O260" s="10">
        <f>N260*L260</f>
        <v/>
      </c>
      <c r="P260" s="10">
        <f>M260-O260</f>
        <v/>
      </c>
      <c r="Q260" s="11" t="inlineStr">
        <is>
          <t>No</t>
        </is>
      </c>
      <c r="R260" s="11" t="n">
        <v>0</v>
      </c>
      <c r="S260" s="10">
        <f>M260-(R260*K260)</f>
        <v/>
      </c>
      <c r="T260" s="12">
        <f>VLOOKUP(E260,Dim_Product!$A$2:$Q$61,3,FALSE)</f>
        <v/>
      </c>
      <c r="U260" s="12">
        <f>VLOOKUP(E260,Dim_Product!$A$2:$Q$61,4,FALSE)</f>
        <v/>
      </c>
      <c r="V260" s="12">
        <f>VLOOKUP(D260,Dim_Customer!$A$2:$I$121,6,FALSE)</f>
        <v/>
      </c>
      <c r="W260" s="12">
        <f>VLOOKUP(G260,Dim_Channel!$A$2:$B$5,2,FALSE)</f>
        <v/>
      </c>
      <c r="X260" s="12">
        <f>VLOOKUP(H260,Dim_Promotion!$A$2:$G$11,2,FALSE)</f>
        <v/>
      </c>
    </row>
    <row r="261">
      <c r="A261" s="4" t="inlineStr">
        <is>
          <t>SL0260</t>
        </is>
      </c>
      <c r="B261" t="inlineStr">
        <is>
          <t>O010130</t>
        </is>
      </c>
      <c r="C261" t="n">
        <v>20250811</v>
      </c>
      <c r="D261" s="4" t="inlineStr">
        <is>
          <t>C065</t>
        </is>
      </c>
      <c r="E261" s="4" t="inlineStr">
        <is>
          <t>P041</t>
        </is>
      </c>
      <c r="F261" t="inlineStr">
        <is>
          <t>M</t>
        </is>
      </c>
      <c r="G261" s="4" t="inlineStr">
        <is>
          <t>CH04</t>
        </is>
      </c>
      <c r="H261" s="4" t="inlineStr">
        <is>
          <t>PR00</t>
        </is>
      </c>
      <c r="I261" s="8" t="n">
        <v>80</v>
      </c>
      <c r="J261" s="9" t="n">
        <v>0</v>
      </c>
      <c r="K261" s="10">
        <f>I261*(1-J261)</f>
        <v/>
      </c>
      <c r="L261" s="11" t="n">
        <v>1</v>
      </c>
      <c r="M261" s="10">
        <f>K261*L261</f>
        <v/>
      </c>
      <c r="N261" s="8" t="n">
        <v>37.75</v>
      </c>
      <c r="O261" s="10">
        <f>N261*L261</f>
        <v/>
      </c>
      <c r="P261" s="10">
        <f>M261-O261</f>
        <v/>
      </c>
      <c r="Q261" s="11" t="inlineStr">
        <is>
          <t>No</t>
        </is>
      </c>
      <c r="R261" s="11" t="n">
        <v>0</v>
      </c>
      <c r="S261" s="10">
        <f>M261-(R261*K261)</f>
        <v/>
      </c>
      <c r="T261" s="12">
        <f>VLOOKUP(E261,Dim_Product!$A$2:$Q$61,3,FALSE)</f>
        <v/>
      </c>
      <c r="U261" s="12">
        <f>VLOOKUP(E261,Dim_Product!$A$2:$Q$61,4,FALSE)</f>
        <v/>
      </c>
      <c r="V261" s="12">
        <f>VLOOKUP(D261,Dim_Customer!$A$2:$I$121,6,FALSE)</f>
        <v/>
      </c>
      <c r="W261" s="12">
        <f>VLOOKUP(G261,Dim_Channel!$A$2:$B$5,2,FALSE)</f>
        <v/>
      </c>
      <c r="X261" s="12">
        <f>VLOOKUP(H261,Dim_Promotion!$A$2:$G$11,2,FALSE)</f>
        <v/>
      </c>
    </row>
    <row r="262">
      <c r="A262" s="4" t="inlineStr">
        <is>
          <t>SL0261</t>
        </is>
      </c>
      <c r="B262" t="inlineStr">
        <is>
          <t>O010131</t>
        </is>
      </c>
      <c r="C262" t="n">
        <v>20250605</v>
      </c>
      <c r="D262" s="4" t="inlineStr">
        <is>
          <t>C044</t>
        </is>
      </c>
      <c r="E262" s="4" t="inlineStr">
        <is>
          <t>P005</t>
        </is>
      </c>
      <c r="F262" t="inlineStr">
        <is>
          <t>S</t>
        </is>
      </c>
      <c r="G262" s="4" t="inlineStr">
        <is>
          <t>CH02</t>
        </is>
      </c>
      <c r="H262" s="4" t="inlineStr">
        <is>
          <t>PR00</t>
        </is>
      </c>
      <c r="I262" s="8" t="n">
        <v>54</v>
      </c>
      <c r="J262" s="9" t="n">
        <v>0</v>
      </c>
      <c r="K262" s="10">
        <f>I262*(1-J262)</f>
        <v/>
      </c>
      <c r="L262" s="11" t="n">
        <v>1</v>
      </c>
      <c r="M262" s="10">
        <f>K262*L262</f>
        <v/>
      </c>
      <c r="N262" s="8" t="n">
        <v>20.44</v>
      </c>
      <c r="O262" s="10">
        <f>N262*L262</f>
        <v/>
      </c>
      <c r="P262" s="10">
        <f>M262-O262</f>
        <v/>
      </c>
      <c r="Q262" s="11" t="inlineStr">
        <is>
          <t>No</t>
        </is>
      </c>
      <c r="R262" s="11" t="n">
        <v>0</v>
      </c>
      <c r="S262" s="10">
        <f>M262-(R262*K262)</f>
        <v/>
      </c>
      <c r="T262" s="12">
        <f>VLOOKUP(E262,Dim_Product!$A$2:$Q$61,3,FALSE)</f>
        <v/>
      </c>
      <c r="U262" s="12">
        <f>VLOOKUP(E262,Dim_Product!$A$2:$Q$61,4,FALSE)</f>
        <v/>
      </c>
      <c r="V262" s="12">
        <f>VLOOKUP(D262,Dim_Customer!$A$2:$I$121,6,FALSE)</f>
        <v/>
      </c>
      <c r="W262" s="12">
        <f>VLOOKUP(G262,Dim_Channel!$A$2:$B$5,2,FALSE)</f>
        <v/>
      </c>
      <c r="X262" s="12">
        <f>VLOOKUP(H262,Dim_Promotion!$A$2:$G$11,2,FALSE)</f>
        <v/>
      </c>
    </row>
    <row r="263">
      <c r="A263" s="4" t="inlineStr">
        <is>
          <t>SL0262</t>
        </is>
      </c>
      <c r="B263" t="inlineStr">
        <is>
          <t>O010131</t>
        </is>
      </c>
      <c r="C263" t="n">
        <v>20250707</v>
      </c>
      <c r="D263" s="4" t="inlineStr">
        <is>
          <t>C063</t>
        </is>
      </c>
      <c r="E263" s="4" t="inlineStr">
        <is>
          <t>P022</t>
        </is>
      </c>
      <c r="F263" t="inlineStr">
        <is>
          <t>L</t>
        </is>
      </c>
      <c r="G263" s="4" t="inlineStr">
        <is>
          <t>CH04</t>
        </is>
      </c>
      <c r="H263" s="4" t="inlineStr">
        <is>
          <t>PR00</t>
        </is>
      </c>
      <c r="I263" s="8" t="n">
        <v>60</v>
      </c>
      <c r="J263" s="9" t="n">
        <v>0</v>
      </c>
      <c r="K263" s="10">
        <f>I263*(1-J263)</f>
        <v/>
      </c>
      <c r="L263" s="11" t="n">
        <v>2</v>
      </c>
      <c r="M263" s="10">
        <f>K263*L263</f>
        <v/>
      </c>
      <c r="N263" s="8" t="n">
        <v>25.98</v>
      </c>
      <c r="O263" s="10">
        <f>N263*L263</f>
        <v/>
      </c>
      <c r="P263" s="10">
        <f>M263-O263</f>
        <v/>
      </c>
      <c r="Q263" s="11" t="inlineStr">
        <is>
          <t>No</t>
        </is>
      </c>
      <c r="R263" s="11" t="n">
        <v>0</v>
      </c>
      <c r="S263" s="10">
        <f>M263-(R263*K263)</f>
        <v/>
      </c>
      <c r="T263" s="12">
        <f>VLOOKUP(E263,Dim_Product!$A$2:$Q$61,3,FALSE)</f>
        <v/>
      </c>
      <c r="U263" s="12">
        <f>VLOOKUP(E263,Dim_Product!$A$2:$Q$61,4,FALSE)</f>
        <v/>
      </c>
      <c r="V263" s="12">
        <f>VLOOKUP(D263,Dim_Customer!$A$2:$I$121,6,FALSE)</f>
        <v/>
      </c>
      <c r="W263" s="12">
        <f>VLOOKUP(G263,Dim_Channel!$A$2:$B$5,2,FALSE)</f>
        <v/>
      </c>
      <c r="X263" s="12">
        <f>VLOOKUP(H263,Dim_Promotion!$A$2:$G$11,2,FALSE)</f>
        <v/>
      </c>
    </row>
    <row r="264">
      <c r="A264" s="4" t="inlineStr">
        <is>
          <t>SL0263</t>
        </is>
      </c>
      <c r="B264" t="inlineStr">
        <is>
          <t>O010132</t>
        </is>
      </c>
      <c r="C264" t="n">
        <v>20250222</v>
      </c>
      <c r="D264" s="4" t="inlineStr">
        <is>
          <t>C053</t>
        </is>
      </c>
      <c r="E264" s="4" t="inlineStr">
        <is>
          <t>P024</t>
        </is>
      </c>
      <c r="F264" t="inlineStr">
        <is>
          <t>M</t>
        </is>
      </c>
      <c r="G264" s="4" t="inlineStr">
        <is>
          <t>CH02</t>
        </is>
      </c>
      <c r="H264" s="4" t="inlineStr">
        <is>
          <t>PR00</t>
        </is>
      </c>
      <c r="I264" s="8" t="n">
        <v>60</v>
      </c>
      <c r="J264" s="9" t="n">
        <v>0</v>
      </c>
      <c r="K264" s="10">
        <f>I264*(1-J264)</f>
        <v/>
      </c>
      <c r="L264" s="11" t="n">
        <v>1</v>
      </c>
      <c r="M264" s="10">
        <f>K264*L264</f>
        <v/>
      </c>
      <c r="N264" s="8" t="n">
        <v>27.03</v>
      </c>
      <c r="O264" s="10">
        <f>N264*L264</f>
        <v/>
      </c>
      <c r="P264" s="10">
        <f>M264-O264</f>
        <v/>
      </c>
      <c r="Q264" s="11" t="inlineStr">
        <is>
          <t>No</t>
        </is>
      </c>
      <c r="R264" s="11" t="n">
        <v>0</v>
      </c>
      <c r="S264" s="10">
        <f>M264-(R264*K264)</f>
        <v/>
      </c>
      <c r="T264" s="12">
        <f>VLOOKUP(E264,Dim_Product!$A$2:$Q$61,3,FALSE)</f>
        <v/>
      </c>
      <c r="U264" s="12">
        <f>VLOOKUP(E264,Dim_Product!$A$2:$Q$61,4,FALSE)</f>
        <v/>
      </c>
      <c r="V264" s="12">
        <f>VLOOKUP(D264,Dim_Customer!$A$2:$I$121,6,FALSE)</f>
        <v/>
      </c>
      <c r="W264" s="12">
        <f>VLOOKUP(G264,Dim_Channel!$A$2:$B$5,2,FALSE)</f>
        <v/>
      </c>
      <c r="X264" s="12">
        <f>VLOOKUP(H264,Dim_Promotion!$A$2:$G$11,2,FALSE)</f>
        <v/>
      </c>
    </row>
    <row r="265">
      <c r="A265" s="4" t="inlineStr">
        <is>
          <t>SL0264</t>
        </is>
      </c>
      <c r="B265" t="inlineStr">
        <is>
          <t>O010132</t>
        </is>
      </c>
      <c r="C265" t="n">
        <v>20251120</v>
      </c>
      <c r="D265" s="4" t="inlineStr">
        <is>
          <t>C019</t>
        </is>
      </c>
      <c r="E265" s="4" t="inlineStr">
        <is>
          <t>P025</t>
        </is>
      </c>
      <c r="F265" t="inlineStr">
        <is>
          <t>M</t>
        </is>
      </c>
      <c r="G265" s="4" t="inlineStr">
        <is>
          <t>CH03</t>
        </is>
      </c>
      <c r="H265" s="4" t="inlineStr">
        <is>
          <t>PR00</t>
        </is>
      </c>
      <c r="I265" s="8" t="n">
        <v>93</v>
      </c>
      <c r="J265" s="9" t="n">
        <v>0</v>
      </c>
      <c r="K265" s="10">
        <f>I265*(1-J265)</f>
        <v/>
      </c>
      <c r="L265" s="11" t="n">
        <v>1</v>
      </c>
      <c r="M265" s="10">
        <f>K265*L265</f>
        <v/>
      </c>
      <c r="N265" s="8" t="n">
        <v>44.25</v>
      </c>
      <c r="O265" s="10">
        <f>N265*L265</f>
        <v/>
      </c>
      <c r="P265" s="10">
        <f>M265-O265</f>
        <v/>
      </c>
      <c r="Q265" s="11" t="inlineStr">
        <is>
          <t>No</t>
        </is>
      </c>
      <c r="R265" s="11" t="n">
        <v>0</v>
      </c>
      <c r="S265" s="10">
        <f>M265-(R265*K265)</f>
        <v/>
      </c>
      <c r="T265" s="12">
        <f>VLOOKUP(E265,Dim_Product!$A$2:$Q$61,3,FALSE)</f>
        <v/>
      </c>
      <c r="U265" s="12">
        <f>VLOOKUP(E265,Dim_Product!$A$2:$Q$61,4,FALSE)</f>
        <v/>
      </c>
      <c r="V265" s="12">
        <f>VLOOKUP(D265,Dim_Customer!$A$2:$I$121,6,FALSE)</f>
        <v/>
      </c>
      <c r="W265" s="12">
        <f>VLOOKUP(G265,Dim_Channel!$A$2:$B$5,2,FALSE)</f>
        <v/>
      </c>
      <c r="X265" s="12">
        <f>VLOOKUP(H265,Dim_Promotion!$A$2:$G$11,2,FALSE)</f>
        <v/>
      </c>
    </row>
    <row r="266">
      <c r="A266" s="4" t="inlineStr">
        <is>
          <t>SL0265</t>
        </is>
      </c>
      <c r="B266" t="inlineStr">
        <is>
          <t>O010133</t>
        </is>
      </c>
      <c r="C266" t="n">
        <v>20251228</v>
      </c>
      <c r="D266" s="4" t="inlineStr">
        <is>
          <t>C107</t>
        </is>
      </c>
      <c r="E266" s="4" t="inlineStr">
        <is>
          <t>P048</t>
        </is>
      </c>
      <c r="F266" t="inlineStr">
        <is>
          <t>M</t>
        </is>
      </c>
      <c r="G266" s="4" t="inlineStr">
        <is>
          <t>CH01</t>
        </is>
      </c>
      <c r="H266" s="4" t="inlineStr">
        <is>
          <t>PR00</t>
        </is>
      </c>
      <c r="I266" s="8" t="n">
        <v>70</v>
      </c>
      <c r="J266" s="9" t="n">
        <v>0.05</v>
      </c>
      <c r="K266" s="10">
        <f>I266*(1-J266)</f>
        <v/>
      </c>
      <c r="L266" s="11" t="n">
        <v>1</v>
      </c>
      <c r="M266" s="10">
        <f>K266*L266</f>
        <v/>
      </c>
      <c r="N266" s="8" t="n">
        <v>33.42</v>
      </c>
      <c r="O266" s="10">
        <f>N266*L266</f>
        <v/>
      </c>
      <c r="P266" s="10">
        <f>M266-O266</f>
        <v/>
      </c>
      <c r="Q266" s="11" t="inlineStr">
        <is>
          <t>No</t>
        </is>
      </c>
      <c r="R266" s="11" t="n">
        <v>0</v>
      </c>
      <c r="S266" s="10">
        <f>M266-(R266*K266)</f>
        <v/>
      </c>
      <c r="T266" s="12">
        <f>VLOOKUP(E266,Dim_Product!$A$2:$Q$61,3,FALSE)</f>
        <v/>
      </c>
      <c r="U266" s="12">
        <f>VLOOKUP(E266,Dim_Product!$A$2:$Q$61,4,FALSE)</f>
        <v/>
      </c>
      <c r="V266" s="12">
        <f>VLOOKUP(D266,Dim_Customer!$A$2:$I$121,6,FALSE)</f>
        <v/>
      </c>
      <c r="W266" s="12">
        <f>VLOOKUP(G266,Dim_Channel!$A$2:$B$5,2,FALSE)</f>
        <v/>
      </c>
      <c r="X266" s="12">
        <f>VLOOKUP(H266,Dim_Promotion!$A$2:$G$11,2,FALSE)</f>
        <v/>
      </c>
    </row>
    <row r="267">
      <c r="A267" s="4" t="inlineStr">
        <is>
          <t>SL0266</t>
        </is>
      </c>
      <c r="B267" t="inlineStr">
        <is>
          <t>O010133</t>
        </is>
      </c>
      <c r="C267" t="n">
        <v>20250820</v>
      </c>
      <c r="D267" s="4" t="inlineStr">
        <is>
          <t>C094</t>
        </is>
      </c>
      <c r="E267" s="4" t="inlineStr">
        <is>
          <t>P060</t>
        </is>
      </c>
      <c r="F267" t="inlineStr">
        <is>
          <t>L</t>
        </is>
      </c>
      <c r="G267" s="4" t="inlineStr">
        <is>
          <t>CH01</t>
        </is>
      </c>
      <c r="H267" s="4" t="inlineStr">
        <is>
          <t>PR00</t>
        </is>
      </c>
      <c r="I267" s="8" t="n">
        <v>72</v>
      </c>
      <c r="J267" s="9" t="n">
        <v>0</v>
      </c>
      <c r="K267" s="10">
        <f>I267*(1-J267)</f>
        <v/>
      </c>
      <c r="L267" s="11" t="n">
        <v>1</v>
      </c>
      <c r="M267" s="10">
        <f>K267*L267</f>
        <v/>
      </c>
      <c r="N267" s="8" t="n">
        <v>35.89</v>
      </c>
      <c r="O267" s="10">
        <f>N267*L267</f>
        <v/>
      </c>
      <c r="P267" s="10">
        <f>M267-O267</f>
        <v/>
      </c>
      <c r="Q267" s="11" t="inlineStr">
        <is>
          <t>No</t>
        </is>
      </c>
      <c r="R267" s="11" t="n">
        <v>0</v>
      </c>
      <c r="S267" s="10">
        <f>M267-(R267*K267)</f>
        <v/>
      </c>
      <c r="T267" s="12">
        <f>VLOOKUP(E267,Dim_Product!$A$2:$Q$61,3,FALSE)</f>
        <v/>
      </c>
      <c r="U267" s="12">
        <f>VLOOKUP(E267,Dim_Product!$A$2:$Q$61,4,FALSE)</f>
        <v/>
      </c>
      <c r="V267" s="12">
        <f>VLOOKUP(D267,Dim_Customer!$A$2:$I$121,6,FALSE)</f>
        <v/>
      </c>
      <c r="W267" s="12">
        <f>VLOOKUP(G267,Dim_Channel!$A$2:$B$5,2,FALSE)</f>
        <v/>
      </c>
      <c r="X267" s="12">
        <f>VLOOKUP(H267,Dim_Promotion!$A$2:$G$11,2,FALSE)</f>
        <v/>
      </c>
    </row>
    <row r="268">
      <c r="A268" s="4" t="inlineStr">
        <is>
          <t>SL0267</t>
        </is>
      </c>
      <c r="B268" t="inlineStr">
        <is>
          <t>O010134</t>
        </is>
      </c>
      <c r="C268" t="n">
        <v>20250802</v>
      </c>
      <c r="D268" s="4" t="inlineStr">
        <is>
          <t>C060</t>
        </is>
      </c>
      <c r="E268" s="4" t="inlineStr">
        <is>
          <t>P039</t>
        </is>
      </c>
      <c r="F268" t="inlineStr">
        <is>
          <t>S</t>
        </is>
      </c>
      <c r="G268" s="4" t="inlineStr">
        <is>
          <t>CH01</t>
        </is>
      </c>
      <c r="H268" s="4" t="inlineStr">
        <is>
          <t>PR00</t>
        </is>
      </c>
      <c r="I268" s="8" t="n">
        <v>72</v>
      </c>
      <c r="J268" s="9" t="n">
        <v>0</v>
      </c>
      <c r="K268" s="10">
        <f>I268*(1-J268)</f>
        <v/>
      </c>
      <c r="L268" s="11" t="n">
        <v>1</v>
      </c>
      <c r="M268" s="10">
        <f>K268*L268</f>
        <v/>
      </c>
      <c r="N268" s="8" t="n">
        <v>37.15</v>
      </c>
      <c r="O268" s="10">
        <f>N268*L268</f>
        <v/>
      </c>
      <c r="P268" s="10">
        <f>M268-O268</f>
        <v/>
      </c>
      <c r="Q268" s="11" t="inlineStr">
        <is>
          <t>No</t>
        </is>
      </c>
      <c r="R268" s="11" t="n">
        <v>0</v>
      </c>
      <c r="S268" s="10">
        <f>M268-(R268*K268)</f>
        <v/>
      </c>
      <c r="T268" s="12">
        <f>VLOOKUP(E268,Dim_Product!$A$2:$Q$61,3,FALSE)</f>
        <v/>
      </c>
      <c r="U268" s="12">
        <f>VLOOKUP(E268,Dim_Product!$A$2:$Q$61,4,FALSE)</f>
        <v/>
      </c>
      <c r="V268" s="12">
        <f>VLOOKUP(D268,Dim_Customer!$A$2:$I$121,6,FALSE)</f>
        <v/>
      </c>
      <c r="W268" s="12">
        <f>VLOOKUP(G268,Dim_Channel!$A$2:$B$5,2,FALSE)</f>
        <v/>
      </c>
      <c r="X268" s="12">
        <f>VLOOKUP(H268,Dim_Promotion!$A$2:$G$11,2,FALSE)</f>
        <v/>
      </c>
    </row>
    <row r="269">
      <c r="A269" s="4" t="inlineStr">
        <is>
          <t>SL0268</t>
        </is>
      </c>
      <c r="B269" t="inlineStr">
        <is>
          <t>O010134</t>
        </is>
      </c>
      <c r="C269" t="n">
        <v>20250413</v>
      </c>
      <c r="D269" s="4" t="inlineStr">
        <is>
          <t>C066</t>
        </is>
      </c>
      <c r="E269" s="4" t="inlineStr">
        <is>
          <t>P059</t>
        </is>
      </c>
      <c r="F269" t="inlineStr">
        <is>
          <t>M</t>
        </is>
      </c>
      <c r="G269" s="4" t="inlineStr">
        <is>
          <t>CH04</t>
        </is>
      </c>
      <c r="H269" s="4" t="inlineStr">
        <is>
          <t>PR00</t>
        </is>
      </c>
      <c r="I269" s="8" t="n">
        <v>76</v>
      </c>
      <c r="J269" s="9" t="n">
        <v>0</v>
      </c>
      <c r="K269" s="10">
        <f>I269*(1-J269)</f>
        <v/>
      </c>
      <c r="L269" s="11" t="n">
        <v>3</v>
      </c>
      <c r="M269" s="10">
        <f>K269*L269</f>
        <v/>
      </c>
      <c r="N269" s="8" t="n">
        <v>34.46</v>
      </c>
      <c r="O269" s="10">
        <f>N269*L269</f>
        <v/>
      </c>
      <c r="P269" s="10">
        <f>M269-O269</f>
        <v/>
      </c>
      <c r="Q269" s="11" t="inlineStr">
        <is>
          <t>No</t>
        </is>
      </c>
      <c r="R269" s="11" t="n">
        <v>0</v>
      </c>
      <c r="S269" s="10">
        <f>M269-(R269*K269)</f>
        <v/>
      </c>
      <c r="T269" s="12">
        <f>VLOOKUP(E269,Dim_Product!$A$2:$Q$61,3,FALSE)</f>
        <v/>
      </c>
      <c r="U269" s="12">
        <f>VLOOKUP(E269,Dim_Product!$A$2:$Q$61,4,FALSE)</f>
        <v/>
      </c>
      <c r="V269" s="12">
        <f>VLOOKUP(D269,Dim_Customer!$A$2:$I$121,6,FALSE)</f>
        <v/>
      </c>
      <c r="W269" s="12">
        <f>VLOOKUP(G269,Dim_Channel!$A$2:$B$5,2,FALSE)</f>
        <v/>
      </c>
      <c r="X269" s="12">
        <f>VLOOKUP(H269,Dim_Promotion!$A$2:$G$11,2,FALSE)</f>
        <v/>
      </c>
    </row>
    <row r="270">
      <c r="A270" s="4" t="inlineStr">
        <is>
          <t>SL0269</t>
        </is>
      </c>
      <c r="B270" t="inlineStr">
        <is>
          <t>O010135</t>
        </is>
      </c>
      <c r="C270" t="n">
        <v>20250130</v>
      </c>
      <c r="D270" s="4" t="inlineStr">
        <is>
          <t>C068</t>
        </is>
      </c>
      <c r="E270" s="4" t="inlineStr">
        <is>
          <t>P017</t>
        </is>
      </c>
      <c r="F270" t="inlineStr">
        <is>
          <t>M</t>
        </is>
      </c>
      <c r="G270" s="4" t="inlineStr">
        <is>
          <t>CH01</t>
        </is>
      </c>
      <c r="H270" s="4" t="inlineStr">
        <is>
          <t>PR00</t>
        </is>
      </c>
      <c r="I270" s="8" t="n">
        <v>68</v>
      </c>
      <c r="J270" s="9" t="n">
        <v>0</v>
      </c>
      <c r="K270" s="10">
        <f>I270*(1-J270)</f>
        <v/>
      </c>
      <c r="L270" s="11" t="n">
        <v>1</v>
      </c>
      <c r="M270" s="10">
        <f>K270*L270</f>
        <v/>
      </c>
      <c r="N270" s="8" t="n">
        <v>33.24</v>
      </c>
      <c r="O270" s="10">
        <f>N270*L270</f>
        <v/>
      </c>
      <c r="P270" s="10">
        <f>M270-O270</f>
        <v/>
      </c>
      <c r="Q270" s="11" t="inlineStr">
        <is>
          <t>No</t>
        </is>
      </c>
      <c r="R270" s="11" t="n">
        <v>0</v>
      </c>
      <c r="S270" s="10">
        <f>M270-(R270*K270)</f>
        <v/>
      </c>
      <c r="T270" s="12">
        <f>VLOOKUP(E270,Dim_Product!$A$2:$Q$61,3,FALSE)</f>
        <v/>
      </c>
      <c r="U270" s="12">
        <f>VLOOKUP(E270,Dim_Product!$A$2:$Q$61,4,FALSE)</f>
        <v/>
      </c>
      <c r="V270" s="12">
        <f>VLOOKUP(D270,Dim_Customer!$A$2:$I$121,6,FALSE)</f>
        <v/>
      </c>
      <c r="W270" s="12">
        <f>VLOOKUP(G270,Dim_Channel!$A$2:$B$5,2,FALSE)</f>
        <v/>
      </c>
      <c r="X270" s="12">
        <f>VLOOKUP(H270,Dim_Promotion!$A$2:$G$11,2,FALSE)</f>
        <v/>
      </c>
    </row>
    <row r="271">
      <c r="A271" s="4" t="inlineStr">
        <is>
          <t>SL0270</t>
        </is>
      </c>
      <c r="B271" t="inlineStr">
        <is>
          <t>O010135</t>
        </is>
      </c>
      <c r="C271" t="n">
        <v>20251121</v>
      </c>
      <c r="D271" s="4" t="inlineStr">
        <is>
          <t>C033</t>
        </is>
      </c>
      <c r="E271" s="4" t="inlineStr">
        <is>
          <t>P052</t>
        </is>
      </c>
      <c r="F271" t="inlineStr">
        <is>
          <t>XL</t>
        </is>
      </c>
      <c r="G271" s="4" t="inlineStr">
        <is>
          <t>CH01</t>
        </is>
      </c>
      <c r="H271" s="4" t="inlineStr">
        <is>
          <t>PR00</t>
        </is>
      </c>
      <c r="I271" s="8" t="n">
        <v>64</v>
      </c>
      <c r="J271" s="9" t="n">
        <v>0</v>
      </c>
      <c r="K271" s="10">
        <f>I271*(1-J271)</f>
        <v/>
      </c>
      <c r="L271" s="11" t="n">
        <v>1</v>
      </c>
      <c r="M271" s="10">
        <f>K271*L271</f>
        <v/>
      </c>
      <c r="N271" s="8" t="n">
        <v>31.11</v>
      </c>
      <c r="O271" s="10">
        <f>N271*L271</f>
        <v/>
      </c>
      <c r="P271" s="10">
        <f>M271-O271</f>
        <v/>
      </c>
      <c r="Q271" s="11" t="inlineStr">
        <is>
          <t>No</t>
        </is>
      </c>
      <c r="R271" s="11" t="n">
        <v>0</v>
      </c>
      <c r="S271" s="10">
        <f>M271-(R271*K271)</f>
        <v/>
      </c>
      <c r="T271" s="12">
        <f>VLOOKUP(E271,Dim_Product!$A$2:$Q$61,3,FALSE)</f>
        <v/>
      </c>
      <c r="U271" s="12">
        <f>VLOOKUP(E271,Dim_Product!$A$2:$Q$61,4,FALSE)</f>
        <v/>
      </c>
      <c r="V271" s="12">
        <f>VLOOKUP(D271,Dim_Customer!$A$2:$I$121,6,FALSE)</f>
        <v/>
      </c>
      <c r="W271" s="12">
        <f>VLOOKUP(G271,Dim_Channel!$A$2:$B$5,2,FALSE)</f>
        <v/>
      </c>
      <c r="X271" s="12">
        <f>VLOOKUP(H271,Dim_Promotion!$A$2:$G$11,2,FALSE)</f>
        <v/>
      </c>
    </row>
    <row r="272">
      <c r="A272" s="4" t="inlineStr">
        <is>
          <t>SL0271</t>
        </is>
      </c>
      <c r="B272" t="inlineStr">
        <is>
          <t>O010136</t>
        </is>
      </c>
      <c r="C272" t="n">
        <v>20251017</v>
      </c>
      <c r="D272" s="4" t="inlineStr">
        <is>
          <t>C087</t>
        </is>
      </c>
      <c r="E272" s="4" t="inlineStr">
        <is>
          <t>P036</t>
        </is>
      </c>
      <c r="F272" t="inlineStr">
        <is>
          <t>M</t>
        </is>
      </c>
      <c r="G272" s="4" t="inlineStr">
        <is>
          <t>CH02</t>
        </is>
      </c>
      <c r="H272" s="4" t="inlineStr">
        <is>
          <t>PR00</t>
        </is>
      </c>
      <c r="I272" s="8" t="n">
        <v>88</v>
      </c>
      <c r="J272" s="9" t="n">
        <v>0</v>
      </c>
      <c r="K272" s="10">
        <f>I272*(1-J272)</f>
        <v/>
      </c>
      <c r="L272" s="11" t="n">
        <v>2</v>
      </c>
      <c r="M272" s="10">
        <f>K272*L272</f>
        <v/>
      </c>
      <c r="N272" s="8" t="n">
        <v>42.53</v>
      </c>
      <c r="O272" s="10">
        <f>N272*L272</f>
        <v/>
      </c>
      <c r="P272" s="10">
        <f>M272-O272</f>
        <v/>
      </c>
      <c r="Q272" s="11" t="inlineStr">
        <is>
          <t>No</t>
        </is>
      </c>
      <c r="R272" s="11" t="n">
        <v>0</v>
      </c>
      <c r="S272" s="10">
        <f>M272-(R272*K272)</f>
        <v/>
      </c>
      <c r="T272" s="12">
        <f>VLOOKUP(E272,Dim_Product!$A$2:$Q$61,3,FALSE)</f>
        <v/>
      </c>
      <c r="U272" s="12">
        <f>VLOOKUP(E272,Dim_Product!$A$2:$Q$61,4,FALSE)</f>
        <v/>
      </c>
      <c r="V272" s="12">
        <f>VLOOKUP(D272,Dim_Customer!$A$2:$I$121,6,FALSE)</f>
        <v/>
      </c>
      <c r="W272" s="12">
        <f>VLOOKUP(G272,Dim_Channel!$A$2:$B$5,2,FALSE)</f>
        <v/>
      </c>
      <c r="X272" s="12">
        <f>VLOOKUP(H272,Dim_Promotion!$A$2:$G$11,2,FALSE)</f>
        <v/>
      </c>
    </row>
    <row r="273">
      <c r="A273" s="4" t="inlineStr">
        <is>
          <t>SL0272</t>
        </is>
      </c>
      <c r="B273" t="inlineStr">
        <is>
          <t>O010136</t>
        </is>
      </c>
      <c r="C273" t="n">
        <v>20250318</v>
      </c>
      <c r="D273" s="4" t="inlineStr">
        <is>
          <t>C088</t>
        </is>
      </c>
      <c r="E273" s="4" t="inlineStr">
        <is>
          <t>P017</t>
        </is>
      </c>
      <c r="F273" t="inlineStr">
        <is>
          <t>M</t>
        </is>
      </c>
      <c r="G273" s="4" t="inlineStr">
        <is>
          <t>CH01</t>
        </is>
      </c>
      <c r="H273" s="4" t="inlineStr">
        <is>
          <t>PR00</t>
        </is>
      </c>
      <c r="I273" s="8" t="n">
        <v>68</v>
      </c>
      <c r="J273" s="9" t="n">
        <v>0</v>
      </c>
      <c r="K273" s="10">
        <f>I273*(1-J273)</f>
        <v/>
      </c>
      <c r="L273" s="11" t="n">
        <v>1</v>
      </c>
      <c r="M273" s="10">
        <f>K273*L273</f>
        <v/>
      </c>
      <c r="N273" s="8" t="n">
        <v>32.44</v>
      </c>
      <c r="O273" s="10">
        <f>N273*L273</f>
        <v/>
      </c>
      <c r="P273" s="10">
        <f>M273-O273</f>
        <v/>
      </c>
      <c r="Q273" s="11" t="inlineStr">
        <is>
          <t>No</t>
        </is>
      </c>
      <c r="R273" s="11" t="n">
        <v>0</v>
      </c>
      <c r="S273" s="10">
        <f>M273-(R273*K273)</f>
        <v/>
      </c>
      <c r="T273" s="12">
        <f>VLOOKUP(E273,Dim_Product!$A$2:$Q$61,3,FALSE)</f>
        <v/>
      </c>
      <c r="U273" s="12">
        <f>VLOOKUP(E273,Dim_Product!$A$2:$Q$61,4,FALSE)</f>
        <v/>
      </c>
      <c r="V273" s="12">
        <f>VLOOKUP(D273,Dim_Customer!$A$2:$I$121,6,FALSE)</f>
        <v/>
      </c>
      <c r="W273" s="12">
        <f>VLOOKUP(G273,Dim_Channel!$A$2:$B$5,2,FALSE)</f>
        <v/>
      </c>
      <c r="X273" s="12">
        <f>VLOOKUP(H273,Dim_Promotion!$A$2:$G$11,2,FALSE)</f>
        <v/>
      </c>
    </row>
    <row r="274">
      <c r="A274" s="4" t="inlineStr">
        <is>
          <t>SL0273</t>
        </is>
      </c>
      <c r="B274" t="inlineStr">
        <is>
          <t>O010137</t>
        </is>
      </c>
      <c r="C274" t="n">
        <v>20250218</v>
      </c>
      <c r="D274" s="4" t="inlineStr">
        <is>
          <t>C093</t>
        </is>
      </c>
      <c r="E274" s="4" t="inlineStr">
        <is>
          <t>P007</t>
        </is>
      </c>
      <c r="F274" t="inlineStr">
        <is>
          <t>XL</t>
        </is>
      </c>
      <c r="G274" s="4" t="inlineStr">
        <is>
          <t>CH04</t>
        </is>
      </c>
      <c r="H274" s="4" t="inlineStr">
        <is>
          <t>PR00</t>
        </is>
      </c>
      <c r="I274" s="8" t="n">
        <v>51</v>
      </c>
      <c r="J274" s="9" t="n">
        <v>0</v>
      </c>
      <c r="K274" s="10">
        <f>I274*(1-J274)</f>
        <v/>
      </c>
      <c r="L274" s="11" t="n">
        <v>3</v>
      </c>
      <c r="M274" s="10">
        <f>K274*L274</f>
        <v/>
      </c>
      <c r="N274" s="8" t="n">
        <v>21.96</v>
      </c>
      <c r="O274" s="10">
        <f>N274*L274</f>
        <v/>
      </c>
      <c r="P274" s="10">
        <f>M274-O274</f>
        <v/>
      </c>
      <c r="Q274" s="11" t="inlineStr">
        <is>
          <t>No</t>
        </is>
      </c>
      <c r="R274" s="11" t="n">
        <v>0</v>
      </c>
      <c r="S274" s="10">
        <f>M274-(R274*K274)</f>
        <v/>
      </c>
      <c r="T274" s="12">
        <f>VLOOKUP(E274,Dim_Product!$A$2:$Q$61,3,FALSE)</f>
        <v/>
      </c>
      <c r="U274" s="12">
        <f>VLOOKUP(E274,Dim_Product!$A$2:$Q$61,4,FALSE)</f>
        <v/>
      </c>
      <c r="V274" s="12">
        <f>VLOOKUP(D274,Dim_Customer!$A$2:$I$121,6,FALSE)</f>
        <v/>
      </c>
      <c r="W274" s="12">
        <f>VLOOKUP(G274,Dim_Channel!$A$2:$B$5,2,FALSE)</f>
        <v/>
      </c>
      <c r="X274" s="12">
        <f>VLOOKUP(H274,Dim_Promotion!$A$2:$G$11,2,FALSE)</f>
        <v/>
      </c>
    </row>
    <row r="275">
      <c r="A275" s="4" t="inlineStr">
        <is>
          <t>SL0274</t>
        </is>
      </c>
      <c r="B275" t="inlineStr">
        <is>
          <t>O010137</t>
        </is>
      </c>
      <c r="C275" t="n">
        <v>20251121</v>
      </c>
      <c r="D275" s="4" t="inlineStr">
        <is>
          <t>C120</t>
        </is>
      </c>
      <c r="E275" s="4" t="inlineStr">
        <is>
          <t>P043</t>
        </is>
      </c>
      <c r="F275" t="inlineStr">
        <is>
          <t>S</t>
        </is>
      </c>
      <c r="G275" s="4" t="inlineStr">
        <is>
          <t>CH01</t>
        </is>
      </c>
      <c r="H275" s="4" t="inlineStr">
        <is>
          <t>PR00</t>
        </is>
      </c>
      <c r="I275" s="8" t="n">
        <v>82</v>
      </c>
      <c r="J275" s="9" t="n">
        <v>0</v>
      </c>
      <c r="K275" s="10">
        <f>I275*(1-J275)</f>
        <v/>
      </c>
      <c r="L275" s="11" t="n">
        <v>1</v>
      </c>
      <c r="M275" s="10">
        <f>K275*L275</f>
        <v/>
      </c>
      <c r="N275" s="8" t="n">
        <v>38.53</v>
      </c>
      <c r="O275" s="10">
        <f>N275*L275</f>
        <v/>
      </c>
      <c r="P275" s="10">
        <f>M275-O275</f>
        <v/>
      </c>
      <c r="Q275" s="11" t="inlineStr">
        <is>
          <t>No</t>
        </is>
      </c>
      <c r="R275" s="11" t="n">
        <v>0</v>
      </c>
      <c r="S275" s="10">
        <f>M275-(R275*K275)</f>
        <v/>
      </c>
      <c r="T275" s="12">
        <f>VLOOKUP(E275,Dim_Product!$A$2:$Q$61,3,FALSE)</f>
        <v/>
      </c>
      <c r="U275" s="12">
        <f>VLOOKUP(E275,Dim_Product!$A$2:$Q$61,4,FALSE)</f>
        <v/>
      </c>
      <c r="V275" s="12">
        <f>VLOOKUP(D275,Dim_Customer!$A$2:$I$121,6,FALSE)</f>
        <v/>
      </c>
      <c r="W275" s="12">
        <f>VLOOKUP(G275,Dim_Channel!$A$2:$B$5,2,FALSE)</f>
        <v/>
      </c>
      <c r="X275" s="12">
        <f>VLOOKUP(H275,Dim_Promotion!$A$2:$G$11,2,FALSE)</f>
        <v/>
      </c>
    </row>
    <row r="276">
      <c r="A276" s="4" t="inlineStr">
        <is>
          <t>SL0275</t>
        </is>
      </c>
      <c r="B276" t="inlineStr">
        <is>
          <t>O010138</t>
        </is>
      </c>
      <c r="C276" t="n">
        <v>20250422</v>
      </c>
      <c r="D276" s="4" t="inlineStr">
        <is>
          <t>C004</t>
        </is>
      </c>
      <c r="E276" s="4" t="inlineStr">
        <is>
          <t>P020</t>
        </is>
      </c>
      <c r="F276" t="inlineStr">
        <is>
          <t>M</t>
        </is>
      </c>
      <c r="G276" s="4" t="inlineStr">
        <is>
          <t>CH03</t>
        </is>
      </c>
      <c r="H276" s="4" t="inlineStr">
        <is>
          <t>PR00</t>
        </is>
      </c>
      <c r="I276" s="8" t="n">
        <v>64</v>
      </c>
      <c r="J276" s="9" t="n">
        <v>0</v>
      </c>
      <c r="K276" s="10">
        <f>I276*(1-J276)</f>
        <v/>
      </c>
      <c r="L276" s="11" t="n">
        <v>1</v>
      </c>
      <c r="M276" s="10">
        <f>K276*L276</f>
        <v/>
      </c>
      <c r="N276" s="8" t="n">
        <v>30.1</v>
      </c>
      <c r="O276" s="10">
        <f>N276*L276</f>
        <v/>
      </c>
      <c r="P276" s="10">
        <f>M276-O276</f>
        <v/>
      </c>
      <c r="Q276" s="11" t="inlineStr">
        <is>
          <t>No</t>
        </is>
      </c>
      <c r="R276" s="11" t="n">
        <v>0</v>
      </c>
      <c r="S276" s="10">
        <f>M276-(R276*K276)</f>
        <v/>
      </c>
      <c r="T276" s="12">
        <f>VLOOKUP(E276,Dim_Product!$A$2:$Q$61,3,FALSE)</f>
        <v/>
      </c>
      <c r="U276" s="12">
        <f>VLOOKUP(E276,Dim_Product!$A$2:$Q$61,4,FALSE)</f>
        <v/>
      </c>
      <c r="V276" s="12">
        <f>VLOOKUP(D276,Dim_Customer!$A$2:$I$121,6,FALSE)</f>
        <v/>
      </c>
      <c r="W276" s="12">
        <f>VLOOKUP(G276,Dim_Channel!$A$2:$B$5,2,FALSE)</f>
        <v/>
      </c>
      <c r="X276" s="12">
        <f>VLOOKUP(H276,Dim_Promotion!$A$2:$G$11,2,FALSE)</f>
        <v/>
      </c>
    </row>
    <row r="277">
      <c r="A277" s="4" t="inlineStr">
        <is>
          <t>SL0276</t>
        </is>
      </c>
      <c r="B277" t="inlineStr">
        <is>
          <t>O010138</t>
        </is>
      </c>
      <c r="C277" t="n">
        <v>20250308</v>
      </c>
      <c r="D277" s="4" t="inlineStr">
        <is>
          <t>C005</t>
        </is>
      </c>
      <c r="E277" s="4" t="inlineStr">
        <is>
          <t>P012</t>
        </is>
      </c>
      <c r="F277" t="inlineStr">
        <is>
          <t>M</t>
        </is>
      </c>
      <c r="G277" s="4" t="inlineStr">
        <is>
          <t>CH02</t>
        </is>
      </c>
      <c r="H277" s="4" t="inlineStr">
        <is>
          <t>PR00</t>
        </is>
      </c>
      <c r="I277" s="8" t="n">
        <v>45</v>
      </c>
      <c r="J277" s="9" t="n">
        <v>0</v>
      </c>
      <c r="K277" s="10">
        <f>I277*(1-J277)</f>
        <v/>
      </c>
      <c r="L277" s="11" t="n">
        <v>2</v>
      </c>
      <c r="M277" s="10">
        <f>K277*L277</f>
        <v/>
      </c>
      <c r="N277" s="8" t="n">
        <v>22.21</v>
      </c>
      <c r="O277" s="10">
        <f>N277*L277</f>
        <v/>
      </c>
      <c r="P277" s="10">
        <f>M277-O277</f>
        <v/>
      </c>
      <c r="Q277" s="11" t="inlineStr">
        <is>
          <t>No</t>
        </is>
      </c>
      <c r="R277" s="11" t="n">
        <v>0</v>
      </c>
      <c r="S277" s="10">
        <f>M277-(R277*K277)</f>
        <v/>
      </c>
      <c r="T277" s="12">
        <f>VLOOKUP(E277,Dim_Product!$A$2:$Q$61,3,FALSE)</f>
        <v/>
      </c>
      <c r="U277" s="12">
        <f>VLOOKUP(E277,Dim_Product!$A$2:$Q$61,4,FALSE)</f>
        <v/>
      </c>
      <c r="V277" s="12">
        <f>VLOOKUP(D277,Dim_Customer!$A$2:$I$121,6,FALSE)</f>
        <v/>
      </c>
      <c r="W277" s="12">
        <f>VLOOKUP(G277,Dim_Channel!$A$2:$B$5,2,FALSE)</f>
        <v/>
      </c>
      <c r="X277" s="12">
        <f>VLOOKUP(H277,Dim_Promotion!$A$2:$G$11,2,FALSE)</f>
        <v/>
      </c>
    </row>
    <row r="278">
      <c r="A278" s="4" t="inlineStr">
        <is>
          <t>SL0277</t>
        </is>
      </c>
      <c r="B278" t="inlineStr">
        <is>
          <t>O010139</t>
        </is>
      </c>
      <c r="C278" t="n">
        <v>20250708</v>
      </c>
      <c r="D278" s="4" t="inlineStr">
        <is>
          <t>C055</t>
        </is>
      </c>
      <c r="E278" s="4" t="inlineStr">
        <is>
          <t>P023</t>
        </is>
      </c>
      <c r="F278" t="inlineStr">
        <is>
          <t>L</t>
        </is>
      </c>
      <c r="G278" s="4" t="inlineStr">
        <is>
          <t>CH01</t>
        </is>
      </c>
      <c r="H278" s="4" t="inlineStr">
        <is>
          <t>PR00</t>
        </is>
      </c>
      <c r="I278" s="8" t="n">
        <v>58</v>
      </c>
      <c r="J278" s="9" t="n">
        <v>0</v>
      </c>
      <c r="K278" s="10">
        <f>I278*(1-J278)</f>
        <v/>
      </c>
      <c r="L278" s="11" t="n">
        <v>1</v>
      </c>
      <c r="M278" s="10">
        <f>K278*L278</f>
        <v/>
      </c>
      <c r="N278" s="8" t="n">
        <v>26.3</v>
      </c>
      <c r="O278" s="10">
        <f>N278*L278</f>
        <v/>
      </c>
      <c r="P278" s="10">
        <f>M278-O278</f>
        <v/>
      </c>
      <c r="Q278" s="11" t="inlineStr">
        <is>
          <t>No</t>
        </is>
      </c>
      <c r="R278" s="11" t="n">
        <v>0</v>
      </c>
      <c r="S278" s="10">
        <f>M278-(R278*K278)</f>
        <v/>
      </c>
      <c r="T278" s="12">
        <f>VLOOKUP(E278,Dim_Product!$A$2:$Q$61,3,FALSE)</f>
        <v/>
      </c>
      <c r="U278" s="12">
        <f>VLOOKUP(E278,Dim_Product!$A$2:$Q$61,4,FALSE)</f>
        <v/>
      </c>
      <c r="V278" s="12">
        <f>VLOOKUP(D278,Dim_Customer!$A$2:$I$121,6,FALSE)</f>
        <v/>
      </c>
      <c r="W278" s="12">
        <f>VLOOKUP(G278,Dim_Channel!$A$2:$B$5,2,FALSE)</f>
        <v/>
      </c>
      <c r="X278" s="12">
        <f>VLOOKUP(H278,Dim_Promotion!$A$2:$G$11,2,FALSE)</f>
        <v/>
      </c>
    </row>
    <row r="279">
      <c r="A279" s="4" t="inlineStr">
        <is>
          <t>SL0278</t>
        </is>
      </c>
      <c r="B279" t="inlineStr">
        <is>
          <t>O010139</t>
        </is>
      </c>
      <c r="C279" t="n">
        <v>20251117</v>
      </c>
      <c r="D279" s="4" t="inlineStr">
        <is>
          <t>C014</t>
        </is>
      </c>
      <c r="E279" s="4" t="inlineStr">
        <is>
          <t>P026</t>
        </is>
      </c>
      <c r="F279" t="inlineStr">
        <is>
          <t>S</t>
        </is>
      </c>
      <c r="G279" s="4" t="inlineStr">
        <is>
          <t>CH04</t>
        </is>
      </c>
      <c r="H279" s="4" t="inlineStr">
        <is>
          <t>PR00</t>
        </is>
      </c>
      <c r="I279" s="8" t="n">
        <v>91</v>
      </c>
      <c r="J279" s="9" t="n">
        <v>0</v>
      </c>
      <c r="K279" s="10">
        <f>I279*(1-J279)</f>
        <v/>
      </c>
      <c r="L279" s="11" t="n">
        <v>1</v>
      </c>
      <c r="M279" s="10">
        <f>K279*L279</f>
        <v/>
      </c>
      <c r="N279" s="8" t="n">
        <v>45.49</v>
      </c>
      <c r="O279" s="10">
        <f>N279*L279</f>
        <v/>
      </c>
      <c r="P279" s="10">
        <f>M279-O279</f>
        <v/>
      </c>
      <c r="Q279" s="11" t="inlineStr">
        <is>
          <t>No</t>
        </is>
      </c>
      <c r="R279" s="11" t="n">
        <v>0</v>
      </c>
      <c r="S279" s="10">
        <f>M279-(R279*K279)</f>
        <v/>
      </c>
      <c r="T279" s="12">
        <f>VLOOKUP(E279,Dim_Product!$A$2:$Q$61,3,FALSE)</f>
        <v/>
      </c>
      <c r="U279" s="12">
        <f>VLOOKUP(E279,Dim_Product!$A$2:$Q$61,4,FALSE)</f>
        <v/>
      </c>
      <c r="V279" s="12">
        <f>VLOOKUP(D279,Dim_Customer!$A$2:$I$121,6,FALSE)</f>
        <v/>
      </c>
      <c r="W279" s="12">
        <f>VLOOKUP(G279,Dim_Channel!$A$2:$B$5,2,FALSE)</f>
        <v/>
      </c>
      <c r="X279" s="12">
        <f>VLOOKUP(H279,Dim_Promotion!$A$2:$G$11,2,FALSE)</f>
        <v/>
      </c>
    </row>
    <row r="280">
      <c r="A280" s="4" t="inlineStr">
        <is>
          <t>SL0279</t>
        </is>
      </c>
      <c r="B280" t="inlineStr">
        <is>
          <t>O010140</t>
        </is>
      </c>
      <c r="C280" t="n">
        <v>20250110</v>
      </c>
      <c r="D280" s="4" t="inlineStr">
        <is>
          <t>C057</t>
        </is>
      </c>
      <c r="E280" s="4" t="inlineStr">
        <is>
          <t>P022</t>
        </is>
      </c>
      <c r="F280" t="inlineStr">
        <is>
          <t>XL</t>
        </is>
      </c>
      <c r="G280" s="4" t="inlineStr">
        <is>
          <t>CH03</t>
        </is>
      </c>
      <c r="H280" s="4" t="inlineStr">
        <is>
          <t>PR00</t>
        </is>
      </c>
      <c r="I280" s="8" t="n">
        <v>62</v>
      </c>
      <c r="J280" s="9" t="n">
        <v>0</v>
      </c>
      <c r="K280" s="10">
        <f>I280*(1-J280)</f>
        <v/>
      </c>
      <c r="L280" s="11" t="n">
        <v>2</v>
      </c>
      <c r="M280" s="10">
        <f>K280*L280</f>
        <v/>
      </c>
      <c r="N280" s="8" t="n">
        <v>26.56</v>
      </c>
      <c r="O280" s="10">
        <f>N280*L280</f>
        <v/>
      </c>
      <c r="P280" s="10">
        <f>M280-O280</f>
        <v/>
      </c>
      <c r="Q280" s="11" t="inlineStr">
        <is>
          <t>No</t>
        </is>
      </c>
      <c r="R280" s="11" t="n">
        <v>0</v>
      </c>
      <c r="S280" s="10">
        <f>M280-(R280*K280)</f>
        <v/>
      </c>
      <c r="T280" s="12">
        <f>VLOOKUP(E280,Dim_Product!$A$2:$Q$61,3,FALSE)</f>
        <v/>
      </c>
      <c r="U280" s="12">
        <f>VLOOKUP(E280,Dim_Product!$A$2:$Q$61,4,FALSE)</f>
        <v/>
      </c>
      <c r="V280" s="12">
        <f>VLOOKUP(D280,Dim_Customer!$A$2:$I$121,6,FALSE)</f>
        <v/>
      </c>
      <c r="W280" s="12">
        <f>VLOOKUP(G280,Dim_Channel!$A$2:$B$5,2,FALSE)</f>
        <v/>
      </c>
      <c r="X280" s="12">
        <f>VLOOKUP(H280,Dim_Promotion!$A$2:$G$11,2,FALSE)</f>
        <v/>
      </c>
    </row>
    <row r="281">
      <c r="A281" s="4" t="inlineStr">
        <is>
          <t>SL0280</t>
        </is>
      </c>
      <c r="B281" t="inlineStr">
        <is>
          <t>O010140</t>
        </is>
      </c>
      <c r="C281" t="n">
        <v>20250721</v>
      </c>
      <c r="D281" s="4" t="inlineStr">
        <is>
          <t>C058</t>
        </is>
      </c>
      <c r="E281" s="4" t="inlineStr">
        <is>
          <t>P005</t>
        </is>
      </c>
      <c r="F281" t="inlineStr">
        <is>
          <t>M</t>
        </is>
      </c>
      <c r="G281" s="4" t="inlineStr">
        <is>
          <t>CH02</t>
        </is>
      </c>
      <c r="H281" s="4" t="inlineStr">
        <is>
          <t>PR00</t>
        </is>
      </c>
      <c r="I281" s="8" t="n">
        <v>54</v>
      </c>
      <c r="J281" s="9" t="n">
        <v>0</v>
      </c>
      <c r="K281" s="10">
        <f>I281*(1-J281)</f>
        <v/>
      </c>
      <c r="L281" s="11" t="n">
        <v>1</v>
      </c>
      <c r="M281" s="10">
        <f>K281*L281</f>
        <v/>
      </c>
      <c r="N281" s="8" t="n">
        <v>20.1</v>
      </c>
      <c r="O281" s="10">
        <f>N281*L281</f>
        <v/>
      </c>
      <c r="P281" s="10">
        <f>M281-O281</f>
        <v/>
      </c>
      <c r="Q281" s="11" t="inlineStr">
        <is>
          <t>No</t>
        </is>
      </c>
      <c r="R281" s="11" t="n">
        <v>0</v>
      </c>
      <c r="S281" s="10">
        <f>M281-(R281*K281)</f>
        <v/>
      </c>
      <c r="T281" s="12">
        <f>VLOOKUP(E281,Dim_Product!$A$2:$Q$61,3,FALSE)</f>
        <v/>
      </c>
      <c r="U281" s="12">
        <f>VLOOKUP(E281,Dim_Product!$A$2:$Q$61,4,FALSE)</f>
        <v/>
      </c>
      <c r="V281" s="12">
        <f>VLOOKUP(D281,Dim_Customer!$A$2:$I$121,6,FALSE)</f>
        <v/>
      </c>
      <c r="W281" s="12">
        <f>VLOOKUP(G281,Dim_Channel!$A$2:$B$5,2,FALSE)</f>
        <v/>
      </c>
      <c r="X281" s="12">
        <f>VLOOKUP(H281,Dim_Promotion!$A$2:$G$11,2,FALSE)</f>
        <v/>
      </c>
    </row>
    <row r="282">
      <c r="A282" s="4" t="inlineStr">
        <is>
          <t>SL0281</t>
        </is>
      </c>
      <c r="B282" t="inlineStr">
        <is>
          <t>O010141</t>
        </is>
      </c>
      <c r="C282" t="n">
        <v>20250319</v>
      </c>
      <c r="D282" s="4" t="inlineStr">
        <is>
          <t>C115</t>
        </is>
      </c>
      <c r="E282" s="4" t="inlineStr">
        <is>
          <t>P042</t>
        </is>
      </c>
      <c r="F282" t="inlineStr">
        <is>
          <t>M</t>
        </is>
      </c>
      <c r="G282" s="4" t="inlineStr">
        <is>
          <t>CH01</t>
        </is>
      </c>
      <c r="H282" s="4" t="inlineStr">
        <is>
          <t>PR00</t>
        </is>
      </c>
      <c r="I282" s="8" t="n">
        <v>76</v>
      </c>
      <c r="J282" s="9" t="n">
        <v>0</v>
      </c>
      <c r="K282" s="10">
        <f>I282*(1-J282)</f>
        <v/>
      </c>
      <c r="L282" s="11" t="n">
        <v>1</v>
      </c>
      <c r="M282" s="10">
        <f>K282*L282</f>
        <v/>
      </c>
      <c r="N282" s="8" t="n">
        <v>36.53</v>
      </c>
      <c r="O282" s="10">
        <f>N282*L282</f>
        <v/>
      </c>
      <c r="P282" s="10">
        <f>M282-O282</f>
        <v/>
      </c>
      <c r="Q282" s="11" t="inlineStr">
        <is>
          <t>No</t>
        </is>
      </c>
      <c r="R282" s="11" t="n">
        <v>0</v>
      </c>
      <c r="S282" s="10">
        <f>M282-(R282*K282)</f>
        <v/>
      </c>
      <c r="T282" s="12">
        <f>VLOOKUP(E282,Dim_Product!$A$2:$Q$61,3,FALSE)</f>
        <v/>
      </c>
      <c r="U282" s="12">
        <f>VLOOKUP(E282,Dim_Product!$A$2:$Q$61,4,FALSE)</f>
        <v/>
      </c>
      <c r="V282" s="12">
        <f>VLOOKUP(D282,Dim_Customer!$A$2:$I$121,6,FALSE)</f>
        <v/>
      </c>
      <c r="W282" s="12">
        <f>VLOOKUP(G282,Dim_Channel!$A$2:$B$5,2,FALSE)</f>
        <v/>
      </c>
      <c r="X282" s="12">
        <f>VLOOKUP(H282,Dim_Promotion!$A$2:$G$11,2,FALSE)</f>
        <v/>
      </c>
    </row>
    <row r="283">
      <c r="A283" s="4" t="inlineStr">
        <is>
          <t>SL0282</t>
        </is>
      </c>
      <c r="B283" t="inlineStr">
        <is>
          <t>O010141</t>
        </is>
      </c>
      <c r="C283" t="n">
        <v>20250612</v>
      </c>
      <c r="D283" s="4" t="inlineStr">
        <is>
          <t>C011</t>
        </is>
      </c>
      <c r="E283" s="4" t="inlineStr">
        <is>
          <t>P030</t>
        </is>
      </c>
      <c r="F283" t="inlineStr">
        <is>
          <t>L</t>
        </is>
      </c>
      <c r="G283" s="4" t="inlineStr">
        <is>
          <t>CH04</t>
        </is>
      </c>
      <c r="H283" s="4" t="inlineStr">
        <is>
          <t>PR00</t>
        </is>
      </c>
      <c r="I283" s="8" t="n">
        <v>109</v>
      </c>
      <c r="J283" s="9" t="n">
        <v>0</v>
      </c>
      <c r="K283" s="10">
        <f>I283*(1-J283)</f>
        <v/>
      </c>
      <c r="L283" s="11" t="n">
        <v>1</v>
      </c>
      <c r="M283" s="10">
        <f>K283*L283</f>
        <v/>
      </c>
      <c r="N283" s="8" t="n">
        <v>55.45</v>
      </c>
      <c r="O283" s="10">
        <f>N283*L283</f>
        <v/>
      </c>
      <c r="P283" s="10">
        <f>M283-O283</f>
        <v/>
      </c>
      <c r="Q283" s="11" t="inlineStr">
        <is>
          <t>No</t>
        </is>
      </c>
      <c r="R283" s="11" t="n">
        <v>0</v>
      </c>
      <c r="S283" s="10">
        <f>M283-(R283*K283)</f>
        <v/>
      </c>
      <c r="T283" s="12">
        <f>VLOOKUP(E283,Dim_Product!$A$2:$Q$61,3,FALSE)</f>
        <v/>
      </c>
      <c r="U283" s="12">
        <f>VLOOKUP(E283,Dim_Product!$A$2:$Q$61,4,FALSE)</f>
        <v/>
      </c>
      <c r="V283" s="12">
        <f>VLOOKUP(D283,Dim_Customer!$A$2:$I$121,6,FALSE)</f>
        <v/>
      </c>
      <c r="W283" s="12">
        <f>VLOOKUP(G283,Dim_Channel!$A$2:$B$5,2,FALSE)</f>
        <v/>
      </c>
      <c r="X283" s="12">
        <f>VLOOKUP(H283,Dim_Promotion!$A$2:$G$11,2,FALSE)</f>
        <v/>
      </c>
    </row>
    <row r="284">
      <c r="A284" s="4" t="inlineStr">
        <is>
          <t>SL0283</t>
        </is>
      </c>
      <c r="B284" t="inlineStr">
        <is>
          <t>O010142</t>
        </is>
      </c>
      <c r="C284" t="n">
        <v>20251128</v>
      </c>
      <c r="D284" s="4" t="inlineStr">
        <is>
          <t>C020</t>
        </is>
      </c>
      <c r="E284" s="4" t="inlineStr">
        <is>
          <t>P009</t>
        </is>
      </c>
      <c r="F284" t="inlineStr">
        <is>
          <t>L</t>
        </is>
      </c>
      <c r="G284" s="4" t="inlineStr">
        <is>
          <t>CH01</t>
        </is>
      </c>
      <c r="H284" s="4" t="inlineStr">
        <is>
          <t>PR00</t>
        </is>
      </c>
      <c r="I284" s="8" t="n">
        <v>49</v>
      </c>
      <c r="J284" s="9" t="n">
        <v>0</v>
      </c>
      <c r="K284" s="10">
        <f>I284*(1-J284)</f>
        <v/>
      </c>
      <c r="L284" s="11" t="n">
        <v>1</v>
      </c>
      <c r="M284" s="10">
        <f>K284*L284</f>
        <v/>
      </c>
      <c r="N284" s="8" t="n">
        <v>18.83</v>
      </c>
      <c r="O284" s="10">
        <f>N284*L284</f>
        <v/>
      </c>
      <c r="P284" s="10">
        <f>M284-O284</f>
        <v/>
      </c>
      <c r="Q284" s="11" t="inlineStr">
        <is>
          <t>No</t>
        </is>
      </c>
      <c r="R284" s="11" t="n">
        <v>0</v>
      </c>
      <c r="S284" s="10">
        <f>M284-(R284*K284)</f>
        <v/>
      </c>
      <c r="T284" s="12">
        <f>VLOOKUP(E284,Dim_Product!$A$2:$Q$61,3,FALSE)</f>
        <v/>
      </c>
      <c r="U284" s="12">
        <f>VLOOKUP(E284,Dim_Product!$A$2:$Q$61,4,FALSE)</f>
        <v/>
      </c>
      <c r="V284" s="12">
        <f>VLOOKUP(D284,Dim_Customer!$A$2:$I$121,6,FALSE)</f>
        <v/>
      </c>
      <c r="W284" s="12">
        <f>VLOOKUP(G284,Dim_Channel!$A$2:$B$5,2,FALSE)</f>
        <v/>
      </c>
      <c r="X284" s="12">
        <f>VLOOKUP(H284,Dim_Promotion!$A$2:$G$11,2,FALSE)</f>
        <v/>
      </c>
    </row>
    <row r="285">
      <c r="A285" s="4" t="inlineStr">
        <is>
          <t>SL0284</t>
        </is>
      </c>
      <c r="B285" t="inlineStr">
        <is>
          <t>O010142</t>
        </is>
      </c>
      <c r="C285" t="n">
        <v>20251201</v>
      </c>
      <c r="D285" s="4" t="inlineStr">
        <is>
          <t>C080</t>
        </is>
      </c>
      <c r="E285" s="4" t="inlineStr">
        <is>
          <t>P045</t>
        </is>
      </c>
      <c r="F285" t="inlineStr">
        <is>
          <t>M</t>
        </is>
      </c>
      <c r="G285" s="4" t="inlineStr">
        <is>
          <t>CH01</t>
        </is>
      </c>
      <c r="H285" s="4" t="inlineStr">
        <is>
          <t>PR00</t>
        </is>
      </c>
      <c r="I285" s="8" t="n">
        <v>67</v>
      </c>
      <c r="J285" s="9" t="n">
        <v>0</v>
      </c>
      <c r="K285" s="10">
        <f>I285*(1-J285)</f>
        <v/>
      </c>
      <c r="L285" s="11" t="n">
        <v>1</v>
      </c>
      <c r="M285" s="10">
        <f>K285*L285</f>
        <v/>
      </c>
      <c r="N285" s="8" t="n">
        <v>33.51</v>
      </c>
      <c r="O285" s="10">
        <f>N285*L285</f>
        <v/>
      </c>
      <c r="P285" s="10">
        <f>M285-O285</f>
        <v/>
      </c>
      <c r="Q285" s="11" t="inlineStr">
        <is>
          <t>No</t>
        </is>
      </c>
      <c r="R285" s="11" t="n">
        <v>0</v>
      </c>
      <c r="S285" s="10">
        <f>M285-(R285*K285)</f>
        <v/>
      </c>
      <c r="T285" s="12">
        <f>VLOOKUP(E285,Dim_Product!$A$2:$Q$61,3,FALSE)</f>
        <v/>
      </c>
      <c r="U285" s="12">
        <f>VLOOKUP(E285,Dim_Product!$A$2:$Q$61,4,FALSE)</f>
        <v/>
      </c>
      <c r="V285" s="12">
        <f>VLOOKUP(D285,Dim_Customer!$A$2:$I$121,6,FALSE)</f>
        <v/>
      </c>
      <c r="W285" s="12">
        <f>VLOOKUP(G285,Dim_Channel!$A$2:$B$5,2,FALSE)</f>
        <v/>
      </c>
      <c r="X285" s="12">
        <f>VLOOKUP(H285,Dim_Promotion!$A$2:$G$11,2,FALSE)</f>
        <v/>
      </c>
    </row>
    <row r="286">
      <c r="A286" s="4" t="inlineStr">
        <is>
          <t>SL0285</t>
        </is>
      </c>
      <c r="B286" t="inlineStr">
        <is>
          <t>O010143</t>
        </is>
      </c>
      <c r="C286" t="n">
        <v>20250603</v>
      </c>
      <c r="D286" s="4" t="inlineStr">
        <is>
          <t>C077</t>
        </is>
      </c>
      <c r="E286" s="4" t="inlineStr">
        <is>
          <t>P035</t>
        </is>
      </c>
      <c r="F286" t="inlineStr">
        <is>
          <t>L</t>
        </is>
      </c>
      <c r="G286" s="4" t="inlineStr">
        <is>
          <t>CH02</t>
        </is>
      </c>
      <c r="H286" s="4" t="inlineStr">
        <is>
          <t>PR00</t>
        </is>
      </c>
      <c r="I286" s="8" t="n">
        <v>88</v>
      </c>
      <c r="J286" s="9" t="n">
        <v>0</v>
      </c>
      <c r="K286" s="10">
        <f>I286*(1-J286)</f>
        <v/>
      </c>
      <c r="L286" s="11" t="n">
        <v>1</v>
      </c>
      <c r="M286" s="10">
        <f>K286*L286</f>
        <v/>
      </c>
      <c r="N286" s="8" t="n">
        <v>42.52</v>
      </c>
      <c r="O286" s="10">
        <f>N286*L286</f>
        <v/>
      </c>
      <c r="P286" s="10">
        <f>M286-O286</f>
        <v/>
      </c>
      <c r="Q286" s="11" t="inlineStr">
        <is>
          <t>No</t>
        </is>
      </c>
      <c r="R286" s="11" t="n">
        <v>0</v>
      </c>
      <c r="S286" s="10">
        <f>M286-(R286*K286)</f>
        <v/>
      </c>
      <c r="T286" s="12">
        <f>VLOOKUP(E286,Dim_Product!$A$2:$Q$61,3,FALSE)</f>
        <v/>
      </c>
      <c r="U286" s="12">
        <f>VLOOKUP(E286,Dim_Product!$A$2:$Q$61,4,FALSE)</f>
        <v/>
      </c>
      <c r="V286" s="12">
        <f>VLOOKUP(D286,Dim_Customer!$A$2:$I$121,6,FALSE)</f>
        <v/>
      </c>
      <c r="W286" s="12">
        <f>VLOOKUP(G286,Dim_Channel!$A$2:$B$5,2,FALSE)</f>
        <v/>
      </c>
      <c r="X286" s="12">
        <f>VLOOKUP(H286,Dim_Promotion!$A$2:$G$11,2,FALSE)</f>
        <v/>
      </c>
    </row>
    <row r="287">
      <c r="A287" s="4" t="inlineStr">
        <is>
          <t>SL0286</t>
        </is>
      </c>
      <c r="B287" t="inlineStr">
        <is>
          <t>O010143</t>
        </is>
      </c>
      <c r="C287" t="n">
        <v>20250128</v>
      </c>
      <c r="D287" s="4" t="inlineStr">
        <is>
          <t>C005</t>
        </is>
      </c>
      <c r="E287" s="4" t="inlineStr">
        <is>
          <t>P017</t>
        </is>
      </c>
      <c r="F287" t="inlineStr">
        <is>
          <t>XS</t>
        </is>
      </c>
      <c r="G287" s="4" t="inlineStr">
        <is>
          <t>CH02</t>
        </is>
      </c>
      <c r="H287" s="4" t="inlineStr">
        <is>
          <t>PR00</t>
        </is>
      </c>
      <c r="I287" s="8" t="n">
        <v>68</v>
      </c>
      <c r="J287" s="9" t="n">
        <v>0</v>
      </c>
      <c r="K287" s="10">
        <f>I287*(1-J287)</f>
        <v/>
      </c>
      <c r="L287" s="11" t="n">
        <v>1</v>
      </c>
      <c r="M287" s="10">
        <f>K287*L287</f>
        <v/>
      </c>
      <c r="N287" s="8" t="n">
        <v>32.69</v>
      </c>
      <c r="O287" s="10">
        <f>N287*L287</f>
        <v/>
      </c>
      <c r="P287" s="10">
        <f>M287-O287</f>
        <v/>
      </c>
      <c r="Q287" s="11" t="inlineStr">
        <is>
          <t>No</t>
        </is>
      </c>
      <c r="R287" s="11" t="n">
        <v>0</v>
      </c>
      <c r="S287" s="10">
        <f>M287-(R287*K287)</f>
        <v/>
      </c>
      <c r="T287" s="12">
        <f>VLOOKUP(E287,Dim_Product!$A$2:$Q$61,3,FALSE)</f>
        <v/>
      </c>
      <c r="U287" s="12">
        <f>VLOOKUP(E287,Dim_Product!$A$2:$Q$61,4,FALSE)</f>
        <v/>
      </c>
      <c r="V287" s="12">
        <f>VLOOKUP(D287,Dim_Customer!$A$2:$I$121,6,FALSE)</f>
        <v/>
      </c>
      <c r="W287" s="12">
        <f>VLOOKUP(G287,Dim_Channel!$A$2:$B$5,2,FALSE)</f>
        <v/>
      </c>
      <c r="X287" s="12">
        <f>VLOOKUP(H287,Dim_Promotion!$A$2:$G$11,2,FALSE)</f>
        <v/>
      </c>
    </row>
    <row r="288">
      <c r="A288" s="4" t="inlineStr">
        <is>
          <t>SL0287</t>
        </is>
      </c>
      <c r="B288" t="inlineStr">
        <is>
          <t>O010144</t>
        </is>
      </c>
      <c r="C288" t="n">
        <v>20251106</v>
      </c>
      <c r="D288" s="4" t="inlineStr">
        <is>
          <t>C059</t>
        </is>
      </c>
      <c r="E288" s="4" t="inlineStr">
        <is>
          <t>P044</t>
        </is>
      </c>
      <c r="F288" t="inlineStr">
        <is>
          <t>XS</t>
        </is>
      </c>
      <c r="G288" s="4" t="inlineStr">
        <is>
          <t>CH03</t>
        </is>
      </c>
      <c r="H288" s="4" t="inlineStr">
        <is>
          <t>PR00</t>
        </is>
      </c>
      <c r="I288" s="8" t="n">
        <v>79</v>
      </c>
      <c r="J288" s="9" t="n">
        <v>0</v>
      </c>
      <c r="K288" s="10">
        <f>I288*(1-J288)</f>
        <v/>
      </c>
      <c r="L288" s="11" t="n">
        <v>2</v>
      </c>
      <c r="M288" s="10">
        <f>K288*L288</f>
        <v/>
      </c>
      <c r="N288" s="8" t="n">
        <v>35.89</v>
      </c>
      <c r="O288" s="10">
        <f>N288*L288</f>
        <v/>
      </c>
      <c r="P288" s="10">
        <f>M288-O288</f>
        <v/>
      </c>
      <c r="Q288" s="11" t="inlineStr">
        <is>
          <t>No</t>
        </is>
      </c>
      <c r="R288" s="11" t="n">
        <v>0</v>
      </c>
      <c r="S288" s="10">
        <f>M288-(R288*K288)</f>
        <v/>
      </c>
      <c r="T288" s="12">
        <f>VLOOKUP(E288,Dim_Product!$A$2:$Q$61,3,FALSE)</f>
        <v/>
      </c>
      <c r="U288" s="12">
        <f>VLOOKUP(E288,Dim_Product!$A$2:$Q$61,4,FALSE)</f>
        <v/>
      </c>
      <c r="V288" s="12">
        <f>VLOOKUP(D288,Dim_Customer!$A$2:$I$121,6,FALSE)</f>
        <v/>
      </c>
      <c r="W288" s="12">
        <f>VLOOKUP(G288,Dim_Channel!$A$2:$B$5,2,FALSE)</f>
        <v/>
      </c>
      <c r="X288" s="12">
        <f>VLOOKUP(H288,Dim_Promotion!$A$2:$G$11,2,FALSE)</f>
        <v/>
      </c>
    </row>
    <row r="289">
      <c r="A289" s="4" t="inlineStr">
        <is>
          <t>SL0288</t>
        </is>
      </c>
      <c r="B289" t="inlineStr">
        <is>
          <t>O010144</t>
        </is>
      </c>
      <c r="C289" t="n">
        <v>20250116</v>
      </c>
      <c r="D289" s="4" t="inlineStr">
        <is>
          <t>C018</t>
        </is>
      </c>
      <c r="E289" s="4" t="inlineStr">
        <is>
          <t>P019</t>
        </is>
      </c>
      <c r="F289" t="inlineStr">
        <is>
          <t>S</t>
        </is>
      </c>
      <c r="G289" s="4" t="inlineStr">
        <is>
          <t>CH01</t>
        </is>
      </c>
      <c r="H289" s="4" t="inlineStr">
        <is>
          <t>PR00</t>
        </is>
      </c>
      <c r="I289" s="8" t="n">
        <v>66</v>
      </c>
      <c r="J289" s="9" t="n">
        <v>0</v>
      </c>
      <c r="K289" s="10">
        <f>I289*(1-J289)</f>
        <v/>
      </c>
      <c r="L289" s="11" t="n">
        <v>4</v>
      </c>
      <c r="M289" s="10">
        <f>K289*L289</f>
        <v/>
      </c>
      <c r="N289" s="8" t="n">
        <v>32.29</v>
      </c>
      <c r="O289" s="10">
        <f>N289*L289</f>
        <v/>
      </c>
      <c r="P289" s="10">
        <f>M289-O289</f>
        <v/>
      </c>
      <c r="Q289" s="11" t="inlineStr">
        <is>
          <t>No</t>
        </is>
      </c>
      <c r="R289" s="11" t="n">
        <v>0</v>
      </c>
      <c r="S289" s="10">
        <f>M289-(R289*K289)</f>
        <v/>
      </c>
      <c r="T289" s="12">
        <f>VLOOKUP(E289,Dim_Product!$A$2:$Q$61,3,FALSE)</f>
        <v/>
      </c>
      <c r="U289" s="12">
        <f>VLOOKUP(E289,Dim_Product!$A$2:$Q$61,4,FALSE)</f>
        <v/>
      </c>
      <c r="V289" s="12">
        <f>VLOOKUP(D289,Dim_Customer!$A$2:$I$121,6,FALSE)</f>
        <v/>
      </c>
      <c r="W289" s="12">
        <f>VLOOKUP(G289,Dim_Channel!$A$2:$B$5,2,FALSE)</f>
        <v/>
      </c>
      <c r="X289" s="12">
        <f>VLOOKUP(H289,Dim_Promotion!$A$2:$G$11,2,FALSE)</f>
        <v/>
      </c>
    </row>
    <row r="290">
      <c r="A290" s="4" t="inlineStr">
        <is>
          <t>SL0289</t>
        </is>
      </c>
      <c r="B290" t="inlineStr">
        <is>
          <t>O010145</t>
        </is>
      </c>
      <c r="C290" t="n">
        <v>20251223</v>
      </c>
      <c r="D290" s="4" t="inlineStr">
        <is>
          <t>C037</t>
        </is>
      </c>
      <c r="E290" s="4" t="inlineStr">
        <is>
          <t>P014</t>
        </is>
      </c>
      <c r="F290" t="inlineStr">
        <is>
          <t>L</t>
        </is>
      </c>
      <c r="G290" s="4" t="inlineStr">
        <is>
          <t>CH04</t>
        </is>
      </c>
      <c r="H290" s="4" t="inlineStr">
        <is>
          <t>PR00</t>
        </is>
      </c>
      <c r="I290" s="8" t="n">
        <v>61</v>
      </c>
      <c r="J290" s="9" t="n">
        <v>0</v>
      </c>
      <c r="K290" s="10">
        <f>I290*(1-J290)</f>
        <v/>
      </c>
      <c r="L290" s="11" t="n">
        <v>1</v>
      </c>
      <c r="M290" s="10">
        <f>K290*L290</f>
        <v/>
      </c>
      <c r="N290" s="8" t="n">
        <v>26.75</v>
      </c>
      <c r="O290" s="10">
        <f>N290*L290</f>
        <v/>
      </c>
      <c r="P290" s="10">
        <f>M290-O290</f>
        <v/>
      </c>
      <c r="Q290" s="11" t="inlineStr">
        <is>
          <t>No</t>
        </is>
      </c>
      <c r="R290" s="11" t="n">
        <v>0</v>
      </c>
      <c r="S290" s="10">
        <f>M290-(R290*K290)</f>
        <v/>
      </c>
      <c r="T290" s="12">
        <f>VLOOKUP(E290,Dim_Product!$A$2:$Q$61,3,FALSE)</f>
        <v/>
      </c>
      <c r="U290" s="12">
        <f>VLOOKUP(E290,Dim_Product!$A$2:$Q$61,4,FALSE)</f>
        <v/>
      </c>
      <c r="V290" s="12">
        <f>VLOOKUP(D290,Dim_Customer!$A$2:$I$121,6,FALSE)</f>
        <v/>
      </c>
      <c r="W290" s="12">
        <f>VLOOKUP(G290,Dim_Channel!$A$2:$B$5,2,FALSE)</f>
        <v/>
      </c>
      <c r="X290" s="12">
        <f>VLOOKUP(H290,Dim_Promotion!$A$2:$G$11,2,FALSE)</f>
        <v/>
      </c>
    </row>
    <row r="291">
      <c r="A291" s="4" t="inlineStr">
        <is>
          <t>SL0290</t>
        </is>
      </c>
      <c r="B291" t="inlineStr">
        <is>
          <t>O010145</t>
        </is>
      </c>
      <c r="C291" t="n">
        <v>20251007</v>
      </c>
      <c r="D291" s="4" t="inlineStr">
        <is>
          <t>C001</t>
        </is>
      </c>
      <c r="E291" s="4" t="inlineStr">
        <is>
          <t>P007</t>
        </is>
      </c>
      <c r="F291" t="inlineStr">
        <is>
          <t>L</t>
        </is>
      </c>
      <c r="G291" s="4" t="inlineStr">
        <is>
          <t>CH04</t>
        </is>
      </c>
      <c r="H291" s="4" t="inlineStr">
        <is>
          <t>PR00</t>
        </is>
      </c>
      <c r="I291" s="8" t="n">
        <v>51</v>
      </c>
      <c r="J291" s="9" t="n">
        <v>0</v>
      </c>
      <c r="K291" s="10">
        <f>I291*(1-J291)</f>
        <v/>
      </c>
      <c r="L291" s="11" t="n">
        <v>1</v>
      </c>
      <c r="M291" s="10">
        <f>K291*L291</f>
        <v/>
      </c>
      <c r="N291" s="8" t="n">
        <v>22</v>
      </c>
      <c r="O291" s="10">
        <f>N291*L291</f>
        <v/>
      </c>
      <c r="P291" s="10">
        <f>M291-O291</f>
        <v/>
      </c>
      <c r="Q291" s="11" t="inlineStr">
        <is>
          <t>No</t>
        </is>
      </c>
      <c r="R291" s="11" t="n">
        <v>0</v>
      </c>
      <c r="S291" s="10">
        <f>M291-(R291*K291)</f>
        <v/>
      </c>
      <c r="T291" s="12">
        <f>VLOOKUP(E291,Dim_Product!$A$2:$Q$61,3,FALSE)</f>
        <v/>
      </c>
      <c r="U291" s="12">
        <f>VLOOKUP(E291,Dim_Product!$A$2:$Q$61,4,FALSE)</f>
        <v/>
      </c>
      <c r="V291" s="12">
        <f>VLOOKUP(D291,Dim_Customer!$A$2:$I$121,6,FALSE)</f>
        <v/>
      </c>
      <c r="W291" s="12">
        <f>VLOOKUP(G291,Dim_Channel!$A$2:$B$5,2,FALSE)</f>
        <v/>
      </c>
      <c r="X291" s="12">
        <f>VLOOKUP(H291,Dim_Promotion!$A$2:$G$11,2,FALSE)</f>
        <v/>
      </c>
    </row>
    <row r="292">
      <c r="A292" s="4" t="inlineStr">
        <is>
          <t>SL0291</t>
        </is>
      </c>
      <c r="B292" t="inlineStr">
        <is>
          <t>O010146</t>
        </is>
      </c>
      <c r="C292" t="n">
        <v>20250901</v>
      </c>
      <c r="D292" s="4" t="inlineStr">
        <is>
          <t>C082</t>
        </is>
      </c>
      <c r="E292" s="4" t="inlineStr">
        <is>
          <t>P011</t>
        </is>
      </c>
      <c r="F292" t="inlineStr">
        <is>
          <t>L</t>
        </is>
      </c>
      <c r="G292" s="4" t="inlineStr">
        <is>
          <t>CH02</t>
        </is>
      </c>
      <c r="H292" s="4" t="inlineStr">
        <is>
          <t>PR00</t>
        </is>
      </c>
      <c r="I292" s="8" t="n">
        <v>46</v>
      </c>
      <c r="J292" s="9" t="n">
        <v>0</v>
      </c>
      <c r="K292" s="10">
        <f>I292*(1-J292)</f>
        <v/>
      </c>
      <c r="L292" s="11" t="n">
        <v>2</v>
      </c>
      <c r="M292" s="10">
        <f>K292*L292</f>
        <v/>
      </c>
      <c r="N292" s="8" t="n">
        <v>19.74</v>
      </c>
      <c r="O292" s="10">
        <f>N292*L292</f>
        <v/>
      </c>
      <c r="P292" s="10">
        <f>M292-O292</f>
        <v/>
      </c>
      <c r="Q292" s="11" t="inlineStr">
        <is>
          <t>No</t>
        </is>
      </c>
      <c r="R292" s="11" t="n">
        <v>0</v>
      </c>
      <c r="S292" s="10">
        <f>M292-(R292*K292)</f>
        <v/>
      </c>
      <c r="T292" s="12">
        <f>VLOOKUP(E292,Dim_Product!$A$2:$Q$61,3,FALSE)</f>
        <v/>
      </c>
      <c r="U292" s="12">
        <f>VLOOKUP(E292,Dim_Product!$A$2:$Q$61,4,FALSE)</f>
        <v/>
      </c>
      <c r="V292" s="12">
        <f>VLOOKUP(D292,Dim_Customer!$A$2:$I$121,6,FALSE)</f>
        <v/>
      </c>
      <c r="W292" s="12">
        <f>VLOOKUP(G292,Dim_Channel!$A$2:$B$5,2,FALSE)</f>
        <v/>
      </c>
      <c r="X292" s="12">
        <f>VLOOKUP(H292,Dim_Promotion!$A$2:$G$11,2,FALSE)</f>
        <v/>
      </c>
    </row>
    <row r="293">
      <c r="A293" s="4" t="inlineStr">
        <is>
          <t>SL0292</t>
        </is>
      </c>
      <c r="B293" t="inlineStr">
        <is>
          <t>O010146</t>
        </is>
      </c>
      <c r="C293" t="n">
        <v>20250619</v>
      </c>
      <c r="D293" s="4" t="inlineStr">
        <is>
          <t>C079</t>
        </is>
      </c>
      <c r="E293" s="4" t="inlineStr">
        <is>
          <t>P055</t>
        </is>
      </c>
      <c r="F293" t="inlineStr">
        <is>
          <t>M</t>
        </is>
      </c>
      <c r="G293" s="4" t="inlineStr">
        <is>
          <t>CH01</t>
        </is>
      </c>
      <c r="H293" s="4" t="inlineStr">
        <is>
          <t>PR00</t>
        </is>
      </c>
      <c r="I293" s="8" t="n">
        <v>71</v>
      </c>
      <c r="J293" s="9" t="n">
        <v>0</v>
      </c>
      <c r="K293" s="10">
        <f>I293*(1-J293)</f>
        <v/>
      </c>
      <c r="L293" s="11" t="n">
        <v>2</v>
      </c>
      <c r="M293" s="10">
        <f>K293*L293</f>
        <v/>
      </c>
      <c r="N293" s="8" t="n">
        <v>34.42</v>
      </c>
      <c r="O293" s="10">
        <f>N293*L293</f>
        <v/>
      </c>
      <c r="P293" s="10">
        <f>M293-O293</f>
        <v/>
      </c>
      <c r="Q293" s="11" t="inlineStr">
        <is>
          <t>No</t>
        </is>
      </c>
      <c r="R293" s="11" t="n">
        <v>0</v>
      </c>
      <c r="S293" s="10">
        <f>M293-(R293*K293)</f>
        <v/>
      </c>
      <c r="T293" s="12">
        <f>VLOOKUP(E293,Dim_Product!$A$2:$Q$61,3,FALSE)</f>
        <v/>
      </c>
      <c r="U293" s="12">
        <f>VLOOKUP(E293,Dim_Product!$A$2:$Q$61,4,FALSE)</f>
        <v/>
      </c>
      <c r="V293" s="12">
        <f>VLOOKUP(D293,Dim_Customer!$A$2:$I$121,6,FALSE)</f>
        <v/>
      </c>
      <c r="W293" s="12">
        <f>VLOOKUP(G293,Dim_Channel!$A$2:$B$5,2,FALSE)</f>
        <v/>
      </c>
      <c r="X293" s="12">
        <f>VLOOKUP(H293,Dim_Promotion!$A$2:$G$11,2,FALSE)</f>
        <v/>
      </c>
    </row>
    <row r="294">
      <c r="A294" s="4" t="inlineStr">
        <is>
          <t>SL0293</t>
        </is>
      </c>
      <c r="B294" t="inlineStr">
        <is>
          <t>O010147</t>
        </is>
      </c>
      <c r="C294" t="n">
        <v>20251114</v>
      </c>
      <c r="D294" s="4" t="inlineStr">
        <is>
          <t>C119</t>
        </is>
      </c>
      <c r="E294" s="4" t="inlineStr">
        <is>
          <t>P017</t>
        </is>
      </c>
      <c r="F294" t="inlineStr">
        <is>
          <t>S</t>
        </is>
      </c>
      <c r="G294" s="4" t="inlineStr">
        <is>
          <t>CH04</t>
        </is>
      </c>
      <c r="H294" s="4" t="inlineStr">
        <is>
          <t>PR00</t>
        </is>
      </c>
      <c r="I294" s="8" t="n">
        <v>68</v>
      </c>
      <c r="J294" s="9" t="n">
        <v>0</v>
      </c>
      <c r="K294" s="10">
        <f>I294*(1-J294)</f>
        <v/>
      </c>
      <c r="L294" s="11" t="n">
        <v>1</v>
      </c>
      <c r="M294" s="10">
        <f>K294*L294</f>
        <v/>
      </c>
      <c r="N294" s="8" t="n">
        <v>31.65</v>
      </c>
      <c r="O294" s="10">
        <f>N294*L294</f>
        <v/>
      </c>
      <c r="P294" s="10">
        <f>M294-O294</f>
        <v/>
      </c>
      <c r="Q294" s="11" t="inlineStr">
        <is>
          <t>No</t>
        </is>
      </c>
      <c r="R294" s="11" t="n">
        <v>0</v>
      </c>
      <c r="S294" s="10">
        <f>M294-(R294*K294)</f>
        <v/>
      </c>
      <c r="T294" s="12">
        <f>VLOOKUP(E294,Dim_Product!$A$2:$Q$61,3,FALSE)</f>
        <v/>
      </c>
      <c r="U294" s="12">
        <f>VLOOKUP(E294,Dim_Product!$A$2:$Q$61,4,FALSE)</f>
        <v/>
      </c>
      <c r="V294" s="12">
        <f>VLOOKUP(D294,Dim_Customer!$A$2:$I$121,6,FALSE)</f>
        <v/>
      </c>
      <c r="W294" s="12">
        <f>VLOOKUP(G294,Dim_Channel!$A$2:$B$5,2,FALSE)</f>
        <v/>
      </c>
      <c r="X294" s="12">
        <f>VLOOKUP(H294,Dim_Promotion!$A$2:$G$11,2,FALSE)</f>
        <v/>
      </c>
    </row>
    <row r="295">
      <c r="A295" s="4" t="inlineStr">
        <is>
          <t>SL0294</t>
        </is>
      </c>
      <c r="B295" t="inlineStr">
        <is>
          <t>O010147</t>
        </is>
      </c>
      <c r="C295" t="n">
        <v>20250513</v>
      </c>
      <c r="D295" s="4" t="inlineStr">
        <is>
          <t>C081</t>
        </is>
      </c>
      <c r="E295" s="4" t="inlineStr">
        <is>
          <t>P031</t>
        </is>
      </c>
      <c r="F295" t="inlineStr">
        <is>
          <t>M</t>
        </is>
      </c>
      <c r="G295" s="4" t="inlineStr">
        <is>
          <t>CH01</t>
        </is>
      </c>
      <c r="H295" s="4" t="inlineStr">
        <is>
          <t>PR00</t>
        </is>
      </c>
      <c r="I295" s="8" t="n">
        <v>112</v>
      </c>
      <c r="J295" s="9" t="n">
        <v>0</v>
      </c>
      <c r="K295" s="10">
        <f>I295*(1-J295)</f>
        <v/>
      </c>
      <c r="L295" s="11" t="n">
        <v>1</v>
      </c>
      <c r="M295" s="10">
        <f>K295*L295</f>
        <v/>
      </c>
      <c r="N295" s="8" t="n">
        <v>54.94</v>
      </c>
      <c r="O295" s="10">
        <f>N295*L295</f>
        <v/>
      </c>
      <c r="P295" s="10">
        <f>M295-O295</f>
        <v/>
      </c>
      <c r="Q295" s="11" t="inlineStr">
        <is>
          <t>Yes</t>
        </is>
      </c>
      <c r="R295" s="11" t="n">
        <v>1</v>
      </c>
      <c r="S295" s="10">
        <f>M295-(R295*K295)</f>
        <v/>
      </c>
      <c r="T295" s="12">
        <f>VLOOKUP(E295,Dim_Product!$A$2:$Q$61,3,FALSE)</f>
        <v/>
      </c>
      <c r="U295" s="12">
        <f>VLOOKUP(E295,Dim_Product!$A$2:$Q$61,4,FALSE)</f>
        <v/>
      </c>
      <c r="V295" s="12">
        <f>VLOOKUP(D295,Dim_Customer!$A$2:$I$121,6,FALSE)</f>
        <v/>
      </c>
      <c r="W295" s="12">
        <f>VLOOKUP(G295,Dim_Channel!$A$2:$B$5,2,FALSE)</f>
        <v/>
      </c>
      <c r="X295" s="12">
        <f>VLOOKUP(H295,Dim_Promotion!$A$2:$G$11,2,FALSE)</f>
        <v/>
      </c>
    </row>
    <row r="296">
      <c r="A296" s="4" t="inlineStr">
        <is>
          <t>SL0295</t>
        </is>
      </c>
      <c r="B296" t="inlineStr">
        <is>
          <t>O010148</t>
        </is>
      </c>
      <c r="C296" t="n">
        <v>20250208</v>
      </c>
      <c r="D296" s="4" t="inlineStr">
        <is>
          <t>C048</t>
        </is>
      </c>
      <c r="E296" s="4" t="inlineStr">
        <is>
          <t>P012</t>
        </is>
      </c>
      <c r="F296" t="inlineStr">
        <is>
          <t>S</t>
        </is>
      </c>
      <c r="G296" s="4" t="inlineStr">
        <is>
          <t>CH04</t>
        </is>
      </c>
      <c r="H296" s="4" t="inlineStr">
        <is>
          <t>PR00</t>
        </is>
      </c>
      <c r="I296" s="8" t="n">
        <v>45</v>
      </c>
      <c r="J296" s="9" t="n">
        <v>0</v>
      </c>
      <c r="K296" s="10">
        <f>I296*(1-J296)</f>
        <v/>
      </c>
      <c r="L296" s="11" t="n">
        <v>1</v>
      </c>
      <c r="M296" s="10">
        <f>K296*L296</f>
        <v/>
      </c>
      <c r="N296" s="8" t="n">
        <v>22.61</v>
      </c>
      <c r="O296" s="10">
        <f>N296*L296</f>
        <v/>
      </c>
      <c r="P296" s="10">
        <f>M296-O296</f>
        <v/>
      </c>
      <c r="Q296" s="11" t="inlineStr">
        <is>
          <t>No</t>
        </is>
      </c>
      <c r="R296" s="11" t="n">
        <v>0</v>
      </c>
      <c r="S296" s="10">
        <f>M296-(R296*K296)</f>
        <v/>
      </c>
      <c r="T296" s="12">
        <f>VLOOKUP(E296,Dim_Product!$A$2:$Q$61,3,FALSE)</f>
        <v/>
      </c>
      <c r="U296" s="12">
        <f>VLOOKUP(E296,Dim_Product!$A$2:$Q$61,4,FALSE)</f>
        <v/>
      </c>
      <c r="V296" s="12">
        <f>VLOOKUP(D296,Dim_Customer!$A$2:$I$121,6,FALSE)</f>
        <v/>
      </c>
      <c r="W296" s="12">
        <f>VLOOKUP(G296,Dim_Channel!$A$2:$B$5,2,FALSE)</f>
        <v/>
      </c>
      <c r="X296" s="12">
        <f>VLOOKUP(H296,Dim_Promotion!$A$2:$G$11,2,FALSE)</f>
        <v/>
      </c>
    </row>
    <row r="297">
      <c r="A297" s="4" t="inlineStr">
        <is>
          <t>SL0296</t>
        </is>
      </c>
      <c r="B297" t="inlineStr">
        <is>
          <t>O010148</t>
        </is>
      </c>
      <c r="C297" t="n">
        <v>20250311</v>
      </c>
      <c r="D297" s="4" t="inlineStr">
        <is>
          <t>C119</t>
        </is>
      </c>
      <c r="E297" s="4" t="inlineStr">
        <is>
          <t>P017</t>
        </is>
      </c>
      <c r="F297" t="inlineStr">
        <is>
          <t>L</t>
        </is>
      </c>
      <c r="G297" s="4" t="inlineStr">
        <is>
          <t>CH01</t>
        </is>
      </c>
      <c r="H297" s="4" t="inlineStr">
        <is>
          <t>PR00</t>
        </is>
      </c>
      <c r="I297" s="8" t="n">
        <v>68</v>
      </c>
      <c r="J297" s="9" t="n">
        <v>0</v>
      </c>
      <c r="K297" s="10">
        <f>I297*(1-J297)</f>
        <v/>
      </c>
      <c r="L297" s="11" t="n">
        <v>1</v>
      </c>
      <c r="M297" s="10">
        <f>K297*L297</f>
        <v/>
      </c>
      <c r="N297" s="8" t="n">
        <v>31.43</v>
      </c>
      <c r="O297" s="10">
        <f>N297*L297</f>
        <v/>
      </c>
      <c r="P297" s="10">
        <f>M297-O297</f>
        <v/>
      </c>
      <c r="Q297" s="11" t="inlineStr">
        <is>
          <t>No</t>
        </is>
      </c>
      <c r="R297" s="11" t="n">
        <v>0</v>
      </c>
      <c r="S297" s="10">
        <f>M297-(R297*K297)</f>
        <v/>
      </c>
      <c r="T297" s="12">
        <f>VLOOKUP(E297,Dim_Product!$A$2:$Q$61,3,FALSE)</f>
        <v/>
      </c>
      <c r="U297" s="12">
        <f>VLOOKUP(E297,Dim_Product!$A$2:$Q$61,4,FALSE)</f>
        <v/>
      </c>
      <c r="V297" s="12">
        <f>VLOOKUP(D297,Dim_Customer!$A$2:$I$121,6,FALSE)</f>
        <v/>
      </c>
      <c r="W297" s="12">
        <f>VLOOKUP(G297,Dim_Channel!$A$2:$B$5,2,FALSE)</f>
        <v/>
      </c>
      <c r="X297" s="12">
        <f>VLOOKUP(H297,Dim_Promotion!$A$2:$G$11,2,FALSE)</f>
        <v/>
      </c>
    </row>
    <row r="298">
      <c r="A298" s="4" t="inlineStr">
        <is>
          <t>SL0297</t>
        </is>
      </c>
      <c r="B298" t="inlineStr">
        <is>
          <t>O010149</t>
        </is>
      </c>
      <c r="C298" t="n">
        <v>20251104</v>
      </c>
      <c r="D298" s="4" t="inlineStr">
        <is>
          <t>C001</t>
        </is>
      </c>
      <c r="E298" s="4" t="inlineStr">
        <is>
          <t>P017</t>
        </is>
      </c>
      <c r="F298" t="inlineStr">
        <is>
          <t>L</t>
        </is>
      </c>
      <c r="G298" s="4" t="inlineStr">
        <is>
          <t>CH04</t>
        </is>
      </c>
      <c r="H298" s="4" t="inlineStr">
        <is>
          <t>PR00</t>
        </is>
      </c>
      <c r="I298" s="8" t="n">
        <v>66</v>
      </c>
      <c r="J298" s="9" t="n">
        <v>0</v>
      </c>
      <c r="K298" s="10">
        <f>I298*(1-J298)</f>
        <v/>
      </c>
      <c r="L298" s="11" t="n">
        <v>1</v>
      </c>
      <c r="M298" s="10">
        <f>K298*L298</f>
        <v/>
      </c>
      <c r="N298" s="8" t="n">
        <v>32.63</v>
      </c>
      <c r="O298" s="10">
        <f>N298*L298</f>
        <v/>
      </c>
      <c r="P298" s="10">
        <f>M298-O298</f>
        <v/>
      </c>
      <c r="Q298" s="11" t="inlineStr">
        <is>
          <t>No</t>
        </is>
      </c>
      <c r="R298" s="11" t="n">
        <v>0</v>
      </c>
      <c r="S298" s="10">
        <f>M298-(R298*K298)</f>
        <v/>
      </c>
      <c r="T298" s="12">
        <f>VLOOKUP(E298,Dim_Product!$A$2:$Q$61,3,FALSE)</f>
        <v/>
      </c>
      <c r="U298" s="12">
        <f>VLOOKUP(E298,Dim_Product!$A$2:$Q$61,4,FALSE)</f>
        <v/>
      </c>
      <c r="V298" s="12">
        <f>VLOOKUP(D298,Dim_Customer!$A$2:$I$121,6,FALSE)</f>
        <v/>
      </c>
      <c r="W298" s="12">
        <f>VLOOKUP(G298,Dim_Channel!$A$2:$B$5,2,FALSE)</f>
        <v/>
      </c>
      <c r="X298" s="12">
        <f>VLOOKUP(H298,Dim_Promotion!$A$2:$G$11,2,FALSE)</f>
        <v/>
      </c>
    </row>
    <row r="299">
      <c r="A299" s="4" t="inlineStr">
        <is>
          <t>SL0298</t>
        </is>
      </c>
      <c r="B299" t="inlineStr">
        <is>
          <t>O010149</t>
        </is>
      </c>
      <c r="C299" t="n">
        <v>20250810</v>
      </c>
      <c r="D299" s="4" t="inlineStr">
        <is>
          <t>C082</t>
        </is>
      </c>
      <c r="E299" s="4" t="inlineStr">
        <is>
          <t>P053</t>
        </is>
      </c>
      <c r="F299" t="inlineStr">
        <is>
          <t>S</t>
        </is>
      </c>
      <c r="G299" s="4" t="inlineStr">
        <is>
          <t>CH02</t>
        </is>
      </c>
      <c r="H299" s="4" t="inlineStr">
        <is>
          <t>PR00</t>
        </is>
      </c>
      <c r="I299" s="8" t="n">
        <v>75</v>
      </c>
      <c r="J299" s="9" t="n">
        <v>0</v>
      </c>
      <c r="K299" s="10">
        <f>I299*(1-J299)</f>
        <v/>
      </c>
      <c r="L299" s="11" t="n">
        <v>1</v>
      </c>
      <c r="M299" s="10">
        <f>K299*L299</f>
        <v/>
      </c>
      <c r="N299" s="8" t="n">
        <v>33.88</v>
      </c>
      <c r="O299" s="10">
        <f>N299*L299</f>
        <v/>
      </c>
      <c r="P299" s="10">
        <f>M299-O299</f>
        <v/>
      </c>
      <c r="Q299" s="11" t="inlineStr">
        <is>
          <t>No</t>
        </is>
      </c>
      <c r="R299" s="11" t="n">
        <v>0</v>
      </c>
      <c r="S299" s="10">
        <f>M299-(R299*K299)</f>
        <v/>
      </c>
      <c r="T299" s="12">
        <f>VLOOKUP(E299,Dim_Product!$A$2:$Q$61,3,FALSE)</f>
        <v/>
      </c>
      <c r="U299" s="12">
        <f>VLOOKUP(E299,Dim_Product!$A$2:$Q$61,4,FALSE)</f>
        <v/>
      </c>
      <c r="V299" s="12">
        <f>VLOOKUP(D299,Dim_Customer!$A$2:$I$121,6,FALSE)</f>
        <v/>
      </c>
      <c r="W299" s="12">
        <f>VLOOKUP(G299,Dim_Channel!$A$2:$B$5,2,FALSE)</f>
        <v/>
      </c>
      <c r="X299" s="12">
        <f>VLOOKUP(H299,Dim_Promotion!$A$2:$G$11,2,FALSE)</f>
        <v/>
      </c>
    </row>
    <row r="300">
      <c r="A300" s="4" t="inlineStr">
        <is>
          <t>SL0299</t>
        </is>
      </c>
      <c r="B300" t="inlineStr">
        <is>
          <t>O010150</t>
        </is>
      </c>
      <c r="C300" t="n">
        <v>20250220</v>
      </c>
      <c r="D300" s="4" t="inlineStr">
        <is>
          <t>C072</t>
        </is>
      </c>
      <c r="E300" s="4" t="inlineStr">
        <is>
          <t>P030</t>
        </is>
      </c>
      <c r="F300" t="inlineStr">
        <is>
          <t>S</t>
        </is>
      </c>
      <c r="G300" s="4" t="inlineStr">
        <is>
          <t>CH01</t>
        </is>
      </c>
      <c r="H300" s="4" t="inlineStr">
        <is>
          <t>PR00</t>
        </is>
      </c>
      <c r="I300" s="8" t="n">
        <v>108</v>
      </c>
      <c r="J300" s="9" t="n">
        <v>0</v>
      </c>
      <c r="K300" s="10">
        <f>I300*(1-J300)</f>
        <v/>
      </c>
      <c r="L300" s="11" t="n">
        <v>1</v>
      </c>
      <c r="M300" s="10">
        <f>K300*L300</f>
        <v/>
      </c>
      <c r="N300" s="8" t="n">
        <v>55.46</v>
      </c>
      <c r="O300" s="10">
        <f>N300*L300</f>
        <v/>
      </c>
      <c r="P300" s="10">
        <f>M300-O300</f>
        <v/>
      </c>
      <c r="Q300" s="11" t="inlineStr">
        <is>
          <t>No</t>
        </is>
      </c>
      <c r="R300" s="11" t="n">
        <v>0</v>
      </c>
      <c r="S300" s="10">
        <f>M300-(R300*K300)</f>
        <v/>
      </c>
      <c r="T300" s="12">
        <f>VLOOKUP(E300,Dim_Product!$A$2:$Q$61,3,FALSE)</f>
        <v/>
      </c>
      <c r="U300" s="12">
        <f>VLOOKUP(E300,Dim_Product!$A$2:$Q$61,4,FALSE)</f>
        <v/>
      </c>
      <c r="V300" s="12">
        <f>VLOOKUP(D300,Dim_Customer!$A$2:$I$121,6,FALSE)</f>
        <v/>
      </c>
      <c r="W300" s="12">
        <f>VLOOKUP(G300,Dim_Channel!$A$2:$B$5,2,FALSE)</f>
        <v/>
      </c>
      <c r="X300" s="12">
        <f>VLOOKUP(H300,Dim_Promotion!$A$2:$G$11,2,FALSE)</f>
        <v/>
      </c>
    </row>
    <row r="301">
      <c r="A301" s="4" t="inlineStr">
        <is>
          <t>SL0300</t>
        </is>
      </c>
      <c r="B301" t="inlineStr">
        <is>
          <t>O010150</t>
        </is>
      </c>
      <c r="C301" t="n">
        <v>20251218</v>
      </c>
      <c r="D301" s="4" t="inlineStr">
        <is>
          <t>C057</t>
        </is>
      </c>
      <c r="E301" s="4" t="inlineStr">
        <is>
          <t>P003</t>
        </is>
      </c>
      <c r="F301" t="inlineStr">
        <is>
          <t>XL</t>
        </is>
      </c>
      <c r="G301" s="4" t="inlineStr">
        <is>
          <t>CH01</t>
        </is>
      </c>
      <c r="H301" s="4" t="inlineStr">
        <is>
          <t>PR00</t>
        </is>
      </c>
      <c r="I301" s="8" t="n">
        <v>42</v>
      </c>
      <c r="J301" s="9" t="n">
        <v>0.08</v>
      </c>
      <c r="K301" s="10">
        <f>I301*(1-J301)</f>
        <v/>
      </c>
      <c r="L301" s="11" t="n">
        <v>1</v>
      </c>
      <c r="M301" s="10">
        <f>K301*L301</f>
        <v/>
      </c>
      <c r="N301" s="8" t="n">
        <v>20.67</v>
      </c>
      <c r="O301" s="10">
        <f>N301*L301</f>
        <v/>
      </c>
      <c r="P301" s="10">
        <f>M301-O301</f>
        <v/>
      </c>
      <c r="Q301" s="11" t="inlineStr">
        <is>
          <t>No</t>
        </is>
      </c>
      <c r="R301" s="11" t="n">
        <v>0</v>
      </c>
      <c r="S301" s="10">
        <f>M301-(R301*K301)</f>
        <v/>
      </c>
      <c r="T301" s="12">
        <f>VLOOKUP(E301,Dim_Product!$A$2:$Q$61,3,FALSE)</f>
        <v/>
      </c>
      <c r="U301" s="12">
        <f>VLOOKUP(E301,Dim_Product!$A$2:$Q$61,4,FALSE)</f>
        <v/>
      </c>
      <c r="V301" s="12">
        <f>VLOOKUP(D301,Dim_Customer!$A$2:$I$121,6,FALSE)</f>
        <v/>
      </c>
      <c r="W301" s="12">
        <f>VLOOKUP(G301,Dim_Channel!$A$2:$B$5,2,FALSE)</f>
        <v/>
      </c>
      <c r="X301" s="12">
        <f>VLOOKUP(H301,Dim_Promotion!$A$2:$G$11,2,FALSE)</f>
        <v/>
      </c>
    </row>
    <row r="302">
      <c r="A302" s="4" t="inlineStr">
        <is>
          <t>SL0301</t>
        </is>
      </c>
      <c r="B302" t="inlineStr">
        <is>
          <t>O010151</t>
        </is>
      </c>
      <c r="C302" t="n">
        <v>20250915</v>
      </c>
      <c r="D302" s="4" t="inlineStr">
        <is>
          <t>C079</t>
        </is>
      </c>
      <c r="E302" s="4" t="inlineStr">
        <is>
          <t>P020</t>
        </is>
      </c>
      <c r="F302" t="inlineStr">
        <is>
          <t>S</t>
        </is>
      </c>
      <c r="G302" s="4" t="inlineStr">
        <is>
          <t>CH03</t>
        </is>
      </c>
      <c r="H302" s="4" t="inlineStr">
        <is>
          <t>PR00</t>
        </is>
      </c>
      <c r="I302" s="8" t="n">
        <v>62</v>
      </c>
      <c r="J302" s="9" t="n">
        <v>0</v>
      </c>
      <c r="K302" s="10">
        <f>I302*(1-J302)</f>
        <v/>
      </c>
      <c r="L302" s="11" t="n">
        <v>3</v>
      </c>
      <c r="M302" s="10">
        <f>K302*L302</f>
        <v/>
      </c>
      <c r="N302" s="8" t="n">
        <v>30.76</v>
      </c>
      <c r="O302" s="10">
        <f>N302*L302</f>
        <v/>
      </c>
      <c r="P302" s="10">
        <f>M302-O302</f>
        <v/>
      </c>
      <c r="Q302" s="11" t="inlineStr">
        <is>
          <t>No</t>
        </is>
      </c>
      <c r="R302" s="11" t="n">
        <v>0</v>
      </c>
      <c r="S302" s="10">
        <f>M302-(R302*K302)</f>
        <v/>
      </c>
      <c r="T302" s="12">
        <f>VLOOKUP(E302,Dim_Product!$A$2:$Q$61,3,FALSE)</f>
        <v/>
      </c>
      <c r="U302" s="12">
        <f>VLOOKUP(E302,Dim_Product!$A$2:$Q$61,4,FALSE)</f>
        <v/>
      </c>
      <c r="V302" s="12">
        <f>VLOOKUP(D302,Dim_Customer!$A$2:$I$121,6,FALSE)</f>
        <v/>
      </c>
      <c r="W302" s="12">
        <f>VLOOKUP(G302,Dim_Channel!$A$2:$B$5,2,FALSE)</f>
        <v/>
      </c>
      <c r="X302" s="12">
        <f>VLOOKUP(H302,Dim_Promotion!$A$2:$G$11,2,FALSE)</f>
        <v/>
      </c>
    </row>
    <row r="303">
      <c r="A303" s="4" t="inlineStr">
        <is>
          <t>SL0302</t>
        </is>
      </c>
      <c r="B303" t="inlineStr">
        <is>
          <t>O010151</t>
        </is>
      </c>
      <c r="C303" t="n">
        <v>20250327</v>
      </c>
      <c r="D303" s="4" t="inlineStr">
        <is>
          <t>C103</t>
        </is>
      </c>
      <c r="E303" s="4" t="inlineStr">
        <is>
          <t>P055</t>
        </is>
      </c>
      <c r="F303" t="inlineStr">
        <is>
          <t>M</t>
        </is>
      </c>
      <c r="G303" s="4" t="inlineStr">
        <is>
          <t>CH03</t>
        </is>
      </c>
      <c r="H303" s="4" t="inlineStr">
        <is>
          <t>PR00</t>
        </is>
      </c>
      <c r="I303" s="8" t="n">
        <v>71</v>
      </c>
      <c r="J303" s="9" t="n">
        <v>0</v>
      </c>
      <c r="K303" s="10">
        <f>I303*(1-J303)</f>
        <v/>
      </c>
      <c r="L303" s="11" t="n">
        <v>1</v>
      </c>
      <c r="M303" s="10">
        <f>K303*L303</f>
        <v/>
      </c>
      <c r="N303" s="8" t="n">
        <v>35.25</v>
      </c>
      <c r="O303" s="10">
        <f>N303*L303</f>
        <v/>
      </c>
      <c r="P303" s="10">
        <f>M303-O303</f>
        <v/>
      </c>
      <c r="Q303" s="11" t="inlineStr">
        <is>
          <t>No</t>
        </is>
      </c>
      <c r="R303" s="11" t="n">
        <v>0</v>
      </c>
      <c r="S303" s="10">
        <f>M303-(R303*K303)</f>
        <v/>
      </c>
      <c r="T303" s="12">
        <f>VLOOKUP(E303,Dim_Product!$A$2:$Q$61,3,FALSE)</f>
        <v/>
      </c>
      <c r="U303" s="12">
        <f>VLOOKUP(E303,Dim_Product!$A$2:$Q$61,4,FALSE)</f>
        <v/>
      </c>
      <c r="V303" s="12">
        <f>VLOOKUP(D303,Dim_Customer!$A$2:$I$121,6,FALSE)</f>
        <v/>
      </c>
      <c r="W303" s="12">
        <f>VLOOKUP(G303,Dim_Channel!$A$2:$B$5,2,FALSE)</f>
        <v/>
      </c>
      <c r="X303" s="12">
        <f>VLOOKUP(H303,Dim_Promotion!$A$2:$G$11,2,FALSE)</f>
        <v/>
      </c>
    </row>
    <row r="304">
      <c r="A304" s="4" t="inlineStr">
        <is>
          <t>SL0303</t>
        </is>
      </c>
      <c r="B304" t="inlineStr">
        <is>
          <t>O010152</t>
        </is>
      </c>
      <c r="C304" t="n">
        <v>20251209</v>
      </c>
      <c r="D304" s="4" t="inlineStr">
        <is>
          <t>C117</t>
        </is>
      </c>
      <c r="E304" s="4" t="inlineStr">
        <is>
          <t>P020</t>
        </is>
      </c>
      <c r="F304" t="inlineStr">
        <is>
          <t>L</t>
        </is>
      </c>
      <c r="G304" s="4" t="inlineStr">
        <is>
          <t>CH01</t>
        </is>
      </c>
      <c r="H304" s="4" t="inlineStr">
        <is>
          <t>PR00</t>
        </is>
      </c>
      <c r="I304" s="8" t="n">
        <v>65</v>
      </c>
      <c r="J304" s="9" t="n">
        <v>0</v>
      </c>
      <c r="K304" s="10">
        <f>I304*(1-J304)</f>
        <v/>
      </c>
      <c r="L304" s="11" t="n">
        <v>1</v>
      </c>
      <c r="M304" s="10">
        <f>K304*L304</f>
        <v/>
      </c>
      <c r="N304" s="8" t="n">
        <v>30.26</v>
      </c>
      <c r="O304" s="10">
        <f>N304*L304</f>
        <v/>
      </c>
      <c r="P304" s="10">
        <f>M304-O304</f>
        <v/>
      </c>
      <c r="Q304" s="11" t="inlineStr">
        <is>
          <t>No</t>
        </is>
      </c>
      <c r="R304" s="11" t="n">
        <v>0</v>
      </c>
      <c r="S304" s="10">
        <f>M304-(R304*K304)</f>
        <v/>
      </c>
      <c r="T304" s="12">
        <f>VLOOKUP(E304,Dim_Product!$A$2:$Q$61,3,FALSE)</f>
        <v/>
      </c>
      <c r="U304" s="12">
        <f>VLOOKUP(E304,Dim_Product!$A$2:$Q$61,4,FALSE)</f>
        <v/>
      </c>
      <c r="V304" s="12">
        <f>VLOOKUP(D304,Dim_Customer!$A$2:$I$121,6,FALSE)</f>
        <v/>
      </c>
      <c r="W304" s="12">
        <f>VLOOKUP(G304,Dim_Channel!$A$2:$B$5,2,FALSE)</f>
        <v/>
      </c>
      <c r="X304" s="12">
        <f>VLOOKUP(H304,Dim_Promotion!$A$2:$G$11,2,FALSE)</f>
        <v/>
      </c>
    </row>
    <row r="305">
      <c r="A305" s="4" t="inlineStr">
        <is>
          <t>SL0304</t>
        </is>
      </c>
      <c r="B305" t="inlineStr">
        <is>
          <t>O010152</t>
        </is>
      </c>
      <c r="C305" t="n">
        <v>20250706</v>
      </c>
      <c r="D305" s="4" t="inlineStr">
        <is>
          <t>C037</t>
        </is>
      </c>
      <c r="E305" s="4" t="inlineStr">
        <is>
          <t>P045</t>
        </is>
      </c>
      <c r="F305" t="inlineStr">
        <is>
          <t>XS</t>
        </is>
      </c>
      <c r="G305" s="4" t="inlineStr">
        <is>
          <t>CH01</t>
        </is>
      </c>
      <c r="H305" s="4" t="inlineStr">
        <is>
          <t>PR00</t>
        </is>
      </c>
      <c r="I305" s="8" t="n">
        <v>66</v>
      </c>
      <c r="J305" s="9" t="n">
        <v>0</v>
      </c>
      <c r="K305" s="10">
        <f>I305*(1-J305)</f>
        <v/>
      </c>
      <c r="L305" s="11" t="n">
        <v>1</v>
      </c>
      <c r="M305" s="10">
        <f>K305*L305</f>
        <v/>
      </c>
      <c r="N305" s="8" t="n">
        <v>32.48</v>
      </c>
      <c r="O305" s="10">
        <f>N305*L305</f>
        <v/>
      </c>
      <c r="P305" s="10">
        <f>M305-O305</f>
        <v/>
      </c>
      <c r="Q305" s="11" t="inlineStr">
        <is>
          <t>No</t>
        </is>
      </c>
      <c r="R305" s="11" t="n">
        <v>0</v>
      </c>
      <c r="S305" s="10">
        <f>M305-(R305*K305)</f>
        <v/>
      </c>
      <c r="T305" s="12">
        <f>VLOOKUP(E305,Dim_Product!$A$2:$Q$61,3,FALSE)</f>
        <v/>
      </c>
      <c r="U305" s="12">
        <f>VLOOKUP(E305,Dim_Product!$A$2:$Q$61,4,FALSE)</f>
        <v/>
      </c>
      <c r="V305" s="12">
        <f>VLOOKUP(D305,Dim_Customer!$A$2:$I$121,6,FALSE)</f>
        <v/>
      </c>
      <c r="W305" s="12">
        <f>VLOOKUP(G305,Dim_Channel!$A$2:$B$5,2,FALSE)</f>
        <v/>
      </c>
      <c r="X305" s="12">
        <f>VLOOKUP(H305,Dim_Promotion!$A$2:$G$11,2,FALSE)</f>
        <v/>
      </c>
    </row>
    <row r="306">
      <c r="A306" s="4" t="inlineStr">
        <is>
          <t>SL0305</t>
        </is>
      </c>
      <c r="B306" t="inlineStr">
        <is>
          <t>O010153</t>
        </is>
      </c>
      <c r="C306" t="n">
        <v>20250719</v>
      </c>
      <c r="D306" s="4" t="inlineStr">
        <is>
          <t>C053</t>
        </is>
      </c>
      <c r="E306" s="4" t="inlineStr">
        <is>
          <t>P013</t>
        </is>
      </c>
      <c r="F306" t="inlineStr">
        <is>
          <t>S</t>
        </is>
      </c>
      <c r="G306" s="4" t="inlineStr">
        <is>
          <t>CH02</t>
        </is>
      </c>
      <c r="H306" s="4" t="inlineStr">
        <is>
          <t>PR00</t>
        </is>
      </c>
      <c r="I306" s="8" t="n">
        <v>60</v>
      </c>
      <c r="J306" s="9" t="n">
        <v>0</v>
      </c>
      <c r="K306" s="10">
        <f>I306*(1-J306)</f>
        <v/>
      </c>
      <c r="L306" s="11" t="n">
        <v>2</v>
      </c>
      <c r="M306" s="10">
        <f>K306*L306</f>
        <v/>
      </c>
      <c r="N306" s="8" t="n">
        <v>26.4</v>
      </c>
      <c r="O306" s="10">
        <f>N306*L306</f>
        <v/>
      </c>
      <c r="P306" s="10">
        <f>M306-O306</f>
        <v/>
      </c>
      <c r="Q306" s="11" t="inlineStr">
        <is>
          <t>No</t>
        </is>
      </c>
      <c r="R306" s="11" t="n">
        <v>0</v>
      </c>
      <c r="S306" s="10">
        <f>M306-(R306*K306)</f>
        <v/>
      </c>
      <c r="T306" s="12">
        <f>VLOOKUP(E306,Dim_Product!$A$2:$Q$61,3,FALSE)</f>
        <v/>
      </c>
      <c r="U306" s="12">
        <f>VLOOKUP(E306,Dim_Product!$A$2:$Q$61,4,FALSE)</f>
        <v/>
      </c>
      <c r="V306" s="12">
        <f>VLOOKUP(D306,Dim_Customer!$A$2:$I$121,6,FALSE)</f>
        <v/>
      </c>
      <c r="W306" s="12">
        <f>VLOOKUP(G306,Dim_Channel!$A$2:$B$5,2,FALSE)</f>
        <v/>
      </c>
      <c r="X306" s="12">
        <f>VLOOKUP(H306,Dim_Promotion!$A$2:$G$11,2,FALSE)</f>
        <v/>
      </c>
    </row>
    <row r="307">
      <c r="A307" s="4" t="inlineStr">
        <is>
          <t>SL0306</t>
        </is>
      </c>
      <c r="B307" t="inlineStr">
        <is>
          <t>O010153</t>
        </is>
      </c>
      <c r="C307" t="n">
        <v>20250626</v>
      </c>
      <c r="D307" s="4" t="inlineStr">
        <is>
          <t>C044</t>
        </is>
      </c>
      <c r="E307" s="4" t="inlineStr">
        <is>
          <t>P032</t>
        </is>
      </c>
      <c r="F307" t="inlineStr">
        <is>
          <t>M</t>
        </is>
      </c>
      <c r="G307" s="4" t="inlineStr">
        <is>
          <t>CH01</t>
        </is>
      </c>
      <c r="H307" s="4" t="inlineStr">
        <is>
          <t>PR05</t>
        </is>
      </c>
      <c r="I307" s="8" t="n">
        <v>116</v>
      </c>
      <c r="J307" s="9" t="n">
        <v>0.2</v>
      </c>
      <c r="K307" s="10">
        <f>I307*(1-J307)</f>
        <v/>
      </c>
      <c r="L307" s="11" t="n">
        <v>2</v>
      </c>
      <c r="M307" s="10">
        <f>K307*L307</f>
        <v/>
      </c>
      <c r="N307" s="8" t="n">
        <v>55.26</v>
      </c>
      <c r="O307" s="10">
        <f>N307*L307</f>
        <v/>
      </c>
      <c r="P307" s="10">
        <f>M307-O307</f>
        <v/>
      </c>
      <c r="Q307" s="11" t="inlineStr">
        <is>
          <t>No</t>
        </is>
      </c>
      <c r="R307" s="11" t="n">
        <v>0</v>
      </c>
      <c r="S307" s="10">
        <f>M307-(R307*K307)</f>
        <v/>
      </c>
      <c r="T307" s="12">
        <f>VLOOKUP(E307,Dim_Product!$A$2:$Q$61,3,FALSE)</f>
        <v/>
      </c>
      <c r="U307" s="12">
        <f>VLOOKUP(E307,Dim_Product!$A$2:$Q$61,4,FALSE)</f>
        <v/>
      </c>
      <c r="V307" s="12">
        <f>VLOOKUP(D307,Dim_Customer!$A$2:$I$121,6,FALSE)</f>
        <v/>
      </c>
      <c r="W307" s="12">
        <f>VLOOKUP(G307,Dim_Channel!$A$2:$B$5,2,FALSE)</f>
        <v/>
      </c>
      <c r="X307" s="12">
        <f>VLOOKUP(H307,Dim_Promotion!$A$2:$G$11,2,FALSE)</f>
        <v/>
      </c>
    </row>
    <row r="308">
      <c r="A308" s="4" t="inlineStr">
        <is>
          <t>SL0307</t>
        </is>
      </c>
      <c r="B308" t="inlineStr">
        <is>
          <t>O010154</t>
        </is>
      </c>
      <c r="C308" t="n">
        <v>20250504</v>
      </c>
      <c r="D308" s="4" t="inlineStr">
        <is>
          <t>C106</t>
        </is>
      </c>
      <c r="E308" s="4" t="inlineStr">
        <is>
          <t>P025</t>
        </is>
      </c>
      <c r="F308" t="inlineStr">
        <is>
          <t>M</t>
        </is>
      </c>
      <c r="G308" s="4" t="inlineStr">
        <is>
          <t>CH04</t>
        </is>
      </c>
      <c r="H308" s="4" t="inlineStr">
        <is>
          <t>PR00</t>
        </is>
      </c>
      <c r="I308" s="8" t="n">
        <v>96</v>
      </c>
      <c r="J308" s="9" t="n">
        <v>0</v>
      </c>
      <c r="K308" s="10">
        <f>I308*(1-J308)</f>
        <v/>
      </c>
      <c r="L308" s="11" t="n">
        <v>1</v>
      </c>
      <c r="M308" s="10">
        <f>K308*L308</f>
        <v/>
      </c>
      <c r="N308" s="8" t="n">
        <v>45.84</v>
      </c>
      <c r="O308" s="10">
        <f>N308*L308</f>
        <v/>
      </c>
      <c r="P308" s="10">
        <f>M308-O308</f>
        <v/>
      </c>
      <c r="Q308" s="11" t="inlineStr">
        <is>
          <t>Yes</t>
        </is>
      </c>
      <c r="R308" s="11" t="n">
        <v>1</v>
      </c>
      <c r="S308" s="10">
        <f>M308-(R308*K308)</f>
        <v/>
      </c>
      <c r="T308" s="12">
        <f>VLOOKUP(E308,Dim_Product!$A$2:$Q$61,3,FALSE)</f>
        <v/>
      </c>
      <c r="U308" s="12">
        <f>VLOOKUP(E308,Dim_Product!$A$2:$Q$61,4,FALSE)</f>
        <v/>
      </c>
      <c r="V308" s="12">
        <f>VLOOKUP(D308,Dim_Customer!$A$2:$I$121,6,FALSE)</f>
        <v/>
      </c>
      <c r="W308" s="12">
        <f>VLOOKUP(G308,Dim_Channel!$A$2:$B$5,2,FALSE)</f>
        <v/>
      </c>
      <c r="X308" s="12">
        <f>VLOOKUP(H308,Dim_Promotion!$A$2:$G$11,2,FALSE)</f>
        <v/>
      </c>
    </row>
    <row r="309">
      <c r="A309" s="4" t="inlineStr">
        <is>
          <t>SL0308</t>
        </is>
      </c>
      <c r="B309" t="inlineStr">
        <is>
          <t>O010154</t>
        </is>
      </c>
      <c r="C309" t="n">
        <v>20251129</v>
      </c>
      <c r="D309" s="4" t="inlineStr">
        <is>
          <t>C075</t>
        </is>
      </c>
      <c r="E309" s="4" t="inlineStr">
        <is>
          <t>P054</t>
        </is>
      </c>
      <c r="F309" t="inlineStr">
        <is>
          <t>XS</t>
        </is>
      </c>
      <c r="G309" s="4" t="inlineStr">
        <is>
          <t>CH01</t>
        </is>
      </c>
      <c r="H309" s="4" t="inlineStr">
        <is>
          <t>PR00</t>
        </is>
      </c>
      <c r="I309" s="8" t="n">
        <v>75</v>
      </c>
      <c r="J309" s="9" t="n">
        <v>0</v>
      </c>
      <c r="K309" s="10">
        <f>I309*(1-J309)</f>
        <v/>
      </c>
      <c r="L309" s="11" t="n">
        <v>1</v>
      </c>
      <c r="M309" s="10">
        <f>K309*L309</f>
        <v/>
      </c>
      <c r="N309" s="8" t="n">
        <v>31.21</v>
      </c>
      <c r="O309" s="10">
        <f>N309*L309</f>
        <v/>
      </c>
      <c r="P309" s="10">
        <f>M309-O309</f>
        <v/>
      </c>
      <c r="Q309" s="11" t="inlineStr">
        <is>
          <t>No</t>
        </is>
      </c>
      <c r="R309" s="11" t="n">
        <v>0</v>
      </c>
      <c r="S309" s="10">
        <f>M309-(R309*K309)</f>
        <v/>
      </c>
      <c r="T309" s="12">
        <f>VLOOKUP(E309,Dim_Product!$A$2:$Q$61,3,FALSE)</f>
        <v/>
      </c>
      <c r="U309" s="12">
        <f>VLOOKUP(E309,Dim_Product!$A$2:$Q$61,4,FALSE)</f>
        <v/>
      </c>
      <c r="V309" s="12">
        <f>VLOOKUP(D309,Dim_Customer!$A$2:$I$121,6,FALSE)</f>
        <v/>
      </c>
      <c r="W309" s="12">
        <f>VLOOKUP(G309,Dim_Channel!$A$2:$B$5,2,FALSE)</f>
        <v/>
      </c>
      <c r="X309" s="12">
        <f>VLOOKUP(H309,Dim_Promotion!$A$2:$G$11,2,FALSE)</f>
        <v/>
      </c>
    </row>
    <row r="310">
      <c r="A310" s="4" t="inlineStr">
        <is>
          <t>SL0309</t>
        </is>
      </c>
      <c r="B310" t="inlineStr">
        <is>
          <t>O010155</t>
        </is>
      </c>
      <c r="C310" t="n">
        <v>20251110</v>
      </c>
      <c r="D310" s="4" t="inlineStr">
        <is>
          <t>C073</t>
        </is>
      </c>
      <c r="E310" s="4" t="inlineStr">
        <is>
          <t>P055</t>
        </is>
      </c>
      <c r="F310" t="inlineStr">
        <is>
          <t>M</t>
        </is>
      </c>
      <c r="G310" s="4" t="inlineStr">
        <is>
          <t>CH04</t>
        </is>
      </c>
      <c r="H310" s="4" t="inlineStr">
        <is>
          <t>PR00</t>
        </is>
      </c>
      <c r="I310" s="8" t="n">
        <v>72</v>
      </c>
      <c r="J310" s="9" t="n">
        <v>0</v>
      </c>
      <c r="K310" s="10">
        <f>I310*(1-J310)</f>
        <v/>
      </c>
      <c r="L310" s="11" t="n">
        <v>4</v>
      </c>
      <c r="M310" s="10">
        <f>K310*L310</f>
        <v/>
      </c>
      <c r="N310" s="8" t="n">
        <v>34.14</v>
      </c>
      <c r="O310" s="10">
        <f>N310*L310</f>
        <v/>
      </c>
      <c r="P310" s="10">
        <f>M310-O310</f>
        <v/>
      </c>
      <c r="Q310" s="11" t="inlineStr">
        <is>
          <t>No</t>
        </is>
      </c>
      <c r="R310" s="11" t="n">
        <v>0</v>
      </c>
      <c r="S310" s="10">
        <f>M310-(R310*K310)</f>
        <v/>
      </c>
      <c r="T310" s="12">
        <f>VLOOKUP(E310,Dim_Product!$A$2:$Q$61,3,FALSE)</f>
        <v/>
      </c>
      <c r="U310" s="12">
        <f>VLOOKUP(E310,Dim_Product!$A$2:$Q$61,4,FALSE)</f>
        <v/>
      </c>
      <c r="V310" s="12">
        <f>VLOOKUP(D310,Dim_Customer!$A$2:$I$121,6,FALSE)</f>
        <v/>
      </c>
      <c r="W310" s="12">
        <f>VLOOKUP(G310,Dim_Channel!$A$2:$B$5,2,FALSE)</f>
        <v/>
      </c>
      <c r="X310" s="12">
        <f>VLOOKUP(H310,Dim_Promotion!$A$2:$G$11,2,FALSE)</f>
        <v/>
      </c>
    </row>
    <row r="311">
      <c r="A311" s="4" t="inlineStr">
        <is>
          <t>SL0310</t>
        </is>
      </c>
      <c r="B311" t="inlineStr">
        <is>
          <t>O010155</t>
        </is>
      </c>
      <c r="C311" t="n">
        <v>20250512</v>
      </c>
      <c r="D311" s="4" t="inlineStr">
        <is>
          <t>C116</t>
        </is>
      </c>
      <c r="E311" s="4" t="inlineStr">
        <is>
          <t>P032</t>
        </is>
      </c>
      <c r="F311" t="inlineStr">
        <is>
          <t>M</t>
        </is>
      </c>
      <c r="G311" s="4" t="inlineStr">
        <is>
          <t>CH03</t>
        </is>
      </c>
      <c r="H311" s="4" t="inlineStr">
        <is>
          <t>PR00</t>
        </is>
      </c>
      <c r="I311" s="8" t="n">
        <v>114</v>
      </c>
      <c r="J311" s="9" t="n">
        <v>0</v>
      </c>
      <c r="K311" s="10">
        <f>I311*(1-J311)</f>
        <v/>
      </c>
      <c r="L311" s="11" t="n">
        <v>2</v>
      </c>
      <c r="M311" s="10">
        <f>K311*L311</f>
        <v/>
      </c>
      <c r="N311" s="8" t="n">
        <v>55.67</v>
      </c>
      <c r="O311" s="10">
        <f>N311*L311</f>
        <v/>
      </c>
      <c r="P311" s="10">
        <f>M311-O311</f>
        <v/>
      </c>
      <c r="Q311" s="11" t="inlineStr">
        <is>
          <t>No</t>
        </is>
      </c>
      <c r="R311" s="11" t="n">
        <v>0</v>
      </c>
      <c r="S311" s="10">
        <f>M311-(R311*K311)</f>
        <v/>
      </c>
      <c r="T311" s="12">
        <f>VLOOKUP(E311,Dim_Product!$A$2:$Q$61,3,FALSE)</f>
        <v/>
      </c>
      <c r="U311" s="12">
        <f>VLOOKUP(E311,Dim_Product!$A$2:$Q$61,4,FALSE)</f>
        <v/>
      </c>
      <c r="V311" s="12">
        <f>VLOOKUP(D311,Dim_Customer!$A$2:$I$121,6,FALSE)</f>
        <v/>
      </c>
      <c r="W311" s="12">
        <f>VLOOKUP(G311,Dim_Channel!$A$2:$B$5,2,FALSE)</f>
        <v/>
      </c>
      <c r="X311" s="12">
        <f>VLOOKUP(H311,Dim_Promotion!$A$2:$G$11,2,FALSE)</f>
        <v/>
      </c>
    </row>
    <row r="312">
      <c r="A312" s="4" t="inlineStr">
        <is>
          <t>SL0311</t>
        </is>
      </c>
      <c r="B312" t="inlineStr">
        <is>
          <t>O010156</t>
        </is>
      </c>
      <c r="C312" t="n">
        <v>20250611</v>
      </c>
      <c r="D312" s="4" t="inlineStr">
        <is>
          <t>C092</t>
        </is>
      </c>
      <c r="E312" s="4" t="inlineStr">
        <is>
          <t>P022</t>
        </is>
      </c>
      <c r="F312" t="inlineStr">
        <is>
          <t>L</t>
        </is>
      </c>
      <c r="G312" s="4" t="inlineStr">
        <is>
          <t>CH04</t>
        </is>
      </c>
      <c r="H312" s="4" t="inlineStr">
        <is>
          <t>PR00</t>
        </is>
      </c>
      <c r="I312" s="8" t="n">
        <v>61</v>
      </c>
      <c r="J312" s="9" t="n">
        <v>0</v>
      </c>
      <c r="K312" s="10">
        <f>I312*(1-J312)</f>
        <v/>
      </c>
      <c r="L312" s="11" t="n">
        <v>2</v>
      </c>
      <c r="M312" s="10">
        <f>K312*L312</f>
        <v/>
      </c>
      <c r="N312" s="8" t="n">
        <v>26.04</v>
      </c>
      <c r="O312" s="10">
        <f>N312*L312</f>
        <v/>
      </c>
      <c r="P312" s="10">
        <f>M312-O312</f>
        <v/>
      </c>
      <c r="Q312" s="11" t="inlineStr">
        <is>
          <t>No</t>
        </is>
      </c>
      <c r="R312" s="11" t="n">
        <v>0</v>
      </c>
      <c r="S312" s="10">
        <f>M312-(R312*K312)</f>
        <v/>
      </c>
      <c r="T312" s="12">
        <f>VLOOKUP(E312,Dim_Product!$A$2:$Q$61,3,FALSE)</f>
        <v/>
      </c>
      <c r="U312" s="12">
        <f>VLOOKUP(E312,Dim_Product!$A$2:$Q$61,4,FALSE)</f>
        <v/>
      </c>
      <c r="V312" s="12">
        <f>VLOOKUP(D312,Dim_Customer!$A$2:$I$121,6,FALSE)</f>
        <v/>
      </c>
      <c r="W312" s="12">
        <f>VLOOKUP(G312,Dim_Channel!$A$2:$B$5,2,FALSE)</f>
        <v/>
      </c>
      <c r="X312" s="12">
        <f>VLOOKUP(H312,Dim_Promotion!$A$2:$G$11,2,FALSE)</f>
        <v/>
      </c>
    </row>
    <row r="313">
      <c r="A313" s="4" t="inlineStr">
        <is>
          <t>SL0312</t>
        </is>
      </c>
      <c r="B313" t="inlineStr">
        <is>
          <t>O010156</t>
        </is>
      </c>
      <c r="C313" t="n">
        <v>20250528</v>
      </c>
      <c r="D313" s="4" t="inlineStr">
        <is>
          <t>C086</t>
        </is>
      </c>
      <c r="E313" s="4" t="inlineStr">
        <is>
          <t>P007</t>
        </is>
      </c>
      <c r="F313" t="inlineStr">
        <is>
          <t>L</t>
        </is>
      </c>
      <c r="G313" s="4" t="inlineStr">
        <is>
          <t>CH01</t>
        </is>
      </c>
      <c r="H313" s="4" t="inlineStr">
        <is>
          <t>PR00</t>
        </is>
      </c>
      <c r="I313" s="8" t="n">
        <v>50</v>
      </c>
      <c r="J313" s="9" t="n">
        <v>0</v>
      </c>
      <c r="K313" s="10">
        <f>I313*(1-J313)</f>
        <v/>
      </c>
      <c r="L313" s="11" t="n">
        <v>1</v>
      </c>
      <c r="M313" s="10">
        <f>K313*L313</f>
        <v/>
      </c>
      <c r="N313" s="8" t="n">
        <v>22.41</v>
      </c>
      <c r="O313" s="10">
        <f>N313*L313</f>
        <v/>
      </c>
      <c r="P313" s="10">
        <f>M313-O313</f>
        <v/>
      </c>
      <c r="Q313" s="11" t="inlineStr">
        <is>
          <t>No</t>
        </is>
      </c>
      <c r="R313" s="11" t="n">
        <v>0</v>
      </c>
      <c r="S313" s="10">
        <f>M313-(R313*K313)</f>
        <v/>
      </c>
      <c r="T313" s="12">
        <f>VLOOKUP(E313,Dim_Product!$A$2:$Q$61,3,FALSE)</f>
        <v/>
      </c>
      <c r="U313" s="12">
        <f>VLOOKUP(E313,Dim_Product!$A$2:$Q$61,4,FALSE)</f>
        <v/>
      </c>
      <c r="V313" s="12">
        <f>VLOOKUP(D313,Dim_Customer!$A$2:$I$121,6,FALSE)</f>
        <v/>
      </c>
      <c r="W313" s="12">
        <f>VLOOKUP(G313,Dim_Channel!$A$2:$B$5,2,FALSE)</f>
        <v/>
      </c>
      <c r="X313" s="12">
        <f>VLOOKUP(H313,Dim_Promotion!$A$2:$G$11,2,FALSE)</f>
        <v/>
      </c>
    </row>
    <row r="314">
      <c r="A314" s="4" t="inlineStr">
        <is>
          <t>SL0313</t>
        </is>
      </c>
      <c r="B314" t="inlineStr">
        <is>
          <t>O010157</t>
        </is>
      </c>
      <c r="C314" t="n">
        <v>20250626</v>
      </c>
      <c r="D314" s="4" t="inlineStr">
        <is>
          <t>C090</t>
        </is>
      </c>
      <c r="E314" s="4" t="inlineStr">
        <is>
          <t>P035</t>
        </is>
      </c>
      <c r="F314" t="inlineStr">
        <is>
          <t>M</t>
        </is>
      </c>
      <c r="G314" s="4" t="inlineStr">
        <is>
          <t>CH04</t>
        </is>
      </c>
      <c r="H314" s="4" t="inlineStr">
        <is>
          <t>PR05</t>
        </is>
      </c>
      <c r="I314" s="8" t="n">
        <v>89</v>
      </c>
      <c r="J314" s="9" t="n">
        <v>0.2</v>
      </c>
      <c r="K314" s="10">
        <f>I314*(1-J314)</f>
        <v/>
      </c>
      <c r="L314" s="11" t="n">
        <v>1</v>
      </c>
      <c r="M314" s="10">
        <f>K314*L314</f>
        <v/>
      </c>
      <c r="N314" s="8" t="n">
        <v>42.72</v>
      </c>
      <c r="O314" s="10">
        <f>N314*L314</f>
        <v/>
      </c>
      <c r="P314" s="10">
        <f>M314-O314</f>
        <v/>
      </c>
      <c r="Q314" s="11" t="inlineStr">
        <is>
          <t>No</t>
        </is>
      </c>
      <c r="R314" s="11" t="n">
        <v>0</v>
      </c>
      <c r="S314" s="10">
        <f>M314-(R314*K314)</f>
        <v/>
      </c>
      <c r="T314" s="12">
        <f>VLOOKUP(E314,Dim_Product!$A$2:$Q$61,3,FALSE)</f>
        <v/>
      </c>
      <c r="U314" s="12">
        <f>VLOOKUP(E314,Dim_Product!$A$2:$Q$61,4,FALSE)</f>
        <v/>
      </c>
      <c r="V314" s="12">
        <f>VLOOKUP(D314,Dim_Customer!$A$2:$I$121,6,FALSE)</f>
        <v/>
      </c>
      <c r="W314" s="12">
        <f>VLOOKUP(G314,Dim_Channel!$A$2:$B$5,2,FALSE)</f>
        <v/>
      </c>
      <c r="X314" s="12">
        <f>VLOOKUP(H314,Dim_Promotion!$A$2:$G$11,2,FALSE)</f>
        <v/>
      </c>
    </row>
    <row r="315">
      <c r="A315" s="4" t="inlineStr">
        <is>
          <t>SL0314</t>
        </is>
      </c>
      <c r="B315" t="inlineStr">
        <is>
          <t>O010157</t>
        </is>
      </c>
      <c r="C315" t="n">
        <v>20250116</v>
      </c>
      <c r="D315" s="4" t="inlineStr">
        <is>
          <t>C109</t>
        </is>
      </c>
      <c r="E315" s="4" t="inlineStr">
        <is>
          <t>P043</t>
        </is>
      </c>
      <c r="F315" t="inlineStr">
        <is>
          <t>S</t>
        </is>
      </c>
      <c r="G315" s="4" t="inlineStr">
        <is>
          <t>CH04</t>
        </is>
      </c>
      <c r="H315" s="4" t="inlineStr">
        <is>
          <t>PR00</t>
        </is>
      </c>
      <c r="I315" s="8" t="n">
        <v>82</v>
      </c>
      <c r="J315" s="9" t="n">
        <v>0.05</v>
      </c>
      <c r="K315" s="10">
        <f>I315*(1-J315)</f>
        <v/>
      </c>
      <c r="L315" s="11" t="n">
        <v>1</v>
      </c>
      <c r="M315" s="10">
        <f>K315*L315</f>
        <v/>
      </c>
      <c r="N315" s="8" t="n">
        <v>38.08</v>
      </c>
      <c r="O315" s="10">
        <f>N315*L315</f>
        <v/>
      </c>
      <c r="P315" s="10">
        <f>M315-O315</f>
        <v/>
      </c>
      <c r="Q315" s="11" t="inlineStr">
        <is>
          <t>No</t>
        </is>
      </c>
      <c r="R315" s="11" t="n">
        <v>0</v>
      </c>
      <c r="S315" s="10">
        <f>M315-(R315*K315)</f>
        <v/>
      </c>
      <c r="T315" s="12">
        <f>VLOOKUP(E315,Dim_Product!$A$2:$Q$61,3,FALSE)</f>
        <v/>
      </c>
      <c r="U315" s="12">
        <f>VLOOKUP(E315,Dim_Product!$A$2:$Q$61,4,FALSE)</f>
        <v/>
      </c>
      <c r="V315" s="12">
        <f>VLOOKUP(D315,Dim_Customer!$A$2:$I$121,6,FALSE)</f>
        <v/>
      </c>
      <c r="W315" s="12">
        <f>VLOOKUP(G315,Dim_Channel!$A$2:$B$5,2,FALSE)</f>
        <v/>
      </c>
      <c r="X315" s="12">
        <f>VLOOKUP(H315,Dim_Promotion!$A$2:$G$11,2,FALSE)</f>
        <v/>
      </c>
    </row>
    <row r="316">
      <c r="A316" s="4" t="inlineStr">
        <is>
          <t>SL0315</t>
        </is>
      </c>
      <c r="B316" t="inlineStr">
        <is>
          <t>O010158</t>
        </is>
      </c>
      <c r="C316" t="n">
        <v>20251203</v>
      </c>
      <c r="D316" s="4" t="inlineStr">
        <is>
          <t>C019</t>
        </is>
      </c>
      <c r="E316" s="4" t="inlineStr">
        <is>
          <t>P043</t>
        </is>
      </c>
      <c r="F316" t="inlineStr">
        <is>
          <t>L</t>
        </is>
      </c>
      <c r="G316" s="4" t="inlineStr">
        <is>
          <t>CH03</t>
        </is>
      </c>
      <c r="H316" s="4" t="inlineStr">
        <is>
          <t>PR00</t>
        </is>
      </c>
      <c r="I316" s="8" t="n">
        <v>82</v>
      </c>
      <c r="J316" s="9" t="n">
        <v>0</v>
      </c>
      <c r="K316" s="10">
        <f>I316*(1-J316)</f>
        <v/>
      </c>
      <c r="L316" s="11" t="n">
        <v>1</v>
      </c>
      <c r="M316" s="10">
        <f>K316*L316</f>
        <v/>
      </c>
      <c r="N316" s="8" t="n">
        <v>39.27</v>
      </c>
      <c r="O316" s="10">
        <f>N316*L316</f>
        <v/>
      </c>
      <c r="P316" s="10">
        <f>M316-O316</f>
        <v/>
      </c>
      <c r="Q316" s="11" t="inlineStr">
        <is>
          <t>No</t>
        </is>
      </c>
      <c r="R316" s="11" t="n">
        <v>0</v>
      </c>
      <c r="S316" s="10">
        <f>M316-(R316*K316)</f>
        <v/>
      </c>
      <c r="T316" s="12">
        <f>VLOOKUP(E316,Dim_Product!$A$2:$Q$61,3,FALSE)</f>
        <v/>
      </c>
      <c r="U316" s="12">
        <f>VLOOKUP(E316,Dim_Product!$A$2:$Q$61,4,FALSE)</f>
        <v/>
      </c>
      <c r="V316" s="12">
        <f>VLOOKUP(D316,Dim_Customer!$A$2:$I$121,6,FALSE)</f>
        <v/>
      </c>
      <c r="W316" s="12">
        <f>VLOOKUP(G316,Dim_Channel!$A$2:$B$5,2,FALSE)</f>
        <v/>
      </c>
      <c r="X316" s="12">
        <f>VLOOKUP(H316,Dim_Promotion!$A$2:$G$11,2,FALSE)</f>
        <v/>
      </c>
    </row>
    <row r="317">
      <c r="A317" s="4" t="inlineStr">
        <is>
          <t>SL0316</t>
        </is>
      </c>
      <c r="B317" t="inlineStr">
        <is>
          <t>O010158</t>
        </is>
      </c>
      <c r="C317" t="n">
        <v>20250724</v>
      </c>
      <c r="D317" s="4" t="inlineStr">
        <is>
          <t>C085</t>
        </is>
      </c>
      <c r="E317" s="4" t="inlineStr">
        <is>
          <t>P058</t>
        </is>
      </c>
      <c r="F317" t="inlineStr">
        <is>
          <t>L</t>
        </is>
      </c>
      <c r="G317" s="4" t="inlineStr">
        <is>
          <t>CH03</t>
        </is>
      </c>
      <c r="H317" s="4" t="inlineStr">
        <is>
          <t>PR00</t>
        </is>
      </c>
      <c r="I317" s="8" t="n">
        <v>72</v>
      </c>
      <c r="J317" s="9" t="n">
        <v>0</v>
      </c>
      <c r="K317" s="10">
        <f>I317*(1-J317)</f>
        <v/>
      </c>
      <c r="L317" s="11" t="n">
        <v>2</v>
      </c>
      <c r="M317" s="10">
        <f>K317*L317</f>
        <v/>
      </c>
      <c r="N317" s="8" t="n">
        <v>36.44</v>
      </c>
      <c r="O317" s="10">
        <f>N317*L317</f>
        <v/>
      </c>
      <c r="P317" s="10">
        <f>M317-O317</f>
        <v/>
      </c>
      <c r="Q317" s="11" t="inlineStr">
        <is>
          <t>Yes</t>
        </is>
      </c>
      <c r="R317" s="11" t="n">
        <v>2</v>
      </c>
      <c r="S317" s="10">
        <f>M317-(R317*K317)</f>
        <v/>
      </c>
      <c r="T317" s="12">
        <f>VLOOKUP(E317,Dim_Product!$A$2:$Q$61,3,FALSE)</f>
        <v/>
      </c>
      <c r="U317" s="12">
        <f>VLOOKUP(E317,Dim_Product!$A$2:$Q$61,4,FALSE)</f>
        <v/>
      </c>
      <c r="V317" s="12">
        <f>VLOOKUP(D317,Dim_Customer!$A$2:$I$121,6,FALSE)</f>
        <v/>
      </c>
      <c r="W317" s="12">
        <f>VLOOKUP(G317,Dim_Channel!$A$2:$B$5,2,FALSE)</f>
        <v/>
      </c>
      <c r="X317" s="12">
        <f>VLOOKUP(H317,Dim_Promotion!$A$2:$G$11,2,FALSE)</f>
        <v/>
      </c>
    </row>
    <row r="318">
      <c r="A318" s="4" t="inlineStr">
        <is>
          <t>SL0317</t>
        </is>
      </c>
      <c r="B318" t="inlineStr">
        <is>
          <t>O010159</t>
        </is>
      </c>
      <c r="C318" t="n">
        <v>20250716</v>
      </c>
      <c r="D318" s="4" t="inlineStr">
        <is>
          <t>C074</t>
        </is>
      </c>
      <c r="E318" s="4" t="inlineStr">
        <is>
          <t>P043</t>
        </is>
      </c>
      <c r="F318" t="inlineStr">
        <is>
          <t>XL</t>
        </is>
      </c>
      <c r="G318" s="4" t="inlineStr">
        <is>
          <t>CH03</t>
        </is>
      </c>
      <c r="H318" s="4" t="inlineStr">
        <is>
          <t>PR00</t>
        </is>
      </c>
      <c r="I318" s="8" t="n">
        <v>78</v>
      </c>
      <c r="J318" s="9" t="n">
        <v>0</v>
      </c>
      <c r="K318" s="10">
        <f>I318*(1-J318)</f>
        <v/>
      </c>
      <c r="L318" s="11" t="n">
        <v>1</v>
      </c>
      <c r="M318" s="10">
        <f>K318*L318</f>
        <v/>
      </c>
      <c r="N318" s="8" t="n">
        <v>38.6</v>
      </c>
      <c r="O318" s="10">
        <f>N318*L318</f>
        <v/>
      </c>
      <c r="P318" s="10">
        <f>M318-O318</f>
        <v/>
      </c>
      <c r="Q318" s="11" t="inlineStr">
        <is>
          <t>No</t>
        </is>
      </c>
      <c r="R318" s="11" t="n">
        <v>0</v>
      </c>
      <c r="S318" s="10">
        <f>M318-(R318*K318)</f>
        <v/>
      </c>
      <c r="T318" s="12">
        <f>VLOOKUP(E318,Dim_Product!$A$2:$Q$61,3,FALSE)</f>
        <v/>
      </c>
      <c r="U318" s="12">
        <f>VLOOKUP(E318,Dim_Product!$A$2:$Q$61,4,FALSE)</f>
        <v/>
      </c>
      <c r="V318" s="12">
        <f>VLOOKUP(D318,Dim_Customer!$A$2:$I$121,6,FALSE)</f>
        <v/>
      </c>
      <c r="W318" s="12">
        <f>VLOOKUP(G318,Dim_Channel!$A$2:$B$5,2,FALSE)</f>
        <v/>
      </c>
      <c r="X318" s="12">
        <f>VLOOKUP(H318,Dim_Promotion!$A$2:$G$11,2,FALSE)</f>
        <v/>
      </c>
    </row>
    <row r="319">
      <c r="A319" s="4" t="inlineStr">
        <is>
          <t>SL0318</t>
        </is>
      </c>
      <c r="B319" t="inlineStr">
        <is>
          <t>O010159</t>
        </is>
      </c>
      <c r="C319" t="n">
        <v>20251109</v>
      </c>
      <c r="D319" s="4" t="inlineStr">
        <is>
          <t>C008</t>
        </is>
      </c>
      <c r="E319" s="4" t="inlineStr">
        <is>
          <t>P033</t>
        </is>
      </c>
      <c r="F319" t="inlineStr">
        <is>
          <t>M</t>
        </is>
      </c>
      <c r="G319" s="4" t="inlineStr">
        <is>
          <t>CH03</t>
        </is>
      </c>
      <c r="H319" s="4" t="inlineStr">
        <is>
          <t>PR00</t>
        </is>
      </c>
      <c r="I319" s="8" t="n">
        <v>87</v>
      </c>
      <c r="J319" s="9" t="n">
        <v>0</v>
      </c>
      <c r="K319" s="10">
        <f>I319*(1-J319)</f>
        <v/>
      </c>
      <c r="L319" s="11" t="n">
        <v>1</v>
      </c>
      <c r="M319" s="10">
        <f>K319*L319</f>
        <v/>
      </c>
      <c r="N319" s="8" t="n">
        <v>42.43</v>
      </c>
      <c r="O319" s="10">
        <f>N319*L319</f>
        <v/>
      </c>
      <c r="P319" s="10">
        <f>M319-O319</f>
        <v/>
      </c>
      <c r="Q319" s="11" t="inlineStr">
        <is>
          <t>No</t>
        </is>
      </c>
      <c r="R319" s="11" t="n">
        <v>0</v>
      </c>
      <c r="S319" s="10">
        <f>M319-(R319*K319)</f>
        <v/>
      </c>
      <c r="T319" s="12">
        <f>VLOOKUP(E319,Dim_Product!$A$2:$Q$61,3,FALSE)</f>
        <v/>
      </c>
      <c r="U319" s="12">
        <f>VLOOKUP(E319,Dim_Product!$A$2:$Q$61,4,FALSE)</f>
        <v/>
      </c>
      <c r="V319" s="12">
        <f>VLOOKUP(D319,Dim_Customer!$A$2:$I$121,6,FALSE)</f>
        <v/>
      </c>
      <c r="W319" s="12">
        <f>VLOOKUP(G319,Dim_Channel!$A$2:$B$5,2,FALSE)</f>
        <v/>
      </c>
      <c r="X319" s="12">
        <f>VLOOKUP(H319,Dim_Promotion!$A$2:$G$11,2,FALSE)</f>
        <v/>
      </c>
    </row>
    <row r="320">
      <c r="A320" s="4" t="inlineStr">
        <is>
          <t>SL0319</t>
        </is>
      </c>
      <c r="B320" t="inlineStr">
        <is>
          <t>O010160</t>
        </is>
      </c>
      <c r="C320" t="n">
        <v>20250505</v>
      </c>
      <c r="D320" s="4" t="inlineStr">
        <is>
          <t>C079</t>
        </is>
      </c>
      <c r="E320" s="4" t="inlineStr">
        <is>
          <t>P001</t>
        </is>
      </c>
      <c r="F320" t="inlineStr">
        <is>
          <t>M</t>
        </is>
      </c>
      <c r="G320" s="4" t="inlineStr">
        <is>
          <t>CH02</t>
        </is>
      </c>
      <c r="H320" s="4" t="inlineStr">
        <is>
          <t>PR00</t>
        </is>
      </c>
      <c r="I320" s="8" t="n">
        <v>41</v>
      </c>
      <c r="J320" s="9" t="n">
        <v>0</v>
      </c>
      <c r="K320" s="10">
        <f>I320*(1-J320)</f>
        <v/>
      </c>
      <c r="L320" s="11" t="n">
        <v>1</v>
      </c>
      <c r="M320" s="10">
        <f>K320*L320</f>
        <v/>
      </c>
      <c r="N320" s="8" t="n">
        <v>16.84</v>
      </c>
      <c r="O320" s="10">
        <f>N320*L320</f>
        <v/>
      </c>
      <c r="P320" s="10">
        <f>M320-O320</f>
        <v/>
      </c>
      <c r="Q320" s="11" t="inlineStr">
        <is>
          <t>No</t>
        </is>
      </c>
      <c r="R320" s="11" t="n">
        <v>0</v>
      </c>
      <c r="S320" s="10">
        <f>M320-(R320*K320)</f>
        <v/>
      </c>
      <c r="T320" s="12">
        <f>VLOOKUP(E320,Dim_Product!$A$2:$Q$61,3,FALSE)</f>
        <v/>
      </c>
      <c r="U320" s="12">
        <f>VLOOKUP(E320,Dim_Product!$A$2:$Q$61,4,FALSE)</f>
        <v/>
      </c>
      <c r="V320" s="12">
        <f>VLOOKUP(D320,Dim_Customer!$A$2:$I$121,6,FALSE)</f>
        <v/>
      </c>
      <c r="W320" s="12">
        <f>VLOOKUP(G320,Dim_Channel!$A$2:$B$5,2,FALSE)</f>
        <v/>
      </c>
      <c r="X320" s="12">
        <f>VLOOKUP(H320,Dim_Promotion!$A$2:$G$11,2,FALSE)</f>
        <v/>
      </c>
    </row>
    <row r="321">
      <c r="A321" s="4" t="inlineStr">
        <is>
          <t>SL0320</t>
        </is>
      </c>
      <c r="B321" t="inlineStr">
        <is>
          <t>O010160</t>
        </is>
      </c>
      <c r="C321" t="n">
        <v>20250406</v>
      </c>
      <c r="D321" s="4" t="inlineStr">
        <is>
          <t>C103</t>
        </is>
      </c>
      <c r="E321" s="4" t="inlineStr">
        <is>
          <t>P031</t>
        </is>
      </c>
      <c r="F321" t="inlineStr">
        <is>
          <t>XL</t>
        </is>
      </c>
      <c r="G321" s="4" t="inlineStr">
        <is>
          <t>CH04</t>
        </is>
      </c>
      <c r="H321" s="4" t="inlineStr">
        <is>
          <t>PR00</t>
        </is>
      </c>
      <c r="I321" s="8" t="n">
        <v>113</v>
      </c>
      <c r="J321" s="9" t="n">
        <v>0</v>
      </c>
      <c r="K321" s="10">
        <f>I321*(1-J321)</f>
        <v/>
      </c>
      <c r="L321" s="11" t="n">
        <v>2</v>
      </c>
      <c r="M321" s="10">
        <f>K321*L321</f>
        <v/>
      </c>
      <c r="N321" s="8" t="n">
        <v>55.16</v>
      </c>
      <c r="O321" s="10">
        <f>N321*L321</f>
        <v/>
      </c>
      <c r="P321" s="10">
        <f>M321-O321</f>
        <v/>
      </c>
      <c r="Q321" s="11" t="inlineStr">
        <is>
          <t>No</t>
        </is>
      </c>
      <c r="R321" s="11" t="n">
        <v>0</v>
      </c>
      <c r="S321" s="10">
        <f>M321-(R321*K321)</f>
        <v/>
      </c>
      <c r="T321" s="12">
        <f>VLOOKUP(E321,Dim_Product!$A$2:$Q$61,3,FALSE)</f>
        <v/>
      </c>
      <c r="U321" s="12">
        <f>VLOOKUP(E321,Dim_Product!$A$2:$Q$61,4,FALSE)</f>
        <v/>
      </c>
      <c r="V321" s="12">
        <f>VLOOKUP(D321,Dim_Customer!$A$2:$I$121,6,FALSE)</f>
        <v/>
      </c>
      <c r="W321" s="12">
        <f>VLOOKUP(G321,Dim_Channel!$A$2:$B$5,2,FALSE)</f>
        <v/>
      </c>
      <c r="X321" s="12">
        <f>VLOOKUP(H321,Dim_Promotion!$A$2:$G$11,2,FALSE)</f>
        <v/>
      </c>
    </row>
    <row r="322">
      <c r="A322" s="4" t="inlineStr">
        <is>
          <t>SL0321</t>
        </is>
      </c>
      <c r="B322" t="inlineStr">
        <is>
          <t>O010161</t>
        </is>
      </c>
      <c r="C322" t="n">
        <v>20251006</v>
      </c>
      <c r="D322" s="4" t="inlineStr">
        <is>
          <t>C027</t>
        </is>
      </c>
      <c r="E322" s="4" t="inlineStr">
        <is>
          <t>P003</t>
        </is>
      </c>
      <c r="F322" t="inlineStr">
        <is>
          <t>XL</t>
        </is>
      </c>
      <c r="G322" s="4" t="inlineStr">
        <is>
          <t>CH01</t>
        </is>
      </c>
      <c r="H322" s="4" t="inlineStr">
        <is>
          <t>PR00</t>
        </is>
      </c>
      <c r="I322" s="8" t="n">
        <v>43</v>
      </c>
      <c r="J322" s="9" t="n">
        <v>0</v>
      </c>
      <c r="K322" s="10">
        <f>I322*(1-J322)</f>
        <v/>
      </c>
      <c r="L322" s="11" t="n">
        <v>2</v>
      </c>
      <c r="M322" s="10">
        <f>K322*L322</f>
        <v/>
      </c>
      <c r="N322" s="8" t="n">
        <v>20.5</v>
      </c>
      <c r="O322" s="10">
        <f>N322*L322</f>
        <v/>
      </c>
      <c r="P322" s="10">
        <f>M322-O322</f>
        <v/>
      </c>
      <c r="Q322" s="11" t="inlineStr">
        <is>
          <t>No</t>
        </is>
      </c>
      <c r="R322" s="11" t="n">
        <v>0</v>
      </c>
      <c r="S322" s="10">
        <f>M322-(R322*K322)</f>
        <v/>
      </c>
      <c r="T322" s="12">
        <f>VLOOKUP(E322,Dim_Product!$A$2:$Q$61,3,FALSE)</f>
        <v/>
      </c>
      <c r="U322" s="12">
        <f>VLOOKUP(E322,Dim_Product!$A$2:$Q$61,4,FALSE)</f>
        <v/>
      </c>
      <c r="V322" s="12">
        <f>VLOOKUP(D322,Dim_Customer!$A$2:$I$121,6,FALSE)</f>
        <v/>
      </c>
      <c r="W322" s="12">
        <f>VLOOKUP(G322,Dim_Channel!$A$2:$B$5,2,FALSE)</f>
        <v/>
      </c>
      <c r="X322" s="12">
        <f>VLOOKUP(H322,Dim_Promotion!$A$2:$G$11,2,FALSE)</f>
        <v/>
      </c>
    </row>
    <row r="323">
      <c r="A323" s="4" t="inlineStr">
        <is>
          <t>SL0322</t>
        </is>
      </c>
      <c r="B323" t="inlineStr">
        <is>
          <t>O010161</t>
        </is>
      </c>
      <c r="C323" t="n">
        <v>20250623</v>
      </c>
      <c r="D323" s="4" t="inlineStr">
        <is>
          <t>C050</t>
        </is>
      </c>
      <c r="E323" s="4" t="inlineStr">
        <is>
          <t>P027</t>
        </is>
      </c>
      <c r="F323" t="inlineStr">
        <is>
          <t>XL</t>
        </is>
      </c>
      <c r="G323" s="4" t="inlineStr">
        <is>
          <t>CH01</t>
        </is>
      </c>
      <c r="H323" s="4" t="inlineStr">
        <is>
          <t>PR05</t>
        </is>
      </c>
      <c r="I323" s="8" t="n">
        <v>94</v>
      </c>
      <c r="J323" s="9" t="n">
        <v>0.2</v>
      </c>
      <c r="K323" s="10">
        <f>I323*(1-J323)</f>
        <v/>
      </c>
      <c r="L323" s="11" t="n">
        <v>1</v>
      </c>
      <c r="M323" s="10">
        <f>K323*L323</f>
        <v/>
      </c>
      <c r="N323" s="8" t="n">
        <v>44.95</v>
      </c>
      <c r="O323" s="10">
        <f>N323*L323</f>
        <v/>
      </c>
      <c r="P323" s="10">
        <f>M323-O323</f>
        <v/>
      </c>
      <c r="Q323" s="11" t="inlineStr">
        <is>
          <t>No</t>
        </is>
      </c>
      <c r="R323" s="11" t="n">
        <v>0</v>
      </c>
      <c r="S323" s="10">
        <f>M323-(R323*K323)</f>
        <v/>
      </c>
      <c r="T323" s="12">
        <f>VLOOKUP(E323,Dim_Product!$A$2:$Q$61,3,FALSE)</f>
        <v/>
      </c>
      <c r="U323" s="12">
        <f>VLOOKUP(E323,Dim_Product!$A$2:$Q$61,4,FALSE)</f>
        <v/>
      </c>
      <c r="V323" s="12">
        <f>VLOOKUP(D323,Dim_Customer!$A$2:$I$121,6,FALSE)</f>
        <v/>
      </c>
      <c r="W323" s="12">
        <f>VLOOKUP(G323,Dim_Channel!$A$2:$B$5,2,FALSE)</f>
        <v/>
      </c>
      <c r="X323" s="12">
        <f>VLOOKUP(H323,Dim_Promotion!$A$2:$G$11,2,FALSE)</f>
        <v/>
      </c>
    </row>
    <row r="324">
      <c r="A324" s="4" t="inlineStr">
        <is>
          <t>SL0323</t>
        </is>
      </c>
      <c r="B324" t="inlineStr">
        <is>
          <t>O010162</t>
        </is>
      </c>
      <c r="C324" t="n">
        <v>20251204</v>
      </c>
      <c r="D324" s="4" t="inlineStr">
        <is>
          <t>C118</t>
        </is>
      </c>
      <c r="E324" s="4" t="inlineStr">
        <is>
          <t>P031</t>
        </is>
      </c>
      <c r="F324" t="inlineStr">
        <is>
          <t>L</t>
        </is>
      </c>
      <c r="G324" s="4" t="inlineStr">
        <is>
          <t>CH03</t>
        </is>
      </c>
      <c r="H324" s="4" t="inlineStr">
        <is>
          <t>PR00</t>
        </is>
      </c>
      <c r="I324" s="8" t="n">
        <v>112</v>
      </c>
      <c r="J324" s="9" t="n">
        <v>0</v>
      </c>
      <c r="K324" s="10">
        <f>I324*(1-J324)</f>
        <v/>
      </c>
      <c r="L324" s="11" t="n">
        <v>1</v>
      </c>
      <c r="M324" s="10">
        <f>K324*L324</f>
        <v/>
      </c>
      <c r="N324" s="8" t="n">
        <v>54.78</v>
      </c>
      <c r="O324" s="10">
        <f>N324*L324</f>
        <v/>
      </c>
      <c r="P324" s="10">
        <f>M324-O324</f>
        <v/>
      </c>
      <c r="Q324" s="11" t="inlineStr">
        <is>
          <t>No</t>
        </is>
      </c>
      <c r="R324" s="11" t="n">
        <v>0</v>
      </c>
      <c r="S324" s="10">
        <f>M324-(R324*K324)</f>
        <v/>
      </c>
      <c r="T324" s="12">
        <f>VLOOKUP(E324,Dim_Product!$A$2:$Q$61,3,FALSE)</f>
        <v/>
      </c>
      <c r="U324" s="12">
        <f>VLOOKUP(E324,Dim_Product!$A$2:$Q$61,4,FALSE)</f>
        <v/>
      </c>
      <c r="V324" s="12">
        <f>VLOOKUP(D324,Dim_Customer!$A$2:$I$121,6,FALSE)</f>
        <v/>
      </c>
      <c r="W324" s="12">
        <f>VLOOKUP(G324,Dim_Channel!$A$2:$B$5,2,FALSE)</f>
        <v/>
      </c>
      <c r="X324" s="12">
        <f>VLOOKUP(H324,Dim_Promotion!$A$2:$G$11,2,FALSE)</f>
        <v/>
      </c>
    </row>
    <row r="325">
      <c r="A325" s="4" t="inlineStr">
        <is>
          <t>SL0324</t>
        </is>
      </c>
      <c r="B325" t="inlineStr">
        <is>
          <t>O010162</t>
        </is>
      </c>
      <c r="C325" t="n">
        <v>20250913</v>
      </c>
      <c r="D325" s="4" t="inlineStr">
        <is>
          <t>C060</t>
        </is>
      </c>
      <c r="E325" s="4" t="inlineStr">
        <is>
          <t>P043</t>
        </is>
      </c>
      <c r="F325" t="inlineStr">
        <is>
          <t>S</t>
        </is>
      </c>
      <c r="G325" s="4" t="inlineStr">
        <is>
          <t>CH01</t>
        </is>
      </c>
      <c r="H325" s="4" t="inlineStr">
        <is>
          <t>PR00</t>
        </is>
      </c>
      <c r="I325" s="8" t="n">
        <v>82</v>
      </c>
      <c r="J325" s="9" t="n">
        <v>0</v>
      </c>
      <c r="K325" s="10">
        <f>I325*(1-J325)</f>
        <v/>
      </c>
      <c r="L325" s="11" t="n">
        <v>1</v>
      </c>
      <c r="M325" s="10">
        <f>K325*L325</f>
        <v/>
      </c>
      <c r="N325" s="8" t="n">
        <v>37.26</v>
      </c>
      <c r="O325" s="10">
        <f>N325*L325</f>
        <v/>
      </c>
      <c r="P325" s="10">
        <f>M325-O325</f>
        <v/>
      </c>
      <c r="Q325" s="11" t="inlineStr">
        <is>
          <t>Yes</t>
        </is>
      </c>
      <c r="R325" s="11" t="n">
        <v>1</v>
      </c>
      <c r="S325" s="10">
        <f>M325-(R325*K325)</f>
        <v/>
      </c>
      <c r="T325" s="12">
        <f>VLOOKUP(E325,Dim_Product!$A$2:$Q$61,3,FALSE)</f>
        <v/>
      </c>
      <c r="U325" s="12">
        <f>VLOOKUP(E325,Dim_Product!$A$2:$Q$61,4,FALSE)</f>
        <v/>
      </c>
      <c r="V325" s="12">
        <f>VLOOKUP(D325,Dim_Customer!$A$2:$I$121,6,FALSE)</f>
        <v/>
      </c>
      <c r="W325" s="12">
        <f>VLOOKUP(G325,Dim_Channel!$A$2:$B$5,2,FALSE)</f>
        <v/>
      </c>
      <c r="X325" s="12">
        <f>VLOOKUP(H325,Dim_Promotion!$A$2:$G$11,2,FALSE)</f>
        <v/>
      </c>
    </row>
    <row r="326">
      <c r="A326" s="4" t="inlineStr">
        <is>
          <t>SL0325</t>
        </is>
      </c>
      <c r="B326" t="inlineStr">
        <is>
          <t>O010163</t>
        </is>
      </c>
      <c r="C326" t="n">
        <v>20250204</v>
      </c>
      <c r="D326" s="4" t="inlineStr">
        <is>
          <t>C088</t>
        </is>
      </c>
      <c r="E326" s="4" t="inlineStr">
        <is>
          <t>P025</t>
        </is>
      </c>
      <c r="F326" t="inlineStr">
        <is>
          <t>M</t>
        </is>
      </c>
      <c r="G326" s="4" t="inlineStr">
        <is>
          <t>CH02</t>
        </is>
      </c>
      <c r="H326" s="4" t="inlineStr">
        <is>
          <t>PR00</t>
        </is>
      </c>
      <c r="I326" s="8" t="n">
        <v>93</v>
      </c>
      <c r="J326" s="9" t="n">
        <v>0</v>
      </c>
      <c r="K326" s="10">
        <f>I326*(1-J326)</f>
        <v/>
      </c>
      <c r="L326" s="11" t="n">
        <v>1</v>
      </c>
      <c r="M326" s="10">
        <f>K326*L326</f>
        <v/>
      </c>
      <c r="N326" s="8" t="n">
        <v>45.7</v>
      </c>
      <c r="O326" s="10">
        <f>N326*L326</f>
        <v/>
      </c>
      <c r="P326" s="10">
        <f>M326-O326</f>
        <v/>
      </c>
      <c r="Q326" s="11" t="inlineStr">
        <is>
          <t>No</t>
        </is>
      </c>
      <c r="R326" s="11" t="n">
        <v>0</v>
      </c>
      <c r="S326" s="10">
        <f>M326-(R326*K326)</f>
        <v/>
      </c>
      <c r="T326" s="12">
        <f>VLOOKUP(E326,Dim_Product!$A$2:$Q$61,3,FALSE)</f>
        <v/>
      </c>
      <c r="U326" s="12">
        <f>VLOOKUP(E326,Dim_Product!$A$2:$Q$61,4,FALSE)</f>
        <v/>
      </c>
      <c r="V326" s="12">
        <f>VLOOKUP(D326,Dim_Customer!$A$2:$I$121,6,FALSE)</f>
        <v/>
      </c>
      <c r="W326" s="12">
        <f>VLOOKUP(G326,Dim_Channel!$A$2:$B$5,2,FALSE)</f>
        <v/>
      </c>
      <c r="X326" s="12">
        <f>VLOOKUP(H326,Dim_Promotion!$A$2:$G$11,2,FALSE)</f>
        <v/>
      </c>
    </row>
    <row r="327">
      <c r="A327" s="4" t="inlineStr">
        <is>
          <t>SL0326</t>
        </is>
      </c>
      <c r="B327" t="inlineStr">
        <is>
          <t>O010163</t>
        </is>
      </c>
      <c r="C327" t="n">
        <v>20250420</v>
      </c>
      <c r="D327" s="4" t="inlineStr">
        <is>
          <t>C082</t>
        </is>
      </c>
      <c r="E327" s="4" t="inlineStr">
        <is>
          <t>P005</t>
        </is>
      </c>
      <c r="F327" t="inlineStr">
        <is>
          <t>M</t>
        </is>
      </c>
      <c r="G327" s="4" t="inlineStr">
        <is>
          <t>CH04</t>
        </is>
      </c>
      <c r="H327" s="4" t="inlineStr">
        <is>
          <t>PR00</t>
        </is>
      </c>
      <c r="I327" s="8" t="n">
        <v>52</v>
      </c>
      <c r="J327" s="9" t="n">
        <v>0</v>
      </c>
      <c r="K327" s="10">
        <f>I327*(1-J327)</f>
        <v/>
      </c>
      <c r="L327" s="11" t="n">
        <v>2</v>
      </c>
      <c r="M327" s="10">
        <f>K327*L327</f>
        <v/>
      </c>
      <c r="N327" s="8" t="n">
        <v>20.43</v>
      </c>
      <c r="O327" s="10">
        <f>N327*L327</f>
        <v/>
      </c>
      <c r="P327" s="10">
        <f>M327-O327</f>
        <v/>
      </c>
      <c r="Q327" s="11" t="inlineStr">
        <is>
          <t>No</t>
        </is>
      </c>
      <c r="R327" s="11" t="n">
        <v>0</v>
      </c>
      <c r="S327" s="10">
        <f>M327-(R327*K327)</f>
        <v/>
      </c>
      <c r="T327" s="12">
        <f>VLOOKUP(E327,Dim_Product!$A$2:$Q$61,3,FALSE)</f>
        <v/>
      </c>
      <c r="U327" s="12">
        <f>VLOOKUP(E327,Dim_Product!$A$2:$Q$61,4,FALSE)</f>
        <v/>
      </c>
      <c r="V327" s="12">
        <f>VLOOKUP(D327,Dim_Customer!$A$2:$I$121,6,FALSE)</f>
        <v/>
      </c>
      <c r="W327" s="12">
        <f>VLOOKUP(G327,Dim_Channel!$A$2:$B$5,2,FALSE)</f>
        <v/>
      </c>
      <c r="X327" s="12">
        <f>VLOOKUP(H327,Dim_Promotion!$A$2:$G$11,2,FALSE)</f>
        <v/>
      </c>
    </row>
    <row r="328">
      <c r="A328" s="4" t="inlineStr">
        <is>
          <t>SL0327</t>
        </is>
      </c>
      <c r="B328" t="inlineStr">
        <is>
          <t>O010164</t>
        </is>
      </c>
      <c r="C328" t="n">
        <v>20250730</v>
      </c>
      <c r="D328" s="4" t="inlineStr">
        <is>
          <t>C010</t>
        </is>
      </c>
      <c r="E328" s="4" t="inlineStr">
        <is>
          <t>P037</t>
        </is>
      </c>
      <c r="F328" t="inlineStr">
        <is>
          <t>S</t>
        </is>
      </c>
      <c r="G328" s="4" t="inlineStr">
        <is>
          <t>CH01</t>
        </is>
      </c>
      <c r="H328" s="4" t="inlineStr">
        <is>
          <t>PR00</t>
        </is>
      </c>
      <c r="I328" s="8" t="n">
        <v>72</v>
      </c>
      <c r="J328" s="9" t="n">
        <v>0</v>
      </c>
      <c r="K328" s="10">
        <f>I328*(1-J328)</f>
        <v/>
      </c>
      <c r="L328" s="11" t="n">
        <v>1</v>
      </c>
      <c r="M328" s="10">
        <f>K328*L328</f>
        <v/>
      </c>
      <c r="N328" s="8" t="n">
        <v>33.89</v>
      </c>
      <c r="O328" s="10">
        <f>N328*L328</f>
        <v/>
      </c>
      <c r="P328" s="10">
        <f>M328-O328</f>
        <v/>
      </c>
      <c r="Q328" s="11" t="inlineStr">
        <is>
          <t>No</t>
        </is>
      </c>
      <c r="R328" s="11" t="n">
        <v>0</v>
      </c>
      <c r="S328" s="10">
        <f>M328-(R328*K328)</f>
        <v/>
      </c>
      <c r="T328" s="12">
        <f>VLOOKUP(E328,Dim_Product!$A$2:$Q$61,3,FALSE)</f>
        <v/>
      </c>
      <c r="U328" s="12">
        <f>VLOOKUP(E328,Dim_Product!$A$2:$Q$61,4,FALSE)</f>
        <v/>
      </c>
      <c r="V328" s="12">
        <f>VLOOKUP(D328,Dim_Customer!$A$2:$I$121,6,FALSE)</f>
        <v/>
      </c>
      <c r="W328" s="12">
        <f>VLOOKUP(G328,Dim_Channel!$A$2:$B$5,2,FALSE)</f>
        <v/>
      </c>
      <c r="X328" s="12">
        <f>VLOOKUP(H328,Dim_Promotion!$A$2:$G$11,2,FALSE)</f>
        <v/>
      </c>
    </row>
    <row r="329">
      <c r="A329" s="4" t="inlineStr">
        <is>
          <t>SL0328</t>
        </is>
      </c>
      <c r="B329" t="inlineStr">
        <is>
          <t>O010164</t>
        </is>
      </c>
      <c r="C329" t="n">
        <v>20250113</v>
      </c>
      <c r="D329" s="4" t="inlineStr">
        <is>
          <t>C043</t>
        </is>
      </c>
      <c r="E329" s="4" t="inlineStr">
        <is>
          <t>P060</t>
        </is>
      </c>
      <c r="F329" t="inlineStr">
        <is>
          <t>XL</t>
        </is>
      </c>
      <c r="G329" s="4" t="inlineStr">
        <is>
          <t>CH02</t>
        </is>
      </c>
      <c r="H329" s="4" t="inlineStr">
        <is>
          <t>PR00</t>
        </is>
      </c>
      <c r="I329" s="8" t="n">
        <v>72</v>
      </c>
      <c r="J329" s="9" t="n">
        <v>0</v>
      </c>
      <c r="K329" s="10">
        <f>I329*(1-J329)</f>
        <v/>
      </c>
      <c r="L329" s="11" t="n">
        <v>1</v>
      </c>
      <c r="M329" s="10">
        <f>K329*L329</f>
        <v/>
      </c>
      <c r="N329" s="8" t="n">
        <v>35.67</v>
      </c>
      <c r="O329" s="10">
        <f>N329*L329</f>
        <v/>
      </c>
      <c r="P329" s="10">
        <f>M329-O329</f>
        <v/>
      </c>
      <c r="Q329" s="11" t="inlineStr">
        <is>
          <t>No</t>
        </is>
      </c>
      <c r="R329" s="11" t="n">
        <v>0</v>
      </c>
      <c r="S329" s="10">
        <f>M329-(R329*K329)</f>
        <v/>
      </c>
      <c r="T329" s="12">
        <f>VLOOKUP(E329,Dim_Product!$A$2:$Q$61,3,FALSE)</f>
        <v/>
      </c>
      <c r="U329" s="12">
        <f>VLOOKUP(E329,Dim_Product!$A$2:$Q$61,4,FALSE)</f>
        <v/>
      </c>
      <c r="V329" s="12">
        <f>VLOOKUP(D329,Dim_Customer!$A$2:$I$121,6,FALSE)</f>
        <v/>
      </c>
      <c r="W329" s="12">
        <f>VLOOKUP(G329,Dim_Channel!$A$2:$B$5,2,FALSE)</f>
        <v/>
      </c>
      <c r="X329" s="12">
        <f>VLOOKUP(H329,Dim_Promotion!$A$2:$G$11,2,FALSE)</f>
        <v/>
      </c>
    </row>
    <row r="330">
      <c r="A330" s="4" t="inlineStr">
        <is>
          <t>SL0329</t>
        </is>
      </c>
      <c r="B330" t="inlineStr">
        <is>
          <t>O010165</t>
        </is>
      </c>
      <c r="C330" t="n">
        <v>20250325</v>
      </c>
      <c r="D330" s="4" t="inlineStr">
        <is>
          <t>C056</t>
        </is>
      </c>
      <c r="E330" s="4" t="inlineStr">
        <is>
          <t>P012</t>
        </is>
      </c>
      <c r="F330" t="inlineStr">
        <is>
          <t>XL</t>
        </is>
      </c>
      <c r="G330" s="4" t="inlineStr">
        <is>
          <t>CH03</t>
        </is>
      </c>
      <c r="H330" s="4" t="inlineStr">
        <is>
          <t>PR00</t>
        </is>
      </c>
      <c r="I330" s="8" t="n">
        <v>42</v>
      </c>
      <c r="J330" s="9" t="n">
        <v>0</v>
      </c>
      <c r="K330" s="10">
        <f>I330*(1-J330)</f>
        <v/>
      </c>
      <c r="L330" s="11" t="n">
        <v>1</v>
      </c>
      <c r="M330" s="10">
        <f>K330*L330</f>
        <v/>
      </c>
      <c r="N330" s="8" t="n">
        <v>22.52</v>
      </c>
      <c r="O330" s="10">
        <f>N330*L330</f>
        <v/>
      </c>
      <c r="P330" s="10">
        <f>M330-O330</f>
        <v/>
      </c>
      <c r="Q330" s="11" t="inlineStr">
        <is>
          <t>No</t>
        </is>
      </c>
      <c r="R330" s="11" t="n">
        <v>0</v>
      </c>
      <c r="S330" s="10">
        <f>M330-(R330*K330)</f>
        <v/>
      </c>
      <c r="T330" s="12">
        <f>VLOOKUP(E330,Dim_Product!$A$2:$Q$61,3,FALSE)</f>
        <v/>
      </c>
      <c r="U330" s="12">
        <f>VLOOKUP(E330,Dim_Product!$A$2:$Q$61,4,FALSE)</f>
        <v/>
      </c>
      <c r="V330" s="12">
        <f>VLOOKUP(D330,Dim_Customer!$A$2:$I$121,6,FALSE)</f>
        <v/>
      </c>
      <c r="W330" s="12">
        <f>VLOOKUP(G330,Dim_Channel!$A$2:$B$5,2,FALSE)</f>
        <v/>
      </c>
      <c r="X330" s="12">
        <f>VLOOKUP(H330,Dim_Promotion!$A$2:$G$11,2,FALSE)</f>
        <v/>
      </c>
    </row>
    <row r="331">
      <c r="A331" s="4" t="inlineStr">
        <is>
          <t>SL0330</t>
        </is>
      </c>
      <c r="B331" t="inlineStr">
        <is>
          <t>O010165</t>
        </is>
      </c>
      <c r="C331" t="n">
        <v>20250116</v>
      </c>
      <c r="D331" s="4" t="inlineStr">
        <is>
          <t>C020</t>
        </is>
      </c>
      <c r="E331" s="4" t="inlineStr">
        <is>
          <t>P038</t>
        </is>
      </c>
      <c r="F331" t="inlineStr">
        <is>
          <t>XS</t>
        </is>
      </c>
      <c r="G331" s="4" t="inlineStr">
        <is>
          <t>CH02</t>
        </is>
      </c>
      <c r="H331" s="4" t="inlineStr">
        <is>
          <t>PR00</t>
        </is>
      </c>
      <c r="I331" s="8" t="n">
        <v>74</v>
      </c>
      <c r="J331" s="9" t="n">
        <v>0</v>
      </c>
      <c r="K331" s="10">
        <f>I331*(1-J331)</f>
        <v/>
      </c>
      <c r="L331" s="11" t="n">
        <v>2</v>
      </c>
      <c r="M331" s="10">
        <f>K331*L331</f>
        <v/>
      </c>
      <c r="N331" s="8" t="n">
        <v>33.48</v>
      </c>
      <c r="O331" s="10">
        <f>N331*L331</f>
        <v/>
      </c>
      <c r="P331" s="10">
        <f>M331-O331</f>
        <v/>
      </c>
      <c r="Q331" s="11" t="inlineStr">
        <is>
          <t>No</t>
        </is>
      </c>
      <c r="R331" s="11" t="n">
        <v>0</v>
      </c>
      <c r="S331" s="10">
        <f>M331-(R331*K331)</f>
        <v/>
      </c>
      <c r="T331" s="12">
        <f>VLOOKUP(E331,Dim_Product!$A$2:$Q$61,3,FALSE)</f>
        <v/>
      </c>
      <c r="U331" s="12">
        <f>VLOOKUP(E331,Dim_Product!$A$2:$Q$61,4,FALSE)</f>
        <v/>
      </c>
      <c r="V331" s="12">
        <f>VLOOKUP(D331,Dim_Customer!$A$2:$I$121,6,FALSE)</f>
        <v/>
      </c>
      <c r="W331" s="12">
        <f>VLOOKUP(G331,Dim_Channel!$A$2:$B$5,2,FALSE)</f>
        <v/>
      </c>
      <c r="X331" s="12">
        <f>VLOOKUP(H331,Dim_Promotion!$A$2:$G$11,2,FALSE)</f>
        <v/>
      </c>
    </row>
    <row r="332">
      <c r="A332" s="4" t="inlineStr">
        <is>
          <t>SL0331</t>
        </is>
      </c>
      <c r="B332" t="inlineStr">
        <is>
          <t>O010166</t>
        </is>
      </c>
      <c r="C332" t="n">
        <v>20251216</v>
      </c>
      <c r="D332" s="4" t="inlineStr">
        <is>
          <t>C062</t>
        </is>
      </c>
      <c r="E332" s="4" t="inlineStr">
        <is>
          <t>P031</t>
        </is>
      </c>
      <c r="F332" t="inlineStr">
        <is>
          <t>XL</t>
        </is>
      </c>
      <c r="G332" s="4" t="inlineStr">
        <is>
          <t>CH03</t>
        </is>
      </c>
      <c r="H332" s="4" t="inlineStr">
        <is>
          <t>PR00</t>
        </is>
      </c>
      <c r="I332" s="8" t="n">
        <v>114</v>
      </c>
      <c r="J332" s="9" t="n">
        <v>0</v>
      </c>
      <c r="K332" s="10">
        <f>I332*(1-J332)</f>
        <v/>
      </c>
      <c r="L332" s="11" t="n">
        <v>1</v>
      </c>
      <c r="M332" s="10">
        <f>K332*L332</f>
        <v/>
      </c>
      <c r="N332" s="8" t="n">
        <v>57.17</v>
      </c>
      <c r="O332" s="10">
        <f>N332*L332</f>
        <v/>
      </c>
      <c r="P332" s="10">
        <f>M332-O332</f>
        <v/>
      </c>
      <c r="Q332" s="11" t="inlineStr">
        <is>
          <t>No</t>
        </is>
      </c>
      <c r="R332" s="11" t="n">
        <v>0</v>
      </c>
      <c r="S332" s="10">
        <f>M332-(R332*K332)</f>
        <v/>
      </c>
      <c r="T332" s="12">
        <f>VLOOKUP(E332,Dim_Product!$A$2:$Q$61,3,FALSE)</f>
        <v/>
      </c>
      <c r="U332" s="12">
        <f>VLOOKUP(E332,Dim_Product!$A$2:$Q$61,4,FALSE)</f>
        <v/>
      </c>
      <c r="V332" s="12">
        <f>VLOOKUP(D332,Dim_Customer!$A$2:$I$121,6,FALSE)</f>
        <v/>
      </c>
      <c r="W332" s="12">
        <f>VLOOKUP(G332,Dim_Channel!$A$2:$B$5,2,FALSE)</f>
        <v/>
      </c>
      <c r="X332" s="12">
        <f>VLOOKUP(H332,Dim_Promotion!$A$2:$G$11,2,FALSE)</f>
        <v/>
      </c>
    </row>
    <row r="333">
      <c r="A333" s="4" t="inlineStr">
        <is>
          <t>SL0332</t>
        </is>
      </c>
      <c r="B333" t="inlineStr">
        <is>
          <t>O010166</t>
        </is>
      </c>
      <c r="C333" t="n">
        <v>20250502</v>
      </c>
      <c r="D333" s="4" t="inlineStr">
        <is>
          <t>C081</t>
        </is>
      </c>
      <c r="E333" s="4" t="inlineStr">
        <is>
          <t>P045</t>
        </is>
      </c>
      <c r="F333" t="inlineStr">
        <is>
          <t>S</t>
        </is>
      </c>
      <c r="G333" s="4" t="inlineStr">
        <is>
          <t>CH02</t>
        </is>
      </c>
      <c r="H333" s="4" t="inlineStr">
        <is>
          <t>PR00</t>
        </is>
      </c>
      <c r="I333" s="8" t="n">
        <v>66</v>
      </c>
      <c r="J333" s="9" t="n">
        <v>0</v>
      </c>
      <c r="K333" s="10">
        <f>I333*(1-J333)</f>
        <v/>
      </c>
      <c r="L333" s="11" t="n">
        <v>1</v>
      </c>
      <c r="M333" s="10">
        <f>K333*L333</f>
        <v/>
      </c>
      <c r="N333" s="8" t="n">
        <v>33.11</v>
      </c>
      <c r="O333" s="10">
        <f>N333*L333</f>
        <v/>
      </c>
      <c r="P333" s="10">
        <f>M333-O333</f>
        <v/>
      </c>
      <c r="Q333" s="11" t="inlineStr">
        <is>
          <t>No</t>
        </is>
      </c>
      <c r="R333" s="11" t="n">
        <v>0</v>
      </c>
      <c r="S333" s="10">
        <f>M333-(R333*K333)</f>
        <v/>
      </c>
      <c r="T333" s="12">
        <f>VLOOKUP(E333,Dim_Product!$A$2:$Q$61,3,FALSE)</f>
        <v/>
      </c>
      <c r="U333" s="12">
        <f>VLOOKUP(E333,Dim_Product!$A$2:$Q$61,4,FALSE)</f>
        <v/>
      </c>
      <c r="V333" s="12">
        <f>VLOOKUP(D333,Dim_Customer!$A$2:$I$121,6,FALSE)</f>
        <v/>
      </c>
      <c r="W333" s="12">
        <f>VLOOKUP(G333,Dim_Channel!$A$2:$B$5,2,FALSE)</f>
        <v/>
      </c>
      <c r="X333" s="12">
        <f>VLOOKUP(H333,Dim_Promotion!$A$2:$G$11,2,FALSE)</f>
        <v/>
      </c>
    </row>
    <row r="334">
      <c r="A334" s="4" t="inlineStr">
        <is>
          <t>SL0333</t>
        </is>
      </c>
      <c r="B334" t="inlineStr">
        <is>
          <t>O010167</t>
        </is>
      </c>
      <c r="C334" t="n">
        <v>20250916</v>
      </c>
      <c r="D334" s="4" t="inlineStr">
        <is>
          <t>C011</t>
        </is>
      </c>
      <c r="E334" s="4" t="inlineStr">
        <is>
          <t>P052</t>
        </is>
      </c>
      <c r="F334" t="inlineStr">
        <is>
          <t>M</t>
        </is>
      </c>
      <c r="G334" s="4" t="inlineStr">
        <is>
          <t>CH01</t>
        </is>
      </c>
      <c r="H334" s="4" t="inlineStr">
        <is>
          <t>PR00</t>
        </is>
      </c>
      <c r="I334" s="8" t="n">
        <v>64</v>
      </c>
      <c r="J334" s="9" t="n">
        <v>0</v>
      </c>
      <c r="K334" s="10">
        <f>I334*(1-J334)</f>
        <v/>
      </c>
      <c r="L334" s="11" t="n">
        <v>1</v>
      </c>
      <c r="M334" s="10">
        <f>K334*L334</f>
        <v/>
      </c>
      <c r="N334" s="8" t="n">
        <v>30.5</v>
      </c>
      <c r="O334" s="10">
        <f>N334*L334</f>
        <v/>
      </c>
      <c r="P334" s="10">
        <f>M334-O334</f>
        <v/>
      </c>
      <c r="Q334" s="11" t="inlineStr">
        <is>
          <t>No</t>
        </is>
      </c>
      <c r="R334" s="11" t="n">
        <v>0</v>
      </c>
      <c r="S334" s="10">
        <f>M334-(R334*K334)</f>
        <v/>
      </c>
      <c r="T334" s="12">
        <f>VLOOKUP(E334,Dim_Product!$A$2:$Q$61,3,FALSE)</f>
        <v/>
      </c>
      <c r="U334" s="12">
        <f>VLOOKUP(E334,Dim_Product!$A$2:$Q$61,4,FALSE)</f>
        <v/>
      </c>
      <c r="V334" s="12">
        <f>VLOOKUP(D334,Dim_Customer!$A$2:$I$121,6,FALSE)</f>
        <v/>
      </c>
      <c r="W334" s="12">
        <f>VLOOKUP(G334,Dim_Channel!$A$2:$B$5,2,FALSE)</f>
        <v/>
      </c>
      <c r="X334" s="12">
        <f>VLOOKUP(H334,Dim_Promotion!$A$2:$G$11,2,FALSE)</f>
        <v/>
      </c>
    </row>
    <row r="335">
      <c r="A335" s="4" t="inlineStr">
        <is>
          <t>SL0334</t>
        </is>
      </c>
      <c r="B335" t="inlineStr">
        <is>
          <t>O010167</t>
        </is>
      </c>
      <c r="C335" t="n">
        <v>20250518</v>
      </c>
      <c r="D335" s="4" t="inlineStr">
        <is>
          <t>C107</t>
        </is>
      </c>
      <c r="E335" s="4" t="inlineStr">
        <is>
          <t>P002</t>
        </is>
      </c>
      <c r="F335" t="inlineStr">
        <is>
          <t>M</t>
        </is>
      </c>
      <c r="G335" s="4" t="inlineStr">
        <is>
          <t>CH03</t>
        </is>
      </c>
      <c r="H335" s="4" t="inlineStr">
        <is>
          <t>PR00</t>
        </is>
      </c>
      <c r="I335" s="8" t="n">
        <v>40</v>
      </c>
      <c r="J335" s="9" t="n">
        <v>0</v>
      </c>
      <c r="K335" s="10">
        <f>I335*(1-J335)</f>
        <v/>
      </c>
      <c r="L335" s="11" t="n">
        <v>2</v>
      </c>
      <c r="M335" s="10">
        <f>K335*L335</f>
        <v/>
      </c>
      <c r="N335" s="8" t="n">
        <v>17.34</v>
      </c>
      <c r="O335" s="10">
        <f>N335*L335</f>
        <v/>
      </c>
      <c r="P335" s="10">
        <f>M335-O335</f>
        <v/>
      </c>
      <c r="Q335" s="11" t="inlineStr">
        <is>
          <t>No</t>
        </is>
      </c>
      <c r="R335" s="11" t="n">
        <v>0</v>
      </c>
      <c r="S335" s="10">
        <f>M335-(R335*K335)</f>
        <v/>
      </c>
      <c r="T335" s="12">
        <f>VLOOKUP(E335,Dim_Product!$A$2:$Q$61,3,FALSE)</f>
        <v/>
      </c>
      <c r="U335" s="12">
        <f>VLOOKUP(E335,Dim_Product!$A$2:$Q$61,4,FALSE)</f>
        <v/>
      </c>
      <c r="V335" s="12">
        <f>VLOOKUP(D335,Dim_Customer!$A$2:$I$121,6,FALSE)</f>
        <v/>
      </c>
      <c r="W335" s="12">
        <f>VLOOKUP(G335,Dim_Channel!$A$2:$B$5,2,FALSE)</f>
        <v/>
      </c>
      <c r="X335" s="12">
        <f>VLOOKUP(H335,Dim_Promotion!$A$2:$G$11,2,FALSE)</f>
        <v/>
      </c>
    </row>
    <row r="336">
      <c r="A336" s="4" t="inlineStr">
        <is>
          <t>SL0335</t>
        </is>
      </c>
      <c r="B336" t="inlineStr">
        <is>
          <t>O010168</t>
        </is>
      </c>
      <c r="C336" t="n">
        <v>20250928</v>
      </c>
      <c r="D336" s="4" t="inlineStr">
        <is>
          <t>C069</t>
        </is>
      </c>
      <c r="E336" s="4" t="inlineStr">
        <is>
          <t>P008</t>
        </is>
      </c>
      <c r="F336" t="inlineStr">
        <is>
          <t>XL</t>
        </is>
      </c>
      <c r="G336" s="4" t="inlineStr">
        <is>
          <t>CH01</t>
        </is>
      </c>
      <c r="H336" s="4" t="inlineStr">
        <is>
          <t>PR00</t>
        </is>
      </c>
      <c r="I336" s="8" t="n">
        <v>53</v>
      </c>
      <c r="J336" s="9" t="n">
        <v>0</v>
      </c>
      <c r="K336" s="10">
        <f>I336*(1-J336)</f>
        <v/>
      </c>
      <c r="L336" s="11" t="n">
        <v>2</v>
      </c>
      <c r="M336" s="10">
        <f>K336*L336</f>
        <v/>
      </c>
      <c r="N336" s="8" t="n">
        <v>23.39</v>
      </c>
      <c r="O336" s="10">
        <f>N336*L336</f>
        <v/>
      </c>
      <c r="P336" s="10">
        <f>M336-O336</f>
        <v/>
      </c>
      <c r="Q336" s="11" t="inlineStr">
        <is>
          <t>No</t>
        </is>
      </c>
      <c r="R336" s="11" t="n">
        <v>0</v>
      </c>
      <c r="S336" s="10">
        <f>M336-(R336*K336)</f>
        <v/>
      </c>
      <c r="T336" s="12">
        <f>VLOOKUP(E336,Dim_Product!$A$2:$Q$61,3,FALSE)</f>
        <v/>
      </c>
      <c r="U336" s="12">
        <f>VLOOKUP(E336,Dim_Product!$A$2:$Q$61,4,FALSE)</f>
        <v/>
      </c>
      <c r="V336" s="12">
        <f>VLOOKUP(D336,Dim_Customer!$A$2:$I$121,6,FALSE)</f>
        <v/>
      </c>
      <c r="W336" s="12">
        <f>VLOOKUP(G336,Dim_Channel!$A$2:$B$5,2,FALSE)</f>
        <v/>
      </c>
      <c r="X336" s="12">
        <f>VLOOKUP(H336,Dim_Promotion!$A$2:$G$11,2,FALSE)</f>
        <v/>
      </c>
    </row>
    <row r="337">
      <c r="A337" s="4" t="inlineStr">
        <is>
          <t>SL0336</t>
        </is>
      </c>
      <c r="B337" t="inlineStr">
        <is>
          <t>O010168</t>
        </is>
      </c>
      <c r="C337" t="n">
        <v>20250901</v>
      </c>
      <c r="D337" s="4" t="inlineStr">
        <is>
          <t>C023</t>
        </is>
      </c>
      <c r="E337" s="4" t="inlineStr">
        <is>
          <t>P048</t>
        </is>
      </c>
      <c r="F337" t="inlineStr">
        <is>
          <t>M</t>
        </is>
      </c>
      <c r="G337" s="4" t="inlineStr">
        <is>
          <t>CH03</t>
        </is>
      </c>
      <c r="H337" s="4" t="inlineStr">
        <is>
          <t>PR00</t>
        </is>
      </c>
      <c r="I337" s="8" t="n">
        <v>66</v>
      </c>
      <c r="J337" s="9" t="n">
        <v>0</v>
      </c>
      <c r="K337" s="10">
        <f>I337*(1-J337)</f>
        <v/>
      </c>
      <c r="L337" s="11" t="n">
        <v>1</v>
      </c>
      <c r="M337" s="10">
        <f>K337*L337</f>
        <v/>
      </c>
      <c r="N337" s="8" t="n">
        <v>33.52</v>
      </c>
      <c r="O337" s="10">
        <f>N337*L337</f>
        <v/>
      </c>
      <c r="P337" s="10">
        <f>M337-O337</f>
        <v/>
      </c>
      <c r="Q337" s="11" t="inlineStr">
        <is>
          <t>No</t>
        </is>
      </c>
      <c r="R337" s="11" t="n">
        <v>0</v>
      </c>
      <c r="S337" s="10">
        <f>M337-(R337*K337)</f>
        <v/>
      </c>
      <c r="T337" s="12">
        <f>VLOOKUP(E337,Dim_Product!$A$2:$Q$61,3,FALSE)</f>
        <v/>
      </c>
      <c r="U337" s="12">
        <f>VLOOKUP(E337,Dim_Product!$A$2:$Q$61,4,FALSE)</f>
        <v/>
      </c>
      <c r="V337" s="12">
        <f>VLOOKUP(D337,Dim_Customer!$A$2:$I$121,6,FALSE)</f>
        <v/>
      </c>
      <c r="W337" s="12">
        <f>VLOOKUP(G337,Dim_Channel!$A$2:$B$5,2,FALSE)</f>
        <v/>
      </c>
      <c r="X337" s="12">
        <f>VLOOKUP(H337,Dim_Promotion!$A$2:$G$11,2,FALSE)</f>
        <v/>
      </c>
    </row>
    <row r="338">
      <c r="A338" s="4" t="inlineStr">
        <is>
          <t>SL0337</t>
        </is>
      </c>
      <c r="B338" t="inlineStr">
        <is>
          <t>O010169</t>
        </is>
      </c>
      <c r="C338" t="n">
        <v>20250107</v>
      </c>
      <c r="D338" s="4" t="inlineStr">
        <is>
          <t>C055</t>
        </is>
      </c>
      <c r="E338" s="4" t="inlineStr">
        <is>
          <t>P019</t>
        </is>
      </c>
      <c r="F338" t="inlineStr">
        <is>
          <t>M</t>
        </is>
      </c>
      <c r="G338" s="4" t="inlineStr">
        <is>
          <t>CH01</t>
        </is>
      </c>
      <c r="H338" s="4" t="inlineStr">
        <is>
          <t>PR00</t>
        </is>
      </c>
      <c r="I338" s="8" t="n">
        <v>66</v>
      </c>
      <c r="J338" s="9" t="n">
        <v>0</v>
      </c>
      <c r="K338" s="10">
        <f>I338*(1-J338)</f>
        <v/>
      </c>
      <c r="L338" s="11" t="n">
        <v>1</v>
      </c>
      <c r="M338" s="10">
        <f>K338*L338</f>
        <v/>
      </c>
      <c r="N338" s="8" t="n">
        <v>32.97</v>
      </c>
      <c r="O338" s="10">
        <f>N338*L338</f>
        <v/>
      </c>
      <c r="P338" s="10">
        <f>M338-O338</f>
        <v/>
      </c>
      <c r="Q338" s="11" t="inlineStr">
        <is>
          <t>No</t>
        </is>
      </c>
      <c r="R338" s="11" t="n">
        <v>0</v>
      </c>
      <c r="S338" s="10">
        <f>M338-(R338*K338)</f>
        <v/>
      </c>
      <c r="T338" s="12">
        <f>VLOOKUP(E338,Dim_Product!$A$2:$Q$61,3,FALSE)</f>
        <v/>
      </c>
      <c r="U338" s="12">
        <f>VLOOKUP(E338,Dim_Product!$A$2:$Q$61,4,FALSE)</f>
        <v/>
      </c>
      <c r="V338" s="12">
        <f>VLOOKUP(D338,Dim_Customer!$A$2:$I$121,6,FALSE)</f>
        <v/>
      </c>
      <c r="W338" s="12">
        <f>VLOOKUP(G338,Dim_Channel!$A$2:$B$5,2,FALSE)</f>
        <v/>
      </c>
      <c r="X338" s="12">
        <f>VLOOKUP(H338,Dim_Promotion!$A$2:$G$11,2,FALSE)</f>
        <v/>
      </c>
    </row>
    <row r="339">
      <c r="A339" s="4" t="inlineStr">
        <is>
          <t>SL0338</t>
        </is>
      </c>
      <c r="B339" t="inlineStr">
        <is>
          <t>O010169</t>
        </is>
      </c>
      <c r="C339" t="n">
        <v>20251019</v>
      </c>
      <c r="D339" s="4" t="inlineStr">
        <is>
          <t>C023</t>
        </is>
      </c>
      <c r="E339" s="4" t="inlineStr">
        <is>
          <t>P019</t>
        </is>
      </c>
      <c r="F339" t="inlineStr">
        <is>
          <t>XS</t>
        </is>
      </c>
      <c r="G339" s="4" t="inlineStr">
        <is>
          <t>CH02</t>
        </is>
      </c>
      <c r="H339" s="4" t="inlineStr">
        <is>
          <t>PR00</t>
        </is>
      </c>
      <c r="I339" s="8" t="n">
        <v>66</v>
      </c>
      <c r="J339" s="9" t="n">
        <v>0</v>
      </c>
      <c r="K339" s="10">
        <f>I339*(1-J339)</f>
        <v/>
      </c>
      <c r="L339" s="11" t="n">
        <v>1</v>
      </c>
      <c r="M339" s="10">
        <f>K339*L339</f>
        <v/>
      </c>
      <c r="N339" s="8" t="n">
        <v>31.83</v>
      </c>
      <c r="O339" s="10">
        <f>N339*L339</f>
        <v/>
      </c>
      <c r="P339" s="10">
        <f>M339-O339</f>
        <v/>
      </c>
      <c r="Q339" s="11" t="inlineStr">
        <is>
          <t>No</t>
        </is>
      </c>
      <c r="R339" s="11" t="n">
        <v>0</v>
      </c>
      <c r="S339" s="10">
        <f>M339-(R339*K339)</f>
        <v/>
      </c>
      <c r="T339" s="12">
        <f>VLOOKUP(E339,Dim_Product!$A$2:$Q$61,3,FALSE)</f>
        <v/>
      </c>
      <c r="U339" s="12">
        <f>VLOOKUP(E339,Dim_Product!$A$2:$Q$61,4,FALSE)</f>
        <v/>
      </c>
      <c r="V339" s="12">
        <f>VLOOKUP(D339,Dim_Customer!$A$2:$I$121,6,FALSE)</f>
        <v/>
      </c>
      <c r="W339" s="12">
        <f>VLOOKUP(G339,Dim_Channel!$A$2:$B$5,2,FALSE)</f>
        <v/>
      </c>
      <c r="X339" s="12">
        <f>VLOOKUP(H339,Dim_Promotion!$A$2:$G$11,2,FALSE)</f>
        <v/>
      </c>
    </row>
    <row r="340">
      <c r="A340" s="4" t="inlineStr">
        <is>
          <t>SL0339</t>
        </is>
      </c>
      <c r="B340" t="inlineStr">
        <is>
          <t>O010170</t>
        </is>
      </c>
      <c r="C340" t="n">
        <v>20250326</v>
      </c>
      <c r="D340" s="4" t="inlineStr">
        <is>
          <t>C109</t>
        </is>
      </c>
      <c r="E340" s="4" t="inlineStr">
        <is>
          <t>P037</t>
        </is>
      </c>
      <c r="F340" t="inlineStr">
        <is>
          <t>S</t>
        </is>
      </c>
      <c r="G340" s="4" t="inlineStr">
        <is>
          <t>CH04</t>
        </is>
      </c>
      <c r="H340" s="4" t="inlineStr">
        <is>
          <t>PR00</t>
        </is>
      </c>
      <c r="I340" s="8" t="n">
        <v>74</v>
      </c>
      <c r="J340" s="9" t="n">
        <v>0.05</v>
      </c>
      <c r="K340" s="10">
        <f>I340*(1-J340)</f>
        <v/>
      </c>
      <c r="L340" s="11" t="n">
        <v>2</v>
      </c>
      <c r="M340" s="10">
        <f>K340*L340</f>
        <v/>
      </c>
      <c r="N340" s="8" t="n">
        <v>33.16</v>
      </c>
      <c r="O340" s="10">
        <f>N340*L340</f>
        <v/>
      </c>
      <c r="P340" s="10">
        <f>M340-O340</f>
        <v/>
      </c>
      <c r="Q340" s="11" t="inlineStr">
        <is>
          <t>No</t>
        </is>
      </c>
      <c r="R340" s="11" t="n">
        <v>0</v>
      </c>
      <c r="S340" s="10">
        <f>M340-(R340*K340)</f>
        <v/>
      </c>
      <c r="T340" s="12">
        <f>VLOOKUP(E340,Dim_Product!$A$2:$Q$61,3,FALSE)</f>
        <v/>
      </c>
      <c r="U340" s="12">
        <f>VLOOKUP(E340,Dim_Product!$A$2:$Q$61,4,FALSE)</f>
        <v/>
      </c>
      <c r="V340" s="12">
        <f>VLOOKUP(D340,Dim_Customer!$A$2:$I$121,6,FALSE)</f>
        <v/>
      </c>
      <c r="W340" s="12">
        <f>VLOOKUP(G340,Dim_Channel!$A$2:$B$5,2,FALSE)</f>
        <v/>
      </c>
      <c r="X340" s="12">
        <f>VLOOKUP(H340,Dim_Promotion!$A$2:$G$11,2,FALSE)</f>
        <v/>
      </c>
    </row>
    <row r="341">
      <c r="A341" s="4" t="inlineStr">
        <is>
          <t>SL0340</t>
        </is>
      </c>
      <c r="B341" t="inlineStr">
        <is>
          <t>O010170</t>
        </is>
      </c>
      <c r="C341" t="n">
        <v>20251023</v>
      </c>
      <c r="D341" s="4" t="inlineStr">
        <is>
          <t>C017</t>
        </is>
      </c>
      <c r="E341" s="4" t="inlineStr">
        <is>
          <t>P011</t>
        </is>
      </c>
      <c r="F341" t="inlineStr">
        <is>
          <t>L</t>
        </is>
      </c>
      <c r="G341" s="4" t="inlineStr">
        <is>
          <t>CH02</t>
        </is>
      </c>
      <c r="H341" s="4" t="inlineStr">
        <is>
          <t>PR00</t>
        </is>
      </c>
      <c r="I341" s="8" t="n">
        <v>48</v>
      </c>
      <c r="J341" s="9" t="n">
        <v>0</v>
      </c>
      <c r="K341" s="10">
        <f>I341*(1-J341)</f>
        <v/>
      </c>
      <c r="L341" s="11" t="n">
        <v>1</v>
      </c>
      <c r="M341" s="10">
        <f>K341*L341</f>
        <v/>
      </c>
      <c r="N341" s="8" t="n">
        <v>20.32</v>
      </c>
      <c r="O341" s="10">
        <f>N341*L341</f>
        <v/>
      </c>
      <c r="P341" s="10">
        <f>M341-O341</f>
        <v/>
      </c>
      <c r="Q341" s="11" t="inlineStr">
        <is>
          <t>No</t>
        </is>
      </c>
      <c r="R341" s="11" t="n">
        <v>0</v>
      </c>
      <c r="S341" s="10">
        <f>M341-(R341*K341)</f>
        <v/>
      </c>
      <c r="T341" s="12">
        <f>VLOOKUP(E341,Dim_Product!$A$2:$Q$61,3,FALSE)</f>
        <v/>
      </c>
      <c r="U341" s="12">
        <f>VLOOKUP(E341,Dim_Product!$A$2:$Q$61,4,FALSE)</f>
        <v/>
      </c>
      <c r="V341" s="12">
        <f>VLOOKUP(D341,Dim_Customer!$A$2:$I$121,6,FALSE)</f>
        <v/>
      </c>
      <c r="W341" s="12">
        <f>VLOOKUP(G341,Dim_Channel!$A$2:$B$5,2,FALSE)</f>
        <v/>
      </c>
      <c r="X341" s="12">
        <f>VLOOKUP(H341,Dim_Promotion!$A$2:$G$11,2,FALSE)</f>
        <v/>
      </c>
    </row>
    <row r="342">
      <c r="A342" s="4" t="inlineStr">
        <is>
          <t>SL0341</t>
        </is>
      </c>
      <c r="B342" t="inlineStr">
        <is>
          <t>O010171</t>
        </is>
      </c>
      <c r="C342" t="n">
        <v>20250803</v>
      </c>
      <c r="D342" s="4" t="inlineStr">
        <is>
          <t>C081</t>
        </is>
      </c>
      <c r="E342" s="4" t="inlineStr">
        <is>
          <t>P049</t>
        </is>
      </c>
      <c r="F342" t="inlineStr">
        <is>
          <t>M</t>
        </is>
      </c>
      <c r="G342" s="4" t="inlineStr">
        <is>
          <t>CH02</t>
        </is>
      </c>
      <c r="H342" s="4" t="inlineStr">
        <is>
          <t>PR00</t>
        </is>
      </c>
      <c r="I342" s="8" t="n">
        <v>72</v>
      </c>
      <c r="J342" s="9" t="n">
        <v>0</v>
      </c>
      <c r="K342" s="10">
        <f>I342*(1-J342)</f>
        <v/>
      </c>
      <c r="L342" s="11" t="n">
        <v>3</v>
      </c>
      <c r="M342" s="10">
        <f>K342*L342</f>
        <v/>
      </c>
      <c r="N342" s="8" t="n">
        <v>29.5</v>
      </c>
      <c r="O342" s="10">
        <f>N342*L342</f>
        <v/>
      </c>
      <c r="P342" s="10">
        <f>M342-O342</f>
        <v/>
      </c>
      <c r="Q342" s="11" t="inlineStr">
        <is>
          <t>No</t>
        </is>
      </c>
      <c r="R342" s="11" t="n">
        <v>0</v>
      </c>
      <c r="S342" s="10">
        <f>M342-(R342*K342)</f>
        <v/>
      </c>
      <c r="T342" s="12">
        <f>VLOOKUP(E342,Dim_Product!$A$2:$Q$61,3,FALSE)</f>
        <v/>
      </c>
      <c r="U342" s="12">
        <f>VLOOKUP(E342,Dim_Product!$A$2:$Q$61,4,FALSE)</f>
        <v/>
      </c>
      <c r="V342" s="12">
        <f>VLOOKUP(D342,Dim_Customer!$A$2:$I$121,6,FALSE)</f>
        <v/>
      </c>
      <c r="W342" s="12">
        <f>VLOOKUP(G342,Dim_Channel!$A$2:$B$5,2,FALSE)</f>
        <v/>
      </c>
      <c r="X342" s="12">
        <f>VLOOKUP(H342,Dim_Promotion!$A$2:$G$11,2,FALSE)</f>
        <v/>
      </c>
    </row>
    <row r="343">
      <c r="A343" s="4" t="inlineStr">
        <is>
          <t>SL0342</t>
        </is>
      </c>
      <c r="B343" t="inlineStr">
        <is>
          <t>O010171</t>
        </is>
      </c>
      <c r="C343" t="n">
        <v>20251217</v>
      </c>
      <c r="D343" s="4" t="inlineStr">
        <is>
          <t>C029</t>
        </is>
      </c>
      <c r="E343" s="4" t="inlineStr">
        <is>
          <t>P026</t>
        </is>
      </c>
      <c r="F343" t="inlineStr">
        <is>
          <t>M</t>
        </is>
      </c>
      <c r="G343" s="4" t="inlineStr">
        <is>
          <t>CH01</t>
        </is>
      </c>
      <c r="H343" s="4" t="inlineStr">
        <is>
          <t>PR00</t>
        </is>
      </c>
      <c r="I343" s="8" t="n">
        <v>94</v>
      </c>
      <c r="J343" s="9" t="n">
        <v>0</v>
      </c>
      <c r="K343" s="10">
        <f>I343*(1-J343)</f>
        <v/>
      </c>
      <c r="L343" s="11" t="n">
        <v>1</v>
      </c>
      <c r="M343" s="10">
        <f>K343*L343</f>
        <v/>
      </c>
      <c r="N343" s="8" t="n">
        <v>44.53</v>
      </c>
      <c r="O343" s="10">
        <f>N343*L343</f>
        <v/>
      </c>
      <c r="P343" s="10">
        <f>M343-O343</f>
        <v/>
      </c>
      <c r="Q343" s="11" t="inlineStr">
        <is>
          <t>No</t>
        </is>
      </c>
      <c r="R343" s="11" t="n">
        <v>0</v>
      </c>
      <c r="S343" s="10">
        <f>M343-(R343*K343)</f>
        <v/>
      </c>
      <c r="T343" s="12">
        <f>VLOOKUP(E343,Dim_Product!$A$2:$Q$61,3,FALSE)</f>
        <v/>
      </c>
      <c r="U343" s="12">
        <f>VLOOKUP(E343,Dim_Product!$A$2:$Q$61,4,FALSE)</f>
        <v/>
      </c>
      <c r="V343" s="12">
        <f>VLOOKUP(D343,Dim_Customer!$A$2:$I$121,6,FALSE)</f>
        <v/>
      </c>
      <c r="W343" s="12">
        <f>VLOOKUP(G343,Dim_Channel!$A$2:$B$5,2,FALSE)</f>
        <v/>
      </c>
      <c r="X343" s="12">
        <f>VLOOKUP(H343,Dim_Promotion!$A$2:$G$11,2,FALSE)</f>
        <v/>
      </c>
    </row>
    <row r="344">
      <c r="A344" s="4" t="inlineStr">
        <is>
          <t>SL0343</t>
        </is>
      </c>
      <c r="B344" t="inlineStr">
        <is>
          <t>O010172</t>
        </is>
      </c>
      <c r="C344" t="n">
        <v>20250112</v>
      </c>
      <c r="D344" s="4" t="inlineStr">
        <is>
          <t>C037</t>
        </is>
      </c>
      <c r="E344" s="4" t="inlineStr">
        <is>
          <t>P012</t>
        </is>
      </c>
      <c r="F344" t="inlineStr">
        <is>
          <t>L</t>
        </is>
      </c>
      <c r="G344" s="4" t="inlineStr">
        <is>
          <t>CH04</t>
        </is>
      </c>
      <c r="H344" s="4" t="inlineStr">
        <is>
          <t>PR00</t>
        </is>
      </c>
      <c r="I344" s="8" t="n">
        <v>42</v>
      </c>
      <c r="J344" s="9" t="n">
        <v>0</v>
      </c>
      <c r="K344" s="10">
        <f>I344*(1-J344)</f>
        <v/>
      </c>
      <c r="L344" s="11" t="n">
        <v>3</v>
      </c>
      <c r="M344" s="10">
        <f>K344*L344</f>
        <v/>
      </c>
      <c r="N344" s="8" t="n">
        <v>21.79</v>
      </c>
      <c r="O344" s="10">
        <f>N344*L344</f>
        <v/>
      </c>
      <c r="P344" s="10">
        <f>M344-O344</f>
        <v/>
      </c>
      <c r="Q344" s="11" t="inlineStr">
        <is>
          <t>No</t>
        </is>
      </c>
      <c r="R344" s="11" t="n">
        <v>0</v>
      </c>
      <c r="S344" s="10">
        <f>M344-(R344*K344)</f>
        <v/>
      </c>
      <c r="T344" s="12">
        <f>VLOOKUP(E344,Dim_Product!$A$2:$Q$61,3,FALSE)</f>
        <v/>
      </c>
      <c r="U344" s="12">
        <f>VLOOKUP(E344,Dim_Product!$A$2:$Q$61,4,FALSE)</f>
        <v/>
      </c>
      <c r="V344" s="12">
        <f>VLOOKUP(D344,Dim_Customer!$A$2:$I$121,6,FALSE)</f>
        <v/>
      </c>
      <c r="W344" s="12">
        <f>VLOOKUP(G344,Dim_Channel!$A$2:$B$5,2,FALSE)</f>
        <v/>
      </c>
      <c r="X344" s="12">
        <f>VLOOKUP(H344,Dim_Promotion!$A$2:$G$11,2,FALSE)</f>
        <v/>
      </c>
    </row>
    <row r="345">
      <c r="A345" s="4" t="inlineStr">
        <is>
          <t>SL0344</t>
        </is>
      </c>
      <c r="B345" t="inlineStr">
        <is>
          <t>O010172</t>
        </is>
      </c>
      <c r="C345" t="n">
        <v>20250704</v>
      </c>
      <c r="D345" s="4" t="inlineStr">
        <is>
          <t>C010</t>
        </is>
      </c>
      <c r="E345" s="4" t="inlineStr">
        <is>
          <t>P035</t>
        </is>
      </c>
      <c r="F345" t="inlineStr">
        <is>
          <t>M</t>
        </is>
      </c>
      <c r="G345" s="4" t="inlineStr">
        <is>
          <t>CH02</t>
        </is>
      </c>
      <c r="H345" s="4" t="inlineStr">
        <is>
          <t>PR00</t>
        </is>
      </c>
      <c r="I345" s="8" t="n">
        <v>86</v>
      </c>
      <c r="J345" s="9" t="n">
        <v>0</v>
      </c>
      <c r="K345" s="10">
        <f>I345*(1-J345)</f>
        <v/>
      </c>
      <c r="L345" s="11" t="n">
        <v>1</v>
      </c>
      <c r="M345" s="10">
        <f>K345*L345</f>
        <v/>
      </c>
      <c r="N345" s="8" t="n">
        <v>42.39</v>
      </c>
      <c r="O345" s="10">
        <f>N345*L345</f>
        <v/>
      </c>
      <c r="P345" s="10">
        <f>M345-O345</f>
        <v/>
      </c>
      <c r="Q345" s="11" t="inlineStr">
        <is>
          <t>No</t>
        </is>
      </c>
      <c r="R345" s="11" t="n">
        <v>0</v>
      </c>
      <c r="S345" s="10">
        <f>M345-(R345*K345)</f>
        <v/>
      </c>
      <c r="T345" s="12">
        <f>VLOOKUP(E345,Dim_Product!$A$2:$Q$61,3,FALSE)</f>
        <v/>
      </c>
      <c r="U345" s="12">
        <f>VLOOKUP(E345,Dim_Product!$A$2:$Q$61,4,FALSE)</f>
        <v/>
      </c>
      <c r="V345" s="12">
        <f>VLOOKUP(D345,Dim_Customer!$A$2:$I$121,6,FALSE)</f>
        <v/>
      </c>
      <c r="W345" s="12">
        <f>VLOOKUP(G345,Dim_Channel!$A$2:$B$5,2,FALSE)</f>
        <v/>
      </c>
      <c r="X345" s="12">
        <f>VLOOKUP(H345,Dim_Promotion!$A$2:$G$11,2,FALSE)</f>
        <v/>
      </c>
    </row>
    <row r="346">
      <c r="A346" s="4" t="inlineStr">
        <is>
          <t>SL0345</t>
        </is>
      </c>
      <c r="B346" t="inlineStr">
        <is>
          <t>O010173</t>
        </is>
      </c>
      <c r="C346" t="n">
        <v>20251113</v>
      </c>
      <c r="D346" s="4" t="inlineStr">
        <is>
          <t>C115</t>
        </is>
      </c>
      <c r="E346" s="4" t="inlineStr">
        <is>
          <t>P012</t>
        </is>
      </c>
      <c r="F346" t="inlineStr">
        <is>
          <t>L</t>
        </is>
      </c>
      <c r="G346" s="4" t="inlineStr">
        <is>
          <t>CH04</t>
        </is>
      </c>
      <c r="H346" s="4" t="inlineStr">
        <is>
          <t>PR00</t>
        </is>
      </c>
      <c r="I346" s="8" t="n">
        <v>45</v>
      </c>
      <c r="J346" s="9" t="n">
        <v>0</v>
      </c>
      <c r="K346" s="10">
        <f>I346*(1-J346)</f>
        <v/>
      </c>
      <c r="L346" s="11" t="n">
        <v>1</v>
      </c>
      <c r="M346" s="10">
        <f>K346*L346</f>
        <v/>
      </c>
      <c r="N346" s="8" t="n">
        <v>22.05</v>
      </c>
      <c r="O346" s="10">
        <f>N346*L346</f>
        <v/>
      </c>
      <c r="P346" s="10">
        <f>M346-O346</f>
        <v/>
      </c>
      <c r="Q346" s="11" t="inlineStr">
        <is>
          <t>No</t>
        </is>
      </c>
      <c r="R346" s="11" t="n">
        <v>0</v>
      </c>
      <c r="S346" s="10">
        <f>M346-(R346*K346)</f>
        <v/>
      </c>
      <c r="T346" s="12">
        <f>VLOOKUP(E346,Dim_Product!$A$2:$Q$61,3,FALSE)</f>
        <v/>
      </c>
      <c r="U346" s="12">
        <f>VLOOKUP(E346,Dim_Product!$A$2:$Q$61,4,FALSE)</f>
        <v/>
      </c>
      <c r="V346" s="12">
        <f>VLOOKUP(D346,Dim_Customer!$A$2:$I$121,6,FALSE)</f>
        <v/>
      </c>
      <c r="W346" s="12">
        <f>VLOOKUP(G346,Dim_Channel!$A$2:$B$5,2,FALSE)</f>
        <v/>
      </c>
      <c r="X346" s="12">
        <f>VLOOKUP(H346,Dim_Promotion!$A$2:$G$11,2,FALSE)</f>
        <v/>
      </c>
    </row>
    <row r="347">
      <c r="A347" s="4" t="inlineStr">
        <is>
          <t>SL0346</t>
        </is>
      </c>
      <c r="B347" t="inlineStr">
        <is>
          <t>O010173</t>
        </is>
      </c>
      <c r="C347" t="n">
        <v>20250312</v>
      </c>
      <c r="D347" s="4" t="inlineStr">
        <is>
          <t>C035</t>
        </is>
      </c>
      <c r="E347" s="4" t="inlineStr">
        <is>
          <t>P011</t>
        </is>
      </c>
      <c r="F347" t="inlineStr">
        <is>
          <t>L</t>
        </is>
      </c>
      <c r="G347" s="4" t="inlineStr">
        <is>
          <t>CH01</t>
        </is>
      </c>
      <c r="H347" s="4" t="inlineStr">
        <is>
          <t>PR00</t>
        </is>
      </c>
      <c r="I347" s="8" t="n">
        <v>47</v>
      </c>
      <c r="J347" s="9" t="n">
        <v>0</v>
      </c>
      <c r="K347" s="10">
        <f>I347*(1-J347)</f>
        <v/>
      </c>
      <c r="L347" s="11" t="n">
        <v>1</v>
      </c>
      <c r="M347" s="10">
        <f>K347*L347</f>
        <v/>
      </c>
      <c r="N347" s="8" t="n">
        <v>20.51</v>
      </c>
      <c r="O347" s="10">
        <f>N347*L347</f>
        <v/>
      </c>
      <c r="P347" s="10">
        <f>M347-O347</f>
        <v/>
      </c>
      <c r="Q347" s="11" t="inlineStr">
        <is>
          <t>No</t>
        </is>
      </c>
      <c r="R347" s="11" t="n">
        <v>0</v>
      </c>
      <c r="S347" s="10">
        <f>M347-(R347*K347)</f>
        <v/>
      </c>
      <c r="T347" s="12">
        <f>VLOOKUP(E347,Dim_Product!$A$2:$Q$61,3,FALSE)</f>
        <v/>
      </c>
      <c r="U347" s="12">
        <f>VLOOKUP(E347,Dim_Product!$A$2:$Q$61,4,FALSE)</f>
        <v/>
      </c>
      <c r="V347" s="12">
        <f>VLOOKUP(D347,Dim_Customer!$A$2:$I$121,6,FALSE)</f>
        <v/>
      </c>
      <c r="W347" s="12">
        <f>VLOOKUP(G347,Dim_Channel!$A$2:$B$5,2,FALSE)</f>
        <v/>
      </c>
      <c r="X347" s="12">
        <f>VLOOKUP(H347,Dim_Promotion!$A$2:$G$11,2,FALSE)</f>
        <v/>
      </c>
    </row>
    <row r="348">
      <c r="A348" s="4" t="inlineStr">
        <is>
          <t>SL0347</t>
        </is>
      </c>
      <c r="B348" t="inlineStr">
        <is>
          <t>O010174</t>
        </is>
      </c>
      <c r="C348" t="n">
        <v>20250506</v>
      </c>
      <c r="D348" s="4" t="inlineStr">
        <is>
          <t>C102</t>
        </is>
      </c>
      <c r="E348" s="4" t="inlineStr">
        <is>
          <t>P032</t>
        </is>
      </c>
      <c r="F348" t="inlineStr">
        <is>
          <t>S</t>
        </is>
      </c>
      <c r="G348" s="4" t="inlineStr">
        <is>
          <t>CH01</t>
        </is>
      </c>
      <c r="H348" s="4" t="inlineStr">
        <is>
          <t>PR00</t>
        </is>
      </c>
      <c r="I348" s="8" t="n">
        <v>115</v>
      </c>
      <c r="J348" s="9" t="n">
        <v>0</v>
      </c>
      <c r="K348" s="10">
        <f>I348*(1-J348)</f>
        <v/>
      </c>
      <c r="L348" s="11" t="n">
        <v>2</v>
      </c>
      <c r="M348" s="10">
        <f>K348*L348</f>
        <v/>
      </c>
      <c r="N348" s="8" t="n">
        <v>55.82</v>
      </c>
      <c r="O348" s="10">
        <f>N348*L348</f>
        <v/>
      </c>
      <c r="P348" s="10">
        <f>M348-O348</f>
        <v/>
      </c>
      <c r="Q348" s="11" t="inlineStr">
        <is>
          <t>No</t>
        </is>
      </c>
      <c r="R348" s="11" t="n">
        <v>0</v>
      </c>
      <c r="S348" s="10">
        <f>M348-(R348*K348)</f>
        <v/>
      </c>
      <c r="T348" s="12">
        <f>VLOOKUP(E348,Dim_Product!$A$2:$Q$61,3,FALSE)</f>
        <v/>
      </c>
      <c r="U348" s="12">
        <f>VLOOKUP(E348,Dim_Product!$A$2:$Q$61,4,FALSE)</f>
        <v/>
      </c>
      <c r="V348" s="12">
        <f>VLOOKUP(D348,Dim_Customer!$A$2:$I$121,6,FALSE)</f>
        <v/>
      </c>
      <c r="W348" s="12">
        <f>VLOOKUP(G348,Dim_Channel!$A$2:$B$5,2,FALSE)</f>
        <v/>
      </c>
      <c r="X348" s="12">
        <f>VLOOKUP(H348,Dim_Promotion!$A$2:$G$11,2,FALSE)</f>
        <v/>
      </c>
    </row>
    <row r="349">
      <c r="A349" s="4" t="inlineStr">
        <is>
          <t>SL0348</t>
        </is>
      </c>
      <c r="B349" t="inlineStr">
        <is>
          <t>O010174</t>
        </is>
      </c>
      <c r="C349" t="n">
        <v>20251008</v>
      </c>
      <c r="D349" s="4" t="inlineStr">
        <is>
          <t>C032</t>
        </is>
      </c>
      <c r="E349" s="4" t="inlineStr">
        <is>
          <t>P018</t>
        </is>
      </c>
      <c r="F349" t="inlineStr">
        <is>
          <t>L</t>
        </is>
      </c>
      <c r="G349" s="4" t="inlineStr">
        <is>
          <t>CH04</t>
        </is>
      </c>
      <c r="H349" s="4" t="inlineStr">
        <is>
          <t>PR00</t>
        </is>
      </c>
      <c r="I349" s="8" t="n">
        <v>62</v>
      </c>
      <c r="J349" s="9" t="n">
        <v>0</v>
      </c>
      <c r="K349" s="10">
        <f>I349*(1-J349)</f>
        <v/>
      </c>
      <c r="L349" s="11" t="n">
        <v>1</v>
      </c>
      <c r="M349" s="10">
        <f>K349*L349</f>
        <v/>
      </c>
      <c r="N349" s="8" t="n">
        <v>30.46</v>
      </c>
      <c r="O349" s="10">
        <f>N349*L349</f>
        <v/>
      </c>
      <c r="P349" s="10">
        <f>M349-O349</f>
        <v/>
      </c>
      <c r="Q349" s="11" t="inlineStr">
        <is>
          <t>No</t>
        </is>
      </c>
      <c r="R349" s="11" t="n">
        <v>0</v>
      </c>
      <c r="S349" s="10">
        <f>M349-(R349*K349)</f>
        <v/>
      </c>
      <c r="T349" s="12">
        <f>VLOOKUP(E349,Dim_Product!$A$2:$Q$61,3,FALSE)</f>
        <v/>
      </c>
      <c r="U349" s="12">
        <f>VLOOKUP(E349,Dim_Product!$A$2:$Q$61,4,FALSE)</f>
        <v/>
      </c>
      <c r="V349" s="12">
        <f>VLOOKUP(D349,Dim_Customer!$A$2:$I$121,6,FALSE)</f>
        <v/>
      </c>
      <c r="W349" s="12">
        <f>VLOOKUP(G349,Dim_Channel!$A$2:$B$5,2,FALSE)</f>
        <v/>
      </c>
      <c r="X349" s="12">
        <f>VLOOKUP(H349,Dim_Promotion!$A$2:$G$11,2,FALSE)</f>
        <v/>
      </c>
    </row>
    <row r="350">
      <c r="A350" s="4" t="inlineStr">
        <is>
          <t>SL0349</t>
        </is>
      </c>
      <c r="B350" t="inlineStr">
        <is>
          <t>O010175</t>
        </is>
      </c>
      <c r="C350" t="n">
        <v>20251017</v>
      </c>
      <c r="D350" s="4" t="inlineStr">
        <is>
          <t>C005</t>
        </is>
      </c>
      <c r="E350" s="4" t="inlineStr">
        <is>
          <t>P024</t>
        </is>
      </c>
      <c r="F350" t="inlineStr">
        <is>
          <t>XL</t>
        </is>
      </c>
      <c r="G350" s="4" t="inlineStr">
        <is>
          <t>CH03</t>
        </is>
      </c>
      <c r="H350" s="4" t="inlineStr">
        <is>
          <t>PR00</t>
        </is>
      </c>
      <c r="I350" s="8" t="n">
        <v>61</v>
      </c>
      <c r="J350" s="9" t="n">
        <v>0</v>
      </c>
      <c r="K350" s="10">
        <f>I350*(1-J350)</f>
        <v/>
      </c>
      <c r="L350" s="11" t="n">
        <v>1</v>
      </c>
      <c r="M350" s="10">
        <f>K350*L350</f>
        <v/>
      </c>
      <c r="N350" s="8" t="n">
        <v>27.36</v>
      </c>
      <c r="O350" s="10">
        <f>N350*L350</f>
        <v/>
      </c>
      <c r="P350" s="10">
        <f>M350-O350</f>
        <v/>
      </c>
      <c r="Q350" s="11" t="inlineStr">
        <is>
          <t>Yes</t>
        </is>
      </c>
      <c r="R350" s="11" t="n">
        <v>1</v>
      </c>
      <c r="S350" s="10">
        <f>M350-(R350*K350)</f>
        <v/>
      </c>
      <c r="T350" s="12">
        <f>VLOOKUP(E350,Dim_Product!$A$2:$Q$61,3,FALSE)</f>
        <v/>
      </c>
      <c r="U350" s="12">
        <f>VLOOKUP(E350,Dim_Product!$A$2:$Q$61,4,FALSE)</f>
        <v/>
      </c>
      <c r="V350" s="12">
        <f>VLOOKUP(D350,Dim_Customer!$A$2:$I$121,6,FALSE)</f>
        <v/>
      </c>
      <c r="W350" s="12">
        <f>VLOOKUP(G350,Dim_Channel!$A$2:$B$5,2,FALSE)</f>
        <v/>
      </c>
      <c r="X350" s="12">
        <f>VLOOKUP(H350,Dim_Promotion!$A$2:$G$11,2,FALSE)</f>
        <v/>
      </c>
    </row>
    <row r="351">
      <c r="A351" s="4" t="inlineStr">
        <is>
          <t>SL0350</t>
        </is>
      </c>
      <c r="B351" t="inlineStr">
        <is>
          <t>O010175</t>
        </is>
      </c>
      <c r="C351" t="n">
        <v>20251205</v>
      </c>
      <c r="D351" s="4" t="inlineStr">
        <is>
          <t>C046</t>
        </is>
      </c>
      <c r="E351" s="4" t="inlineStr">
        <is>
          <t>P016</t>
        </is>
      </c>
      <c r="F351" t="inlineStr">
        <is>
          <t>S</t>
        </is>
      </c>
      <c r="G351" s="4" t="inlineStr">
        <is>
          <t>CH04</t>
        </is>
      </c>
      <c r="H351" s="4" t="inlineStr">
        <is>
          <t>PR00</t>
        </is>
      </c>
      <c r="I351" s="8" t="n">
        <v>60</v>
      </c>
      <c r="J351" s="9" t="n">
        <v>0</v>
      </c>
      <c r="K351" s="10">
        <f>I351*(1-J351)</f>
        <v/>
      </c>
      <c r="L351" s="11" t="n">
        <v>2</v>
      </c>
      <c r="M351" s="10">
        <f>K351*L351</f>
        <v/>
      </c>
      <c r="N351" s="8" t="n">
        <v>26.5</v>
      </c>
      <c r="O351" s="10">
        <f>N351*L351</f>
        <v/>
      </c>
      <c r="P351" s="10">
        <f>M351-O351</f>
        <v/>
      </c>
      <c r="Q351" s="11" t="inlineStr">
        <is>
          <t>No</t>
        </is>
      </c>
      <c r="R351" s="11" t="n">
        <v>0</v>
      </c>
      <c r="S351" s="10">
        <f>M351-(R351*K351)</f>
        <v/>
      </c>
      <c r="T351" s="12">
        <f>VLOOKUP(E351,Dim_Product!$A$2:$Q$61,3,FALSE)</f>
        <v/>
      </c>
      <c r="U351" s="12">
        <f>VLOOKUP(E351,Dim_Product!$A$2:$Q$61,4,FALSE)</f>
        <v/>
      </c>
      <c r="V351" s="12">
        <f>VLOOKUP(D351,Dim_Customer!$A$2:$I$121,6,FALSE)</f>
        <v/>
      </c>
      <c r="W351" s="12">
        <f>VLOOKUP(G351,Dim_Channel!$A$2:$B$5,2,FALSE)</f>
        <v/>
      </c>
      <c r="X351" s="12">
        <f>VLOOKUP(H351,Dim_Promotion!$A$2:$G$11,2,FALSE)</f>
        <v/>
      </c>
    </row>
    <row r="352">
      <c r="A352" s="4" t="inlineStr">
        <is>
          <t>SL0351</t>
        </is>
      </c>
      <c r="B352" t="inlineStr">
        <is>
          <t>O010176</t>
        </is>
      </c>
      <c r="C352" t="n">
        <v>20251028</v>
      </c>
      <c r="D352" s="4" t="inlineStr">
        <is>
          <t>C091</t>
        </is>
      </c>
      <c r="E352" s="4" t="inlineStr">
        <is>
          <t>P021</t>
        </is>
      </c>
      <c r="F352" t="inlineStr">
        <is>
          <t>L</t>
        </is>
      </c>
      <c r="G352" s="4" t="inlineStr">
        <is>
          <t>CH04</t>
        </is>
      </c>
      <c r="H352" s="4" t="inlineStr">
        <is>
          <t>PR00</t>
        </is>
      </c>
      <c r="I352" s="8" t="n">
        <v>54</v>
      </c>
      <c r="J352" s="9" t="n">
        <v>0</v>
      </c>
      <c r="K352" s="10">
        <f>I352*(1-J352)</f>
        <v/>
      </c>
      <c r="L352" s="11" t="n">
        <v>1</v>
      </c>
      <c r="M352" s="10">
        <f>K352*L352</f>
        <v/>
      </c>
      <c r="N352" s="8" t="n">
        <v>27.94</v>
      </c>
      <c r="O352" s="10">
        <f>N352*L352</f>
        <v/>
      </c>
      <c r="P352" s="10">
        <f>M352-O352</f>
        <v/>
      </c>
      <c r="Q352" s="11" t="inlineStr">
        <is>
          <t>No</t>
        </is>
      </c>
      <c r="R352" s="11" t="n">
        <v>0</v>
      </c>
      <c r="S352" s="10">
        <f>M352-(R352*K352)</f>
        <v/>
      </c>
      <c r="T352" s="12">
        <f>VLOOKUP(E352,Dim_Product!$A$2:$Q$61,3,FALSE)</f>
        <v/>
      </c>
      <c r="U352" s="12">
        <f>VLOOKUP(E352,Dim_Product!$A$2:$Q$61,4,FALSE)</f>
        <v/>
      </c>
      <c r="V352" s="12">
        <f>VLOOKUP(D352,Dim_Customer!$A$2:$I$121,6,FALSE)</f>
        <v/>
      </c>
      <c r="W352" s="12">
        <f>VLOOKUP(G352,Dim_Channel!$A$2:$B$5,2,FALSE)</f>
        <v/>
      </c>
      <c r="X352" s="12">
        <f>VLOOKUP(H352,Dim_Promotion!$A$2:$G$11,2,FALSE)</f>
        <v/>
      </c>
    </row>
    <row r="353">
      <c r="A353" s="4" t="inlineStr">
        <is>
          <t>SL0352</t>
        </is>
      </c>
      <c r="B353" t="inlineStr">
        <is>
          <t>O010176</t>
        </is>
      </c>
      <c r="C353" t="n">
        <v>20251020</v>
      </c>
      <c r="D353" s="4" t="inlineStr">
        <is>
          <t>C070</t>
        </is>
      </c>
      <c r="E353" s="4" t="inlineStr">
        <is>
          <t>P033</t>
        </is>
      </c>
      <c r="F353" t="inlineStr">
        <is>
          <t>L</t>
        </is>
      </c>
      <c r="G353" s="4" t="inlineStr">
        <is>
          <t>CH03</t>
        </is>
      </c>
      <c r="H353" s="4" t="inlineStr">
        <is>
          <t>PR00</t>
        </is>
      </c>
      <c r="I353" s="8" t="n">
        <v>84</v>
      </c>
      <c r="J353" s="9" t="n">
        <v>0</v>
      </c>
      <c r="K353" s="10">
        <f>I353*(1-J353)</f>
        <v/>
      </c>
      <c r="L353" s="11" t="n">
        <v>1</v>
      </c>
      <c r="M353" s="10">
        <f>K353*L353</f>
        <v/>
      </c>
      <c r="N353" s="8" t="n">
        <v>43.45</v>
      </c>
      <c r="O353" s="10">
        <f>N353*L353</f>
        <v/>
      </c>
      <c r="P353" s="10">
        <f>M353-O353</f>
        <v/>
      </c>
      <c r="Q353" s="11" t="inlineStr">
        <is>
          <t>No</t>
        </is>
      </c>
      <c r="R353" s="11" t="n">
        <v>0</v>
      </c>
      <c r="S353" s="10">
        <f>M353-(R353*K353)</f>
        <v/>
      </c>
      <c r="T353" s="12">
        <f>VLOOKUP(E353,Dim_Product!$A$2:$Q$61,3,FALSE)</f>
        <v/>
      </c>
      <c r="U353" s="12">
        <f>VLOOKUP(E353,Dim_Product!$A$2:$Q$61,4,FALSE)</f>
        <v/>
      </c>
      <c r="V353" s="12">
        <f>VLOOKUP(D353,Dim_Customer!$A$2:$I$121,6,FALSE)</f>
        <v/>
      </c>
      <c r="W353" s="12">
        <f>VLOOKUP(G353,Dim_Channel!$A$2:$B$5,2,FALSE)</f>
        <v/>
      </c>
      <c r="X353" s="12">
        <f>VLOOKUP(H353,Dim_Promotion!$A$2:$G$11,2,FALSE)</f>
        <v/>
      </c>
    </row>
    <row r="354">
      <c r="A354" s="4" t="inlineStr">
        <is>
          <t>SL0353</t>
        </is>
      </c>
      <c r="B354" t="inlineStr">
        <is>
          <t>O010177</t>
        </is>
      </c>
      <c r="C354" t="n">
        <v>20250113</v>
      </c>
      <c r="D354" s="4" t="inlineStr">
        <is>
          <t>C047</t>
        </is>
      </c>
      <c r="E354" s="4" t="inlineStr">
        <is>
          <t>P026</t>
        </is>
      </c>
      <c r="F354" t="inlineStr">
        <is>
          <t>M</t>
        </is>
      </c>
      <c r="G354" s="4" t="inlineStr">
        <is>
          <t>CH04</t>
        </is>
      </c>
      <c r="H354" s="4" t="inlineStr">
        <is>
          <t>PR00</t>
        </is>
      </c>
      <c r="I354" s="8" t="n">
        <v>93</v>
      </c>
      <c r="J354" s="9" t="n">
        <v>0</v>
      </c>
      <c r="K354" s="10">
        <f>I354*(1-J354)</f>
        <v/>
      </c>
      <c r="L354" s="11" t="n">
        <v>1</v>
      </c>
      <c r="M354" s="10">
        <f>K354*L354</f>
        <v/>
      </c>
      <c r="N354" s="8" t="n">
        <v>45.56</v>
      </c>
      <c r="O354" s="10">
        <f>N354*L354</f>
        <v/>
      </c>
      <c r="P354" s="10">
        <f>M354-O354</f>
        <v/>
      </c>
      <c r="Q354" s="11" t="inlineStr">
        <is>
          <t>No</t>
        </is>
      </c>
      <c r="R354" s="11" t="n">
        <v>0</v>
      </c>
      <c r="S354" s="10">
        <f>M354-(R354*K354)</f>
        <v/>
      </c>
      <c r="T354" s="12">
        <f>VLOOKUP(E354,Dim_Product!$A$2:$Q$61,3,FALSE)</f>
        <v/>
      </c>
      <c r="U354" s="12">
        <f>VLOOKUP(E354,Dim_Product!$A$2:$Q$61,4,FALSE)</f>
        <v/>
      </c>
      <c r="V354" s="12">
        <f>VLOOKUP(D354,Dim_Customer!$A$2:$I$121,6,FALSE)</f>
        <v/>
      </c>
      <c r="W354" s="12">
        <f>VLOOKUP(G354,Dim_Channel!$A$2:$B$5,2,FALSE)</f>
        <v/>
      </c>
      <c r="X354" s="12">
        <f>VLOOKUP(H354,Dim_Promotion!$A$2:$G$11,2,FALSE)</f>
        <v/>
      </c>
    </row>
    <row r="355">
      <c r="A355" s="4" t="inlineStr">
        <is>
          <t>SL0354</t>
        </is>
      </c>
      <c r="B355" t="inlineStr">
        <is>
          <t>O010177</t>
        </is>
      </c>
      <c r="C355" t="n">
        <v>20251025</v>
      </c>
      <c r="D355" s="4" t="inlineStr">
        <is>
          <t>C075</t>
        </is>
      </c>
      <c r="E355" s="4" t="inlineStr">
        <is>
          <t>P052</t>
        </is>
      </c>
      <c r="F355" t="inlineStr">
        <is>
          <t>L</t>
        </is>
      </c>
      <c r="G355" s="4" t="inlineStr">
        <is>
          <t>CH03</t>
        </is>
      </c>
      <c r="H355" s="4" t="inlineStr">
        <is>
          <t>PR00</t>
        </is>
      </c>
      <c r="I355" s="8" t="n">
        <v>64</v>
      </c>
      <c r="J355" s="9" t="n">
        <v>0</v>
      </c>
      <c r="K355" s="10">
        <f>I355*(1-J355)</f>
        <v/>
      </c>
      <c r="L355" s="11" t="n">
        <v>1</v>
      </c>
      <c r="M355" s="10">
        <f>K355*L355</f>
        <v/>
      </c>
      <c r="N355" s="8" t="n">
        <v>31.17</v>
      </c>
      <c r="O355" s="10">
        <f>N355*L355</f>
        <v/>
      </c>
      <c r="P355" s="10">
        <f>M355-O355</f>
        <v/>
      </c>
      <c r="Q355" s="11" t="inlineStr">
        <is>
          <t>No</t>
        </is>
      </c>
      <c r="R355" s="11" t="n">
        <v>0</v>
      </c>
      <c r="S355" s="10">
        <f>M355-(R355*K355)</f>
        <v/>
      </c>
      <c r="T355" s="12">
        <f>VLOOKUP(E355,Dim_Product!$A$2:$Q$61,3,FALSE)</f>
        <v/>
      </c>
      <c r="U355" s="12">
        <f>VLOOKUP(E355,Dim_Product!$A$2:$Q$61,4,FALSE)</f>
        <v/>
      </c>
      <c r="V355" s="12">
        <f>VLOOKUP(D355,Dim_Customer!$A$2:$I$121,6,FALSE)</f>
        <v/>
      </c>
      <c r="W355" s="12">
        <f>VLOOKUP(G355,Dim_Channel!$A$2:$B$5,2,FALSE)</f>
        <v/>
      </c>
      <c r="X355" s="12">
        <f>VLOOKUP(H355,Dim_Promotion!$A$2:$G$11,2,FALSE)</f>
        <v/>
      </c>
    </row>
    <row r="356">
      <c r="A356" s="4" t="inlineStr">
        <is>
          <t>SL0355</t>
        </is>
      </c>
      <c r="B356" t="inlineStr">
        <is>
          <t>O010178</t>
        </is>
      </c>
      <c r="C356" t="n">
        <v>20250615</v>
      </c>
      <c r="D356" s="4" t="inlineStr">
        <is>
          <t>C063</t>
        </is>
      </c>
      <c r="E356" s="4" t="inlineStr">
        <is>
          <t>P048</t>
        </is>
      </c>
      <c r="F356" t="inlineStr">
        <is>
          <t>M</t>
        </is>
      </c>
      <c r="G356" s="4" t="inlineStr">
        <is>
          <t>CH01</t>
        </is>
      </c>
      <c r="H356" s="4" t="inlineStr">
        <is>
          <t>PR00</t>
        </is>
      </c>
      <c r="I356" s="8" t="n">
        <v>66</v>
      </c>
      <c r="J356" s="9" t="n">
        <v>0</v>
      </c>
      <c r="K356" s="10">
        <f>I356*(1-J356)</f>
        <v/>
      </c>
      <c r="L356" s="11" t="n">
        <v>1</v>
      </c>
      <c r="M356" s="10">
        <f>K356*L356</f>
        <v/>
      </c>
      <c r="N356" s="8" t="n">
        <v>34.09</v>
      </c>
      <c r="O356" s="10">
        <f>N356*L356</f>
        <v/>
      </c>
      <c r="P356" s="10">
        <f>M356-O356</f>
        <v/>
      </c>
      <c r="Q356" s="11" t="inlineStr">
        <is>
          <t>No</t>
        </is>
      </c>
      <c r="R356" s="11" t="n">
        <v>0</v>
      </c>
      <c r="S356" s="10">
        <f>M356-(R356*K356)</f>
        <v/>
      </c>
      <c r="T356" s="12">
        <f>VLOOKUP(E356,Dim_Product!$A$2:$Q$61,3,FALSE)</f>
        <v/>
      </c>
      <c r="U356" s="12">
        <f>VLOOKUP(E356,Dim_Product!$A$2:$Q$61,4,FALSE)</f>
        <v/>
      </c>
      <c r="V356" s="12">
        <f>VLOOKUP(D356,Dim_Customer!$A$2:$I$121,6,FALSE)</f>
        <v/>
      </c>
      <c r="W356" s="12">
        <f>VLOOKUP(G356,Dim_Channel!$A$2:$B$5,2,FALSE)</f>
        <v/>
      </c>
      <c r="X356" s="12">
        <f>VLOOKUP(H356,Dim_Promotion!$A$2:$G$11,2,FALSE)</f>
        <v/>
      </c>
    </row>
    <row r="357">
      <c r="A357" s="4" t="inlineStr">
        <is>
          <t>SL0356</t>
        </is>
      </c>
      <c r="B357" t="inlineStr">
        <is>
          <t>O010178</t>
        </is>
      </c>
      <c r="C357" t="n">
        <v>20250606</v>
      </c>
      <c r="D357" s="4" t="inlineStr">
        <is>
          <t>C037</t>
        </is>
      </c>
      <c r="E357" s="4" t="inlineStr">
        <is>
          <t>P058</t>
        </is>
      </c>
      <c r="F357" t="inlineStr">
        <is>
          <t>M</t>
        </is>
      </c>
      <c r="G357" s="4" t="inlineStr">
        <is>
          <t>CH01</t>
        </is>
      </c>
      <c r="H357" s="4" t="inlineStr">
        <is>
          <t>PR00</t>
        </is>
      </c>
      <c r="I357" s="8" t="n">
        <v>74</v>
      </c>
      <c r="J357" s="9" t="n">
        <v>0</v>
      </c>
      <c r="K357" s="10">
        <f>I357*(1-J357)</f>
        <v/>
      </c>
      <c r="L357" s="11" t="n">
        <v>1</v>
      </c>
      <c r="M357" s="10">
        <f>K357*L357</f>
        <v/>
      </c>
      <c r="N357" s="8" t="n">
        <v>36.63</v>
      </c>
      <c r="O357" s="10">
        <f>N357*L357</f>
        <v/>
      </c>
      <c r="P357" s="10">
        <f>M357-O357</f>
        <v/>
      </c>
      <c r="Q357" s="11" t="inlineStr">
        <is>
          <t>No</t>
        </is>
      </c>
      <c r="R357" s="11" t="n">
        <v>0</v>
      </c>
      <c r="S357" s="10">
        <f>M357-(R357*K357)</f>
        <v/>
      </c>
      <c r="T357" s="12">
        <f>VLOOKUP(E357,Dim_Product!$A$2:$Q$61,3,FALSE)</f>
        <v/>
      </c>
      <c r="U357" s="12">
        <f>VLOOKUP(E357,Dim_Product!$A$2:$Q$61,4,FALSE)</f>
        <v/>
      </c>
      <c r="V357" s="12">
        <f>VLOOKUP(D357,Dim_Customer!$A$2:$I$121,6,FALSE)</f>
        <v/>
      </c>
      <c r="W357" s="12">
        <f>VLOOKUP(G357,Dim_Channel!$A$2:$B$5,2,FALSE)</f>
        <v/>
      </c>
      <c r="X357" s="12">
        <f>VLOOKUP(H357,Dim_Promotion!$A$2:$G$11,2,FALSE)</f>
        <v/>
      </c>
    </row>
    <row r="358">
      <c r="A358" s="4" t="inlineStr">
        <is>
          <t>SL0357</t>
        </is>
      </c>
      <c r="B358" t="inlineStr">
        <is>
          <t>O010179</t>
        </is>
      </c>
      <c r="C358" t="n">
        <v>20251218</v>
      </c>
      <c r="D358" s="4" t="inlineStr">
        <is>
          <t>C120</t>
        </is>
      </c>
      <c r="E358" s="4" t="inlineStr">
        <is>
          <t>P007</t>
        </is>
      </c>
      <c r="F358" t="inlineStr">
        <is>
          <t>M</t>
        </is>
      </c>
      <c r="G358" s="4" t="inlineStr">
        <is>
          <t>CH02</t>
        </is>
      </c>
      <c r="H358" s="4" t="inlineStr">
        <is>
          <t>PR00</t>
        </is>
      </c>
      <c r="I358" s="8" t="n">
        <v>48</v>
      </c>
      <c r="J358" s="9" t="n">
        <v>0</v>
      </c>
      <c r="K358" s="10">
        <f>I358*(1-J358)</f>
        <v/>
      </c>
      <c r="L358" s="11" t="n">
        <v>1</v>
      </c>
      <c r="M358" s="10">
        <f>K358*L358</f>
        <v/>
      </c>
      <c r="N358" s="8" t="n">
        <v>22.62</v>
      </c>
      <c r="O358" s="10">
        <f>N358*L358</f>
        <v/>
      </c>
      <c r="P358" s="10">
        <f>M358-O358</f>
        <v/>
      </c>
      <c r="Q358" s="11" t="inlineStr">
        <is>
          <t>No</t>
        </is>
      </c>
      <c r="R358" s="11" t="n">
        <v>0</v>
      </c>
      <c r="S358" s="10">
        <f>M358-(R358*K358)</f>
        <v/>
      </c>
      <c r="T358" s="12">
        <f>VLOOKUP(E358,Dim_Product!$A$2:$Q$61,3,FALSE)</f>
        <v/>
      </c>
      <c r="U358" s="12">
        <f>VLOOKUP(E358,Dim_Product!$A$2:$Q$61,4,FALSE)</f>
        <v/>
      </c>
      <c r="V358" s="12">
        <f>VLOOKUP(D358,Dim_Customer!$A$2:$I$121,6,FALSE)</f>
        <v/>
      </c>
      <c r="W358" s="12">
        <f>VLOOKUP(G358,Dim_Channel!$A$2:$B$5,2,FALSE)</f>
        <v/>
      </c>
      <c r="X358" s="12">
        <f>VLOOKUP(H358,Dim_Promotion!$A$2:$G$11,2,FALSE)</f>
        <v/>
      </c>
    </row>
    <row r="359">
      <c r="A359" s="4" t="inlineStr">
        <is>
          <t>SL0358</t>
        </is>
      </c>
      <c r="B359" t="inlineStr">
        <is>
          <t>O010179</t>
        </is>
      </c>
      <c r="C359" t="n">
        <v>20250711</v>
      </c>
      <c r="D359" s="4" t="inlineStr">
        <is>
          <t>C053</t>
        </is>
      </c>
      <c r="E359" s="4" t="inlineStr">
        <is>
          <t>P034</t>
        </is>
      </c>
      <c r="F359" t="inlineStr">
        <is>
          <t>XL</t>
        </is>
      </c>
      <c r="G359" s="4" t="inlineStr">
        <is>
          <t>CH02</t>
        </is>
      </c>
      <c r="H359" s="4" t="inlineStr">
        <is>
          <t>PR00</t>
        </is>
      </c>
      <c r="I359" s="8" t="n">
        <v>92</v>
      </c>
      <c r="J359" s="9" t="n">
        <v>0</v>
      </c>
      <c r="K359" s="10">
        <f>I359*(1-J359)</f>
        <v/>
      </c>
      <c r="L359" s="11" t="n">
        <v>2</v>
      </c>
      <c r="M359" s="10">
        <f>K359*L359</f>
        <v/>
      </c>
      <c r="N359" s="8" t="n">
        <v>44.3</v>
      </c>
      <c r="O359" s="10">
        <f>N359*L359</f>
        <v/>
      </c>
      <c r="P359" s="10">
        <f>M359-O359</f>
        <v/>
      </c>
      <c r="Q359" s="11" t="inlineStr">
        <is>
          <t>No</t>
        </is>
      </c>
      <c r="R359" s="11" t="n">
        <v>0</v>
      </c>
      <c r="S359" s="10">
        <f>M359-(R359*K359)</f>
        <v/>
      </c>
      <c r="T359" s="12">
        <f>VLOOKUP(E359,Dim_Product!$A$2:$Q$61,3,FALSE)</f>
        <v/>
      </c>
      <c r="U359" s="12">
        <f>VLOOKUP(E359,Dim_Product!$A$2:$Q$61,4,FALSE)</f>
        <v/>
      </c>
      <c r="V359" s="12">
        <f>VLOOKUP(D359,Dim_Customer!$A$2:$I$121,6,FALSE)</f>
        <v/>
      </c>
      <c r="W359" s="12">
        <f>VLOOKUP(G359,Dim_Channel!$A$2:$B$5,2,FALSE)</f>
        <v/>
      </c>
      <c r="X359" s="12">
        <f>VLOOKUP(H359,Dim_Promotion!$A$2:$G$11,2,FALSE)</f>
        <v/>
      </c>
    </row>
    <row r="360">
      <c r="A360" s="4" t="inlineStr">
        <is>
          <t>SL0359</t>
        </is>
      </c>
      <c r="B360" t="inlineStr">
        <is>
          <t>O010180</t>
        </is>
      </c>
      <c r="C360" t="n">
        <v>20250326</v>
      </c>
      <c r="D360" s="4" t="inlineStr">
        <is>
          <t>C040</t>
        </is>
      </c>
      <c r="E360" s="4" t="inlineStr">
        <is>
          <t>P010</t>
        </is>
      </c>
      <c r="F360" t="inlineStr">
        <is>
          <t>L</t>
        </is>
      </c>
      <c r="G360" s="4" t="inlineStr">
        <is>
          <t>CH04</t>
        </is>
      </c>
      <c r="H360" s="4" t="inlineStr">
        <is>
          <t>PR03</t>
        </is>
      </c>
      <c r="I360" s="8" t="n">
        <v>46</v>
      </c>
      <c r="J360" s="9" t="n">
        <v>0.08</v>
      </c>
      <c r="K360" s="10">
        <f>I360*(1-J360)</f>
        <v/>
      </c>
      <c r="L360" s="11" t="n">
        <v>1</v>
      </c>
      <c r="M360" s="10">
        <f>K360*L360</f>
        <v/>
      </c>
      <c r="N360" s="8" t="n">
        <v>19.94</v>
      </c>
      <c r="O360" s="10">
        <f>N360*L360</f>
        <v/>
      </c>
      <c r="P360" s="10">
        <f>M360-O360</f>
        <v/>
      </c>
      <c r="Q360" s="11" t="inlineStr">
        <is>
          <t>No</t>
        </is>
      </c>
      <c r="R360" s="11" t="n">
        <v>0</v>
      </c>
      <c r="S360" s="10">
        <f>M360-(R360*K360)</f>
        <v/>
      </c>
      <c r="T360" s="12">
        <f>VLOOKUP(E360,Dim_Product!$A$2:$Q$61,3,FALSE)</f>
        <v/>
      </c>
      <c r="U360" s="12">
        <f>VLOOKUP(E360,Dim_Product!$A$2:$Q$61,4,FALSE)</f>
        <v/>
      </c>
      <c r="V360" s="12">
        <f>VLOOKUP(D360,Dim_Customer!$A$2:$I$121,6,FALSE)</f>
        <v/>
      </c>
      <c r="W360" s="12">
        <f>VLOOKUP(G360,Dim_Channel!$A$2:$B$5,2,FALSE)</f>
        <v/>
      </c>
      <c r="X360" s="12">
        <f>VLOOKUP(H360,Dim_Promotion!$A$2:$G$11,2,FALSE)</f>
        <v/>
      </c>
    </row>
    <row r="361">
      <c r="A361" s="4" t="inlineStr">
        <is>
          <t>SL0360</t>
        </is>
      </c>
      <c r="B361" t="inlineStr">
        <is>
          <t>O010180</t>
        </is>
      </c>
      <c r="C361" t="n">
        <v>20250806</v>
      </c>
      <c r="D361" s="4" t="inlineStr">
        <is>
          <t>C092</t>
        </is>
      </c>
      <c r="E361" s="4" t="inlineStr">
        <is>
          <t>P031</t>
        </is>
      </c>
      <c r="F361" t="inlineStr">
        <is>
          <t>S</t>
        </is>
      </c>
      <c r="G361" s="4" t="inlineStr">
        <is>
          <t>CH04</t>
        </is>
      </c>
      <c r="H361" s="4" t="inlineStr">
        <is>
          <t>PR00</t>
        </is>
      </c>
      <c r="I361" s="8" t="n">
        <v>112</v>
      </c>
      <c r="J361" s="9" t="n">
        <v>0</v>
      </c>
      <c r="K361" s="10">
        <f>I361*(1-J361)</f>
        <v/>
      </c>
      <c r="L361" s="11" t="n">
        <v>1</v>
      </c>
      <c r="M361" s="10">
        <f>K361*L361</f>
        <v/>
      </c>
      <c r="N361" s="8" t="n">
        <v>54.04</v>
      </c>
      <c r="O361" s="10">
        <f>N361*L361</f>
        <v/>
      </c>
      <c r="P361" s="10">
        <f>M361-O361</f>
        <v/>
      </c>
      <c r="Q361" s="11" t="inlineStr">
        <is>
          <t>No</t>
        </is>
      </c>
      <c r="R361" s="11" t="n">
        <v>0</v>
      </c>
      <c r="S361" s="10">
        <f>M361-(R361*K361)</f>
        <v/>
      </c>
      <c r="T361" s="12">
        <f>VLOOKUP(E361,Dim_Product!$A$2:$Q$61,3,FALSE)</f>
        <v/>
      </c>
      <c r="U361" s="12">
        <f>VLOOKUP(E361,Dim_Product!$A$2:$Q$61,4,FALSE)</f>
        <v/>
      </c>
      <c r="V361" s="12">
        <f>VLOOKUP(D361,Dim_Customer!$A$2:$I$121,6,FALSE)</f>
        <v/>
      </c>
      <c r="W361" s="12">
        <f>VLOOKUP(G361,Dim_Channel!$A$2:$B$5,2,FALSE)</f>
        <v/>
      </c>
      <c r="X361" s="12">
        <f>VLOOKUP(H361,Dim_Promotion!$A$2:$G$11,2,FALSE)</f>
        <v/>
      </c>
    </row>
    <row r="362">
      <c r="A362" s="4" t="inlineStr">
        <is>
          <t>SL0361</t>
        </is>
      </c>
      <c r="B362" t="inlineStr">
        <is>
          <t>O010181</t>
        </is>
      </c>
      <c r="C362" t="n">
        <v>20250309</v>
      </c>
      <c r="D362" s="4" t="inlineStr">
        <is>
          <t>C048</t>
        </is>
      </c>
      <c r="E362" s="4" t="inlineStr">
        <is>
          <t>P010</t>
        </is>
      </c>
      <c r="F362" t="inlineStr">
        <is>
          <t>S</t>
        </is>
      </c>
      <c r="G362" s="4" t="inlineStr">
        <is>
          <t>CH03</t>
        </is>
      </c>
      <c r="H362" s="4" t="inlineStr">
        <is>
          <t>PR00</t>
        </is>
      </c>
      <c r="I362" s="8" t="n">
        <v>48</v>
      </c>
      <c r="J362" s="9" t="n">
        <v>0</v>
      </c>
      <c r="K362" s="10">
        <f>I362*(1-J362)</f>
        <v/>
      </c>
      <c r="L362" s="11" t="n">
        <v>1</v>
      </c>
      <c r="M362" s="10">
        <f>K362*L362</f>
        <v/>
      </c>
      <c r="N362" s="8" t="n">
        <v>20.77</v>
      </c>
      <c r="O362" s="10">
        <f>N362*L362</f>
        <v/>
      </c>
      <c r="P362" s="10">
        <f>M362-O362</f>
        <v/>
      </c>
      <c r="Q362" s="11" t="inlineStr">
        <is>
          <t>No</t>
        </is>
      </c>
      <c r="R362" s="11" t="n">
        <v>0</v>
      </c>
      <c r="S362" s="10">
        <f>M362-(R362*K362)</f>
        <v/>
      </c>
      <c r="T362" s="12">
        <f>VLOOKUP(E362,Dim_Product!$A$2:$Q$61,3,FALSE)</f>
        <v/>
      </c>
      <c r="U362" s="12">
        <f>VLOOKUP(E362,Dim_Product!$A$2:$Q$61,4,FALSE)</f>
        <v/>
      </c>
      <c r="V362" s="12">
        <f>VLOOKUP(D362,Dim_Customer!$A$2:$I$121,6,FALSE)</f>
        <v/>
      </c>
      <c r="W362" s="12">
        <f>VLOOKUP(G362,Dim_Channel!$A$2:$B$5,2,FALSE)</f>
        <v/>
      </c>
      <c r="X362" s="12">
        <f>VLOOKUP(H362,Dim_Promotion!$A$2:$G$11,2,FALSE)</f>
        <v/>
      </c>
    </row>
    <row r="363">
      <c r="A363" s="4" t="inlineStr">
        <is>
          <t>SL0362</t>
        </is>
      </c>
      <c r="B363" t="inlineStr">
        <is>
          <t>O010181</t>
        </is>
      </c>
      <c r="C363" t="n">
        <v>20250201</v>
      </c>
      <c r="D363" s="4" t="inlineStr">
        <is>
          <t>C052</t>
        </is>
      </c>
      <c r="E363" s="4" t="inlineStr">
        <is>
          <t>P056</t>
        </is>
      </c>
      <c r="F363" t="inlineStr">
        <is>
          <t>XL</t>
        </is>
      </c>
      <c r="G363" s="4" t="inlineStr">
        <is>
          <t>CH04</t>
        </is>
      </c>
      <c r="H363" s="4" t="inlineStr">
        <is>
          <t>PR00</t>
        </is>
      </c>
      <c r="I363" s="8" t="n">
        <v>70</v>
      </c>
      <c r="J363" s="9" t="n">
        <v>0</v>
      </c>
      <c r="K363" s="10">
        <f>I363*(1-J363)</f>
        <v/>
      </c>
      <c r="L363" s="11" t="n">
        <v>3</v>
      </c>
      <c r="M363" s="10">
        <f>K363*L363</f>
        <v/>
      </c>
      <c r="N363" s="8" t="n">
        <v>33</v>
      </c>
      <c r="O363" s="10">
        <f>N363*L363</f>
        <v/>
      </c>
      <c r="P363" s="10">
        <f>M363-O363</f>
        <v/>
      </c>
      <c r="Q363" s="11" t="inlineStr">
        <is>
          <t>No</t>
        </is>
      </c>
      <c r="R363" s="11" t="n">
        <v>0</v>
      </c>
      <c r="S363" s="10">
        <f>M363-(R363*K363)</f>
        <v/>
      </c>
      <c r="T363" s="12">
        <f>VLOOKUP(E363,Dim_Product!$A$2:$Q$61,3,FALSE)</f>
        <v/>
      </c>
      <c r="U363" s="12">
        <f>VLOOKUP(E363,Dim_Product!$A$2:$Q$61,4,FALSE)</f>
        <v/>
      </c>
      <c r="V363" s="12">
        <f>VLOOKUP(D363,Dim_Customer!$A$2:$I$121,6,FALSE)</f>
        <v/>
      </c>
      <c r="W363" s="12">
        <f>VLOOKUP(G363,Dim_Channel!$A$2:$B$5,2,FALSE)</f>
        <v/>
      </c>
      <c r="X363" s="12">
        <f>VLOOKUP(H363,Dim_Promotion!$A$2:$G$11,2,FALSE)</f>
        <v/>
      </c>
    </row>
    <row r="364">
      <c r="A364" s="4" t="inlineStr">
        <is>
          <t>SL0363</t>
        </is>
      </c>
      <c r="B364" t="inlineStr">
        <is>
          <t>O010182</t>
        </is>
      </c>
      <c r="C364" t="n">
        <v>20250710</v>
      </c>
      <c r="D364" s="4" t="inlineStr">
        <is>
          <t>C097</t>
        </is>
      </c>
      <c r="E364" s="4" t="inlineStr">
        <is>
          <t>P008</t>
        </is>
      </c>
      <c r="F364" t="inlineStr">
        <is>
          <t>XL</t>
        </is>
      </c>
      <c r="G364" s="4" t="inlineStr">
        <is>
          <t>CH02</t>
        </is>
      </c>
      <c r="H364" s="4" t="inlineStr">
        <is>
          <t>PR04</t>
        </is>
      </c>
      <c r="I364" s="8" t="n">
        <v>53</v>
      </c>
      <c r="J364" s="9" t="n">
        <v>0.12</v>
      </c>
      <c r="K364" s="10">
        <f>I364*(1-J364)</f>
        <v/>
      </c>
      <c r="L364" s="11" t="n">
        <v>2</v>
      </c>
      <c r="M364" s="10">
        <f>K364*L364</f>
        <v/>
      </c>
      <c r="N364" s="8" t="n">
        <v>22.73</v>
      </c>
      <c r="O364" s="10">
        <f>N364*L364</f>
        <v/>
      </c>
      <c r="P364" s="10">
        <f>M364-O364</f>
        <v/>
      </c>
      <c r="Q364" s="11" t="inlineStr">
        <is>
          <t>No</t>
        </is>
      </c>
      <c r="R364" s="11" t="n">
        <v>0</v>
      </c>
      <c r="S364" s="10">
        <f>M364-(R364*K364)</f>
        <v/>
      </c>
      <c r="T364" s="12">
        <f>VLOOKUP(E364,Dim_Product!$A$2:$Q$61,3,FALSE)</f>
        <v/>
      </c>
      <c r="U364" s="12">
        <f>VLOOKUP(E364,Dim_Product!$A$2:$Q$61,4,FALSE)</f>
        <v/>
      </c>
      <c r="V364" s="12">
        <f>VLOOKUP(D364,Dim_Customer!$A$2:$I$121,6,FALSE)</f>
        <v/>
      </c>
      <c r="W364" s="12">
        <f>VLOOKUP(G364,Dim_Channel!$A$2:$B$5,2,FALSE)</f>
        <v/>
      </c>
      <c r="X364" s="12">
        <f>VLOOKUP(H364,Dim_Promotion!$A$2:$G$11,2,FALSE)</f>
        <v/>
      </c>
    </row>
    <row r="365">
      <c r="A365" s="4" t="inlineStr">
        <is>
          <t>SL0364</t>
        </is>
      </c>
      <c r="B365" t="inlineStr">
        <is>
          <t>O010182</t>
        </is>
      </c>
      <c r="C365" t="n">
        <v>20250513</v>
      </c>
      <c r="D365" s="4" t="inlineStr">
        <is>
          <t>C080</t>
        </is>
      </c>
      <c r="E365" s="4" t="inlineStr">
        <is>
          <t>P050</t>
        </is>
      </c>
      <c r="F365" t="inlineStr">
        <is>
          <t>S</t>
        </is>
      </c>
      <c r="G365" s="4" t="inlineStr">
        <is>
          <t>CH01</t>
        </is>
      </c>
      <c r="H365" s="4" t="inlineStr">
        <is>
          <t>PR00</t>
        </is>
      </c>
      <c r="I365" s="8" t="n">
        <v>66</v>
      </c>
      <c r="J365" s="9" t="n">
        <v>0</v>
      </c>
      <c r="K365" s="10">
        <f>I365*(1-J365)</f>
        <v/>
      </c>
      <c r="L365" s="11" t="n">
        <v>2</v>
      </c>
      <c r="M365" s="10">
        <f>K365*L365</f>
        <v/>
      </c>
      <c r="N365" s="8" t="n">
        <v>30.78</v>
      </c>
      <c r="O365" s="10">
        <f>N365*L365</f>
        <v/>
      </c>
      <c r="P365" s="10">
        <f>M365-O365</f>
        <v/>
      </c>
      <c r="Q365" s="11" t="inlineStr">
        <is>
          <t>No</t>
        </is>
      </c>
      <c r="R365" s="11" t="n">
        <v>0</v>
      </c>
      <c r="S365" s="10">
        <f>M365-(R365*K365)</f>
        <v/>
      </c>
      <c r="T365" s="12">
        <f>VLOOKUP(E365,Dim_Product!$A$2:$Q$61,3,FALSE)</f>
        <v/>
      </c>
      <c r="U365" s="12">
        <f>VLOOKUP(E365,Dim_Product!$A$2:$Q$61,4,FALSE)</f>
        <v/>
      </c>
      <c r="V365" s="12">
        <f>VLOOKUP(D365,Dim_Customer!$A$2:$I$121,6,FALSE)</f>
        <v/>
      </c>
      <c r="W365" s="12">
        <f>VLOOKUP(G365,Dim_Channel!$A$2:$B$5,2,FALSE)</f>
        <v/>
      </c>
      <c r="X365" s="12">
        <f>VLOOKUP(H365,Dim_Promotion!$A$2:$G$11,2,FALSE)</f>
        <v/>
      </c>
    </row>
    <row r="366">
      <c r="A366" s="4" t="inlineStr">
        <is>
          <t>SL0365</t>
        </is>
      </c>
      <c r="B366" t="inlineStr">
        <is>
          <t>O010183</t>
        </is>
      </c>
      <c r="C366" t="n">
        <v>20250228</v>
      </c>
      <c r="D366" s="4" t="inlineStr">
        <is>
          <t>C058</t>
        </is>
      </c>
      <c r="E366" s="4" t="inlineStr">
        <is>
          <t>P059</t>
        </is>
      </c>
      <c r="F366" t="inlineStr">
        <is>
          <t>L</t>
        </is>
      </c>
      <c r="G366" s="4" t="inlineStr">
        <is>
          <t>CH02</t>
        </is>
      </c>
      <c r="H366" s="4" t="inlineStr">
        <is>
          <t>PR00</t>
        </is>
      </c>
      <c r="I366" s="8" t="n">
        <v>72</v>
      </c>
      <c r="J366" s="9" t="n">
        <v>0</v>
      </c>
      <c r="K366" s="10">
        <f>I366*(1-J366)</f>
        <v/>
      </c>
      <c r="L366" s="11" t="n">
        <v>2</v>
      </c>
      <c r="M366" s="10">
        <f>K366*L366</f>
        <v/>
      </c>
      <c r="N366" s="8" t="n">
        <v>34.06</v>
      </c>
      <c r="O366" s="10">
        <f>N366*L366</f>
        <v/>
      </c>
      <c r="P366" s="10">
        <f>M366-O366</f>
        <v/>
      </c>
      <c r="Q366" s="11" t="inlineStr">
        <is>
          <t>No</t>
        </is>
      </c>
      <c r="R366" s="11" t="n">
        <v>0</v>
      </c>
      <c r="S366" s="10">
        <f>M366-(R366*K366)</f>
        <v/>
      </c>
      <c r="T366" s="12">
        <f>VLOOKUP(E366,Dim_Product!$A$2:$Q$61,3,FALSE)</f>
        <v/>
      </c>
      <c r="U366" s="12">
        <f>VLOOKUP(E366,Dim_Product!$A$2:$Q$61,4,FALSE)</f>
        <v/>
      </c>
      <c r="V366" s="12">
        <f>VLOOKUP(D366,Dim_Customer!$A$2:$I$121,6,FALSE)</f>
        <v/>
      </c>
      <c r="W366" s="12">
        <f>VLOOKUP(G366,Dim_Channel!$A$2:$B$5,2,FALSE)</f>
        <v/>
      </c>
      <c r="X366" s="12">
        <f>VLOOKUP(H366,Dim_Promotion!$A$2:$G$11,2,FALSE)</f>
        <v/>
      </c>
    </row>
    <row r="367">
      <c r="A367" s="4" t="inlineStr">
        <is>
          <t>SL0366</t>
        </is>
      </c>
      <c r="B367" t="inlineStr">
        <is>
          <t>O010183</t>
        </is>
      </c>
      <c r="C367" t="n">
        <v>20251112</v>
      </c>
      <c r="D367" s="4" t="inlineStr">
        <is>
          <t>C050</t>
        </is>
      </c>
      <c r="E367" s="4" t="inlineStr">
        <is>
          <t>P021</t>
        </is>
      </c>
      <c r="F367" t="inlineStr">
        <is>
          <t>M</t>
        </is>
      </c>
      <c r="G367" s="4" t="inlineStr">
        <is>
          <t>CH04</t>
        </is>
      </c>
      <c r="H367" s="4" t="inlineStr">
        <is>
          <t>PR00</t>
        </is>
      </c>
      <c r="I367" s="8" t="n">
        <v>55</v>
      </c>
      <c r="J367" s="9" t="n">
        <v>0.08</v>
      </c>
      <c r="K367" s="10">
        <f>I367*(1-J367)</f>
        <v/>
      </c>
      <c r="L367" s="11" t="n">
        <v>2</v>
      </c>
      <c r="M367" s="10">
        <f>K367*L367</f>
        <v/>
      </c>
      <c r="N367" s="8" t="n">
        <v>27.92</v>
      </c>
      <c r="O367" s="10">
        <f>N367*L367</f>
        <v/>
      </c>
      <c r="P367" s="10">
        <f>M367-O367</f>
        <v/>
      </c>
      <c r="Q367" s="11" t="inlineStr">
        <is>
          <t>No</t>
        </is>
      </c>
      <c r="R367" s="11" t="n">
        <v>0</v>
      </c>
      <c r="S367" s="10">
        <f>M367-(R367*K367)</f>
        <v/>
      </c>
      <c r="T367" s="12">
        <f>VLOOKUP(E367,Dim_Product!$A$2:$Q$61,3,FALSE)</f>
        <v/>
      </c>
      <c r="U367" s="12">
        <f>VLOOKUP(E367,Dim_Product!$A$2:$Q$61,4,FALSE)</f>
        <v/>
      </c>
      <c r="V367" s="12">
        <f>VLOOKUP(D367,Dim_Customer!$A$2:$I$121,6,FALSE)</f>
        <v/>
      </c>
      <c r="W367" s="12">
        <f>VLOOKUP(G367,Dim_Channel!$A$2:$B$5,2,FALSE)</f>
        <v/>
      </c>
      <c r="X367" s="12">
        <f>VLOOKUP(H367,Dim_Promotion!$A$2:$G$11,2,FALSE)</f>
        <v/>
      </c>
    </row>
    <row r="368">
      <c r="A368" s="4" t="inlineStr">
        <is>
          <t>SL0367</t>
        </is>
      </c>
      <c r="B368" t="inlineStr">
        <is>
          <t>O010184</t>
        </is>
      </c>
      <c r="C368" t="n">
        <v>20251214</v>
      </c>
      <c r="D368" s="4" t="inlineStr">
        <is>
          <t>C094</t>
        </is>
      </c>
      <c r="E368" s="4" t="inlineStr">
        <is>
          <t>P053</t>
        </is>
      </c>
      <c r="F368" t="inlineStr">
        <is>
          <t>M</t>
        </is>
      </c>
      <c r="G368" s="4" t="inlineStr">
        <is>
          <t>CH01</t>
        </is>
      </c>
      <c r="H368" s="4" t="inlineStr">
        <is>
          <t>PR00</t>
        </is>
      </c>
      <c r="I368" s="8" t="n">
        <v>76</v>
      </c>
      <c r="J368" s="9" t="n">
        <v>0</v>
      </c>
      <c r="K368" s="10">
        <f>I368*(1-J368)</f>
        <v/>
      </c>
      <c r="L368" s="11" t="n">
        <v>4</v>
      </c>
      <c r="M368" s="10">
        <f>K368*L368</f>
        <v/>
      </c>
      <c r="N368" s="8" t="n">
        <v>33.45</v>
      </c>
      <c r="O368" s="10">
        <f>N368*L368</f>
        <v/>
      </c>
      <c r="P368" s="10">
        <f>M368-O368</f>
        <v/>
      </c>
      <c r="Q368" s="11" t="inlineStr">
        <is>
          <t>No</t>
        </is>
      </c>
      <c r="R368" s="11" t="n">
        <v>0</v>
      </c>
      <c r="S368" s="10">
        <f>M368-(R368*K368)</f>
        <v/>
      </c>
      <c r="T368" s="12">
        <f>VLOOKUP(E368,Dim_Product!$A$2:$Q$61,3,FALSE)</f>
        <v/>
      </c>
      <c r="U368" s="12">
        <f>VLOOKUP(E368,Dim_Product!$A$2:$Q$61,4,FALSE)</f>
        <v/>
      </c>
      <c r="V368" s="12">
        <f>VLOOKUP(D368,Dim_Customer!$A$2:$I$121,6,FALSE)</f>
        <v/>
      </c>
      <c r="W368" s="12">
        <f>VLOOKUP(G368,Dim_Channel!$A$2:$B$5,2,FALSE)</f>
        <v/>
      </c>
      <c r="X368" s="12">
        <f>VLOOKUP(H368,Dim_Promotion!$A$2:$G$11,2,FALSE)</f>
        <v/>
      </c>
    </row>
    <row r="369">
      <c r="A369" s="4" t="inlineStr">
        <is>
          <t>SL0368</t>
        </is>
      </c>
      <c r="B369" t="inlineStr">
        <is>
          <t>O010184</t>
        </is>
      </c>
      <c r="C369" t="n">
        <v>20251003</v>
      </c>
      <c r="D369" s="4" t="inlineStr">
        <is>
          <t>C001</t>
        </is>
      </c>
      <c r="E369" s="4" t="inlineStr">
        <is>
          <t>P023</t>
        </is>
      </c>
      <c r="F369" t="inlineStr">
        <is>
          <t>L</t>
        </is>
      </c>
      <c r="G369" s="4" t="inlineStr">
        <is>
          <t>CH04</t>
        </is>
      </c>
      <c r="H369" s="4" t="inlineStr">
        <is>
          <t>PR00</t>
        </is>
      </c>
      <c r="I369" s="8" t="n">
        <v>57</v>
      </c>
      <c r="J369" s="9" t="n">
        <v>0</v>
      </c>
      <c r="K369" s="10">
        <f>I369*(1-J369)</f>
        <v/>
      </c>
      <c r="L369" s="11" t="n">
        <v>1</v>
      </c>
      <c r="M369" s="10">
        <f>K369*L369</f>
        <v/>
      </c>
      <c r="N369" s="8" t="n">
        <v>26.25</v>
      </c>
      <c r="O369" s="10">
        <f>N369*L369</f>
        <v/>
      </c>
      <c r="P369" s="10">
        <f>M369-O369</f>
        <v/>
      </c>
      <c r="Q369" s="11" t="inlineStr">
        <is>
          <t>No</t>
        </is>
      </c>
      <c r="R369" s="11" t="n">
        <v>0</v>
      </c>
      <c r="S369" s="10">
        <f>M369-(R369*K369)</f>
        <v/>
      </c>
      <c r="T369" s="12">
        <f>VLOOKUP(E369,Dim_Product!$A$2:$Q$61,3,FALSE)</f>
        <v/>
      </c>
      <c r="U369" s="12">
        <f>VLOOKUP(E369,Dim_Product!$A$2:$Q$61,4,FALSE)</f>
        <v/>
      </c>
      <c r="V369" s="12">
        <f>VLOOKUP(D369,Dim_Customer!$A$2:$I$121,6,FALSE)</f>
        <v/>
      </c>
      <c r="W369" s="12">
        <f>VLOOKUP(G369,Dim_Channel!$A$2:$B$5,2,FALSE)</f>
        <v/>
      </c>
      <c r="X369" s="12">
        <f>VLOOKUP(H369,Dim_Promotion!$A$2:$G$11,2,FALSE)</f>
        <v/>
      </c>
    </row>
    <row r="370">
      <c r="A370" s="4" t="inlineStr">
        <is>
          <t>SL0369</t>
        </is>
      </c>
      <c r="B370" t="inlineStr">
        <is>
          <t>O010185</t>
        </is>
      </c>
      <c r="C370" t="n">
        <v>20250519</v>
      </c>
      <c r="D370" s="4" t="inlineStr">
        <is>
          <t>C039</t>
        </is>
      </c>
      <c r="E370" s="4" t="inlineStr">
        <is>
          <t>P009</t>
        </is>
      </c>
      <c r="F370" t="inlineStr">
        <is>
          <t>L</t>
        </is>
      </c>
      <c r="G370" s="4" t="inlineStr">
        <is>
          <t>CH02</t>
        </is>
      </c>
      <c r="H370" s="4" t="inlineStr">
        <is>
          <t>PR00</t>
        </is>
      </c>
      <c r="I370" s="8" t="n">
        <v>48</v>
      </c>
      <c r="J370" s="9" t="n">
        <v>0</v>
      </c>
      <c r="K370" s="10">
        <f>I370*(1-J370)</f>
        <v/>
      </c>
      <c r="L370" s="11" t="n">
        <v>1</v>
      </c>
      <c r="M370" s="10">
        <f>K370*L370</f>
        <v/>
      </c>
      <c r="N370" s="8" t="n">
        <v>19.18</v>
      </c>
      <c r="O370" s="10">
        <f>N370*L370</f>
        <v/>
      </c>
      <c r="P370" s="10">
        <f>M370-O370</f>
        <v/>
      </c>
      <c r="Q370" s="11" t="inlineStr">
        <is>
          <t>No</t>
        </is>
      </c>
      <c r="R370" s="11" t="n">
        <v>0</v>
      </c>
      <c r="S370" s="10">
        <f>M370-(R370*K370)</f>
        <v/>
      </c>
      <c r="T370" s="12">
        <f>VLOOKUP(E370,Dim_Product!$A$2:$Q$61,3,FALSE)</f>
        <v/>
      </c>
      <c r="U370" s="12">
        <f>VLOOKUP(E370,Dim_Product!$A$2:$Q$61,4,FALSE)</f>
        <v/>
      </c>
      <c r="V370" s="12">
        <f>VLOOKUP(D370,Dim_Customer!$A$2:$I$121,6,FALSE)</f>
        <v/>
      </c>
      <c r="W370" s="12">
        <f>VLOOKUP(G370,Dim_Channel!$A$2:$B$5,2,FALSE)</f>
        <v/>
      </c>
      <c r="X370" s="12">
        <f>VLOOKUP(H370,Dim_Promotion!$A$2:$G$11,2,FALSE)</f>
        <v/>
      </c>
    </row>
    <row r="371">
      <c r="A371" s="4" t="inlineStr">
        <is>
          <t>SL0370</t>
        </is>
      </c>
      <c r="B371" t="inlineStr">
        <is>
          <t>O010185</t>
        </is>
      </c>
      <c r="C371" t="n">
        <v>20250404</v>
      </c>
      <c r="D371" s="4" t="inlineStr">
        <is>
          <t>C098</t>
        </is>
      </c>
      <c r="E371" s="4" t="inlineStr">
        <is>
          <t>P034</t>
        </is>
      </c>
      <c r="F371" t="inlineStr">
        <is>
          <t>XL</t>
        </is>
      </c>
      <c r="G371" s="4" t="inlineStr">
        <is>
          <t>CH02</t>
        </is>
      </c>
      <c r="H371" s="4" t="inlineStr">
        <is>
          <t>PR00</t>
        </is>
      </c>
      <c r="I371" s="8" t="n">
        <v>88</v>
      </c>
      <c r="J371" s="9" t="n">
        <v>0</v>
      </c>
      <c r="K371" s="10">
        <f>I371*(1-J371)</f>
        <v/>
      </c>
      <c r="L371" s="11" t="n">
        <v>1</v>
      </c>
      <c r="M371" s="10">
        <f>K371*L371</f>
        <v/>
      </c>
      <c r="N371" s="8" t="n">
        <v>45.06</v>
      </c>
      <c r="O371" s="10">
        <f>N371*L371</f>
        <v/>
      </c>
      <c r="P371" s="10">
        <f>M371-O371</f>
        <v/>
      </c>
      <c r="Q371" s="11" t="inlineStr">
        <is>
          <t>Yes</t>
        </is>
      </c>
      <c r="R371" s="11" t="n">
        <v>1</v>
      </c>
      <c r="S371" s="10">
        <f>M371-(R371*K371)</f>
        <v/>
      </c>
      <c r="T371" s="12">
        <f>VLOOKUP(E371,Dim_Product!$A$2:$Q$61,3,FALSE)</f>
        <v/>
      </c>
      <c r="U371" s="12">
        <f>VLOOKUP(E371,Dim_Product!$A$2:$Q$61,4,FALSE)</f>
        <v/>
      </c>
      <c r="V371" s="12">
        <f>VLOOKUP(D371,Dim_Customer!$A$2:$I$121,6,FALSE)</f>
        <v/>
      </c>
      <c r="W371" s="12">
        <f>VLOOKUP(G371,Dim_Channel!$A$2:$B$5,2,FALSE)</f>
        <v/>
      </c>
      <c r="X371" s="12">
        <f>VLOOKUP(H371,Dim_Promotion!$A$2:$G$11,2,FALSE)</f>
        <v/>
      </c>
    </row>
    <row r="372">
      <c r="A372" s="4" t="inlineStr">
        <is>
          <t>SL0371</t>
        </is>
      </c>
      <c r="B372" t="inlineStr">
        <is>
          <t>O010186</t>
        </is>
      </c>
      <c r="C372" t="n">
        <v>20250302</v>
      </c>
      <c r="D372" s="4" t="inlineStr">
        <is>
          <t>C019</t>
        </is>
      </c>
      <c r="E372" s="4" t="inlineStr">
        <is>
          <t>P007</t>
        </is>
      </c>
      <c r="F372" t="inlineStr">
        <is>
          <t>M</t>
        </is>
      </c>
      <c r="G372" s="4" t="inlineStr">
        <is>
          <t>CH01</t>
        </is>
      </c>
      <c r="H372" s="4" t="inlineStr">
        <is>
          <t>PR03</t>
        </is>
      </c>
      <c r="I372" s="8" t="n">
        <v>50</v>
      </c>
      <c r="J372" s="9" t="n">
        <v>0.08</v>
      </c>
      <c r="K372" s="10">
        <f>I372*(1-J372)</f>
        <v/>
      </c>
      <c r="L372" s="11" t="n">
        <v>1</v>
      </c>
      <c r="M372" s="10">
        <f>K372*L372</f>
        <v/>
      </c>
      <c r="N372" s="8" t="n">
        <v>21.94</v>
      </c>
      <c r="O372" s="10">
        <f>N372*L372</f>
        <v/>
      </c>
      <c r="P372" s="10">
        <f>M372-O372</f>
        <v/>
      </c>
      <c r="Q372" s="11" t="inlineStr">
        <is>
          <t>No</t>
        </is>
      </c>
      <c r="R372" s="11" t="n">
        <v>0</v>
      </c>
      <c r="S372" s="10">
        <f>M372-(R372*K372)</f>
        <v/>
      </c>
      <c r="T372" s="12">
        <f>VLOOKUP(E372,Dim_Product!$A$2:$Q$61,3,FALSE)</f>
        <v/>
      </c>
      <c r="U372" s="12">
        <f>VLOOKUP(E372,Dim_Product!$A$2:$Q$61,4,FALSE)</f>
        <v/>
      </c>
      <c r="V372" s="12">
        <f>VLOOKUP(D372,Dim_Customer!$A$2:$I$121,6,FALSE)</f>
        <v/>
      </c>
      <c r="W372" s="12">
        <f>VLOOKUP(G372,Dim_Channel!$A$2:$B$5,2,FALSE)</f>
        <v/>
      </c>
      <c r="X372" s="12">
        <f>VLOOKUP(H372,Dim_Promotion!$A$2:$G$11,2,FALSE)</f>
        <v/>
      </c>
    </row>
    <row r="373">
      <c r="A373" s="4" t="inlineStr">
        <is>
          <t>SL0372</t>
        </is>
      </c>
      <c r="B373" t="inlineStr">
        <is>
          <t>O010186</t>
        </is>
      </c>
      <c r="C373" t="n">
        <v>20250207</v>
      </c>
      <c r="D373" s="4" t="inlineStr">
        <is>
          <t>C099</t>
        </is>
      </c>
      <c r="E373" s="4" t="inlineStr">
        <is>
          <t>P035</t>
        </is>
      </c>
      <c r="F373" t="inlineStr">
        <is>
          <t>M</t>
        </is>
      </c>
      <c r="G373" s="4" t="inlineStr">
        <is>
          <t>CH01</t>
        </is>
      </c>
      <c r="H373" s="4" t="inlineStr">
        <is>
          <t>PR00</t>
        </is>
      </c>
      <c r="I373" s="8" t="n">
        <v>88</v>
      </c>
      <c r="J373" s="9" t="n">
        <v>0</v>
      </c>
      <c r="K373" s="10">
        <f>I373*(1-J373)</f>
        <v/>
      </c>
      <c r="L373" s="11" t="n">
        <v>1</v>
      </c>
      <c r="M373" s="10">
        <f>K373*L373</f>
        <v/>
      </c>
      <c r="N373" s="8" t="n">
        <v>43.92</v>
      </c>
      <c r="O373" s="10">
        <f>N373*L373</f>
        <v/>
      </c>
      <c r="P373" s="10">
        <f>M373-O373</f>
        <v/>
      </c>
      <c r="Q373" s="11" t="inlineStr">
        <is>
          <t>No</t>
        </is>
      </c>
      <c r="R373" s="11" t="n">
        <v>0</v>
      </c>
      <c r="S373" s="10">
        <f>M373-(R373*K373)</f>
        <v/>
      </c>
      <c r="T373" s="12">
        <f>VLOOKUP(E373,Dim_Product!$A$2:$Q$61,3,FALSE)</f>
        <v/>
      </c>
      <c r="U373" s="12">
        <f>VLOOKUP(E373,Dim_Product!$A$2:$Q$61,4,FALSE)</f>
        <v/>
      </c>
      <c r="V373" s="12">
        <f>VLOOKUP(D373,Dim_Customer!$A$2:$I$121,6,FALSE)</f>
        <v/>
      </c>
      <c r="W373" s="12">
        <f>VLOOKUP(G373,Dim_Channel!$A$2:$B$5,2,FALSE)</f>
        <v/>
      </c>
      <c r="X373" s="12">
        <f>VLOOKUP(H373,Dim_Promotion!$A$2:$G$11,2,FALSE)</f>
        <v/>
      </c>
    </row>
    <row r="374">
      <c r="A374" s="4" t="inlineStr">
        <is>
          <t>SL0373</t>
        </is>
      </c>
      <c r="B374" t="inlineStr">
        <is>
          <t>O010187</t>
        </is>
      </c>
      <c r="C374" t="n">
        <v>20250827</v>
      </c>
      <c r="D374" s="4" t="inlineStr">
        <is>
          <t>C019</t>
        </is>
      </c>
      <c r="E374" s="4" t="inlineStr">
        <is>
          <t>P001</t>
        </is>
      </c>
      <c r="F374" t="inlineStr">
        <is>
          <t>M</t>
        </is>
      </c>
      <c r="G374" s="4" t="inlineStr">
        <is>
          <t>CH01</t>
        </is>
      </c>
      <c r="H374" s="4" t="inlineStr">
        <is>
          <t>PR00</t>
        </is>
      </c>
      <c r="I374" s="8" t="n">
        <v>38</v>
      </c>
      <c r="J374" s="9" t="n">
        <v>0</v>
      </c>
      <c r="K374" s="10">
        <f>I374*(1-J374)</f>
        <v/>
      </c>
      <c r="L374" s="11" t="n">
        <v>1</v>
      </c>
      <c r="M374" s="10">
        <f>K374*L374</f>
        <v/>
      </c>
      <c r="N374" s="8" t="n">
        <v>17.17</v>
      </c>
      <c r="O374" s="10">
        <f>N374*L374</f>
        <v/>
      </c>
      <c r="P374" s="10">
        <f>M374-O374</f>
        <v/>
      </c>
      <c r="Q374" s="11" t="inlineStr">
        <is>
          <t>No</t>
        </is>
      </c>
      <c r="R374" s="11" t="n">
        <v>0</v>
      </c>
      <c r="S374" s="10">
        <f>M374-(R374*K374)</f>
        <v/>
      </c>
      <c r="T374" s="12">
        <f>VLOOKUP(E374,Dim_Product!$A$2:$Q$61,3,FALSE)</f>
        <v/>
      </c>
      <c r="U374" s="12">
        <f>VLOOKUP(E374,Dim_Product!$A$2:$Q$61,4,FALSE)</f>
        <v/>
      </c>
      <c r="V374" s="12">
        <f>VLOOKUP(D374,Dim_Customer!$A$2:$I$121,6,FALSE)</f>
        <v/>
      </c>
      <c r="W374" s="12">
        <f>VLOOKUP(G374,Dim_Channel!$A$2:$B$5,2,FALSE)</f>
        <v/>
      </c>
      <c r="X374" s="12">
        <f>VLOOKUP(H374,Dim_Promotion!$A$2:$G$11,2,FALSE)</f>
        <v/>
      </c>
    </row>
    <row r="375">
      <c r="A375" s="4" t="inlineStr">
        <is>
          <t>SL0374</t>
        </is>
      </c>
      <c r="B375" t="inlineStr">
        <is>
          <t>O010187</t>
        </is>
      </c>
      <c r="C375" t="n">
        <v>20251118</v>
      </c>
      <c r="D375" s="4" t="inlineStr">
        <is>
          <t>C079</t>
        </is>
      </c>
      <c r="E375" s="4" t="inlineStr">
        <is>
          <t>P050</t>
        </is>
      </c>
      <c r="F375" t="inlineStr">
        <is>
          <t>L</t>
        </is>
      </c>
      <c r="G375" s="4" t="inlineStr">
        <is>
          <t>CH03</t>
        </is>
      </c>
      <c r="H375" s="4" t="inlineStr">
        <is>
          <t>PR00</t>
        </is>
      </c>
      <c r="I375" s="8" t="n">
        <v>64</v>
      </c>
      <c r="J375" s="9" t="n">
        <v>0</v>
      </c>
      <c r="K375" s="10">
        <f>I375*(1-J375)</f>
        <v/>
      </c>
      <c r="L375" s="11" t="n">
        <v>1</v>
      </c>
      <c r="M375" s="10">
        <f>K375*L375</f>
        <v/>
      </c>
      <c r="N375" s="8" t="n">
        <v>29.64</v>
      </c>
      <c r="O375" s="10">
        <f>N375*L375</f>
        <v/>
      </c>
      <c r="P375" s="10">
        <f>M375-O375</f>
        <v/>
      </c>
      <c r="Q375" s="11" t="inlineStr">
        <is>
          <t>Yes</t>
        </is>
      </c>
      <c r="R375" s="11" t="n">
        <v>1</v>
      </c>
      <c r="S375" s="10">
        <f>M375-(R375*K375)</f>
        <v/>
      </c>
      <c r="T375" s="12">
        <f>VLOOKUP(E375,Dim_Product!$A$2:$Q$61,3,FALSE)</f>
        <v/>
      </c>
      <c r="U375" s="12">
        <f>VLOOKUP(E375,Dim_Product!$A$2:$Q$61,4,FALSE)</f>
        <v/>
      </c>
      <c r="V375" s="12">
        <f>VLOOKUP(D375,Dim_Customer!$A$2:$I$121,6,FALSE)</f>
        <v/>
      </c>
      <c r="W375" s="12">
        <f>VLOOKUP(G375,Dim_Channel!$A$2:$B$5,2,FALSE)</f>
        <v/>
      </c>
      <c r="X375" s="12">
        <f>VLOOKUP(H375,Dim_Promotion!$A$2:$G$11,2,FALSE)</f>
        <v/>
      </c>
    </row>
    <row r="376">
      <c r="A376" s="4" t="inlineStr">
        <is>
          <t>SL0375</t>
        </is>
      </c>
      <c r="B376" t="inlineStr">
        <is>
          <t>O010188</t>
        </is>
      </c>
      <c r="C376" t="n">
        <v>20250512</v>
      </c>
      <c r="D376" s="4" t="inlineStr">
        <is>
          <t>C018</t>
        </is>
      </c>
      <c r="E376" s="4" t="inlineStr">
        <is>
          <t>P048</t>
        </is>
      </c>
      <c r="F376" t="inlineStr">
        <is>
          <t>M</t>
        </is>
      </c>
      <c r="G376" s="4" t="inlineStr">
        <is>
          <t>CH03</t>
        </is>
      </c>
      <c r="H376" s="4" t="inlineStr">
        <is>
          <t>PR00</t>
        </is>
      </c>
      <c r="I376" s="8" t="n">
        <v>68</v>
      </c>
      <c r="J376" s="9" t="n">
        <v>0</v>
      </c>
      <c r="K376" s="10">
        <f>I376*(1-J376)</f>
        <v/>
      </c>
      <c r="L376" s="11" t="n">
        <v>1</v>
      </c>
      <c r="M376" s="10">
        <f>K376*L376</f>
        <v/>
      </c>
      <c r="N376" s="8" t="n">
        <v>33.95</v>
      </c>
      <c r="O376" s="10">
        <f>N376*L376</f>
        <v/>
      </c>
      <c r="P376" s="10">
        <f>M376-O376</f>
        <v/>
      </c>
      <c r="Q376" s="11" t="inlineStr">
        <is>
          <t>No</t>
        </is>
      </c>
      <c r="R376" s="11" t="n">
        <v>0</v>
      </c>
      <c r="S376" s="10">
        <f>M376-(R376*K376)</f>
        <v/>
      </c>
      <c r="T376" s="12">
        <f>VLOOKUP(E376,Dim_Product!$A$2:$Q$61,3,FALSE)</f>
        <v/>
      </c>
      <c r="U376" s="12">
        <f>VLOOKUP(E376,Dim_Product!$A$2:$Q$61,4,FALSE)</f>
        <v/>
      </c>
      <c r="V376" s="12">
        <f>VLOOKUP(D376,Dim_Customer!$A$2:$I$121,6,FALSE)</f>
        <v/>
      </c>
      <c r="W376" s="12">
        <f>VLOOKUP(G376,Dim_Channel!$A$2:$B$5,2,FALSE)</f>
        <v/>
      </c>
      <c r="X376" s="12">
        <f>VLOOKUP(H376,Dim_Promotion!$A$2:$G$11,2,FALSE)</f>
        <v/>
      </c>
    </row>
    <row r="377">
      <c r="A377" s="4" t="inlineStr">
        <is>
          <t>SL0376</t>
        </is>
      </c>
      <c r="B377" t="inlineStr">
        <is>
          <t>O010188</t>
        </is>
      </c>
      <c r="C377" t="n">
        <v>20251105</v>
      </c>
      <c r="D377" s="4" t="inlineStr">
        <is>
          <t>C089</t>
        </is>
      </c>
      <c r="E377" s="4" t="inlineStr">
        <is>
          <t>P013</t>
        </is>
      </c>
      <c r="F377" t="inlineStr">
        <is>
          <t>S</t>
        </is>
      </c>
      <c r="G377" s="4" t="inlineStr">
        <is>
          <t>CH01</t>
        </is>
      </c>
      <c r="H377" s="4" t="inlineStr">
        <is>
          <t>PR00</t>
        </is>
      </c>
      <c r="I377" s="8" t="n">
        <v>58</v>
      </c>
      <c r="J377" s="9" t="n">
        <v>0</v>
      </c>
      <c r="K377" s="10">
        <f>I377*(1-J377)</f>
        <v/>
      </c>
      <c r="L377" s="11" t="n">
        <v>1</v>
      </c>
      <c r="M377" s="10">
        <f>K377*L377</f>
        <v/>
      </c>
      <c r="N377" s="8" t="n">
        <v>26.24</v>
      </c>
      <c r="O377" s="10">
        <f>N377*L377</f>
        <v/>
      </c>
      <c r="P377" s="10">
        <f>M377-O377</f>
        <v/>
      </c>
      <c r="Q377" s="11" t="inlineStr">
        <is>
          <t>No</t>
        </is>
      </c>
      <c r="R377" s="11" t="n">
        <v>0</v>
      </c>
      <c r="S377" s="10">
        <f>M377-(R377*K377)</f>
        <v/>
      </c>
      <c r="T377" s="12">
        <f>VLOOKUP(E377,Dim_Product!$A$2:$Q$61,3,FALSE)</f>
        <v/>
      </c>
      <c r="U377" s="12">
        <f>VLOOKUP(E377,Dim_Product!$A$2:$Q$61,4,FALSE)</f>
        <v/>
      </c>
      <c r="V377" s="12">
        <f>VLOOKUP(D377,Dim_Customer!$A$2:$I$121,6,FALSE)</f>
        <v/>
      </c>
      <c r="W377" s="12">
        <f>VLOOKUP(G377,Dim_Channel!$A$2:$B$5,2,FALSE)</f>
        <v/>
      </c>
      <c r="X377" s="12">
        <f>VLOOKUP(H377,Dim_Promotion!$A$2:$G$11,2,FALSE)</f>
        <v/>
      </c>
    </row>
    <row r="378">
      <c r="A378" s="4" t="inlineStr">
        <is>
          <t>SL0377</t>
        </is>
      </c>
      <c r="B378" t="inlineStr">
        <is>
          <t>O010189</t>
        </is>
      </c>
      <c r="C378" t="n">
        <v>20250302</v>
      </c>
      <c r="D378" s="4" t="inlineStr">
        <is>
          <t>C102</t>
        </is>
      </c>
      <c r="E378" s="4" t="inlineStr">
        <is>
          <t>P039</t>
        </is>
      </c>
      <c r="F378" t="inlineStr">
        <is>
          <t>M</t>
        </is>
      </c>
      <c r="G378" s="4" t="inlineStr">
        <is>
          <t>CH04</t>
        </is>
      </c>
      <c r="H378" s="4" t="inlineStr">
        <is>
          <t>PR00</t>
        </is>
      </c>
      <c r="I378" s="8" t="n">
        <v>72</v>
      </c>
      <c r="J378" s="9" t="n">
        <v>0</v>
      </c>
      <c r="K378" s="10">
        <f>I378*(1-J378)</f>
        <v/>
      </c>
      <c r="L378" s="11" t="n">
        <v>2</v>
      </c>
      <c r="M378" s="10">
        <f>K378*L378</f>
        <v/>
      </c>
      <c r="N378" s="8" t="n">
        <v>36.97</v>
      </c>
      <c r="O378" s="10">
        <f>N378*L378</f>
        <v/>
      </c>
      <c r="P378" s="10">
        <f>M378-O378</f>
        <v/>
      </c>
      <c r="Q378" s="11" t="inlineStr">
        <is>
          <t>No</t>
        </is>
      </c>
      <c r="R378" s="11" t="n">
        <v>0</v>
      </c>
      <c r="S378" s="10">
        <f>M378-(R378*K378)</f>
        <v/>
      </c>
      <c r="T378" s="12">
        <f>VLOOKUP(E378,Dim_Product!$A$2:$Q$61,3,FALSE)</f>
        <v/>
      </c>
      <c r="U378" s="12">
        <f>VLOOKUP(E378,Dim_Product!$A$2:$Q$61,4,FALSE)</f>
        <v/>
      </c>
      <c r="V378" s="12">
        <f>VLOOKUP(D378,Dim_Customer!$A$2:$I$121,6,FALSE)</f>
        <v/>
      </c>
      <c r="W378" s="12">
        <f>VLOOKUP(G378,Dim_Channel!$A$2:$B$5,2,FALSE)</f>
        <v/>
      </c>
      <c r="X378" s="12">
        <f>VLOOKUP(H378,Dim_Promotion!$A$2:$G$11,2,FALSE)</f>
        <v/>
      </c>
    </row>
    <row r="379">
      <c r="A379" s="4" t="inlineStr">
        <is>
          <t>SL0378</t>
        </is>
      </c>
      <c r="B379" t="inlineStr">
        <is>
          <t>O010189</t>
        </is>
      </c>
      <c r="C379" t="n">
        <v>20250429</v>
      </c>
      <c r="D379" s="4" t="inlineStr">
        <is>
          <t>C026</t>
        </is>
      </c>
      <c r="E379" s="4" t="inlineStr">
        <is>
          <t>P010</t>
        </is>
      </c>
      <c r="F379" t="inlineStr">
        <is>
          <t>S</t>
        </is>
      </c>
      <c r="G379" s="4" t="inlineStr">
        <is>
          <t>CH04</t>
        </is>
      </c>
      <c r="H379" s="4" t="inlineStr">
        <is>
          <t>PR00</t>
        </is>
      </c>
      <c r="I379" s="8" t="n">
        <v>48</v>
      </c>
      <c r="J379" s="9" t="n">
        <v>0</v>
      </c>
      <c r="K379" s="10">
        <f>I379*(1-J379)</f>
        <v/>
      </c>
      <c r="L379" s="11" t="n">
        <v>1</v>
      </c>
      <c r="M379" s="10">
        <f>K379*L379</f>
        <v/>
      </c>
      <c r="N379" s="8" t="n">
        <v>20.63</v>
      </c>
      <c r="O379" s="10">
        <f>N379*L379</f>
        <v/>
      </c>
      <c r="P379" s="10">
        <f>M379-O379</f>
        <v/>
      </c>
      <c r="Q379" s="11" t="inlineStr">
        <is>
          <t>No</t>
        </is>
      </c>
      <c r="R379" s="11" t="n">
        <v>0</v>
      </c>
      <c r="S379" s="10">
        <f>M379-(R379*K379)</f>
        <v/>
      </c>
      <c r="T379" s="12">
        <f>VLOOKUP(E379,Dim_Product!$A$2:$Q$61,3,FALSE)</f>
        <v/>
      </c>
      <c r="U379" s="12">
        <f>VLOOKUP(E379,Dim_Product!$A$2:$Q$61,4,FALSE)</f>
        <v/>
      </c>
      <c r="V379" s="12">
        <f>VLOOKUP(D379,Dim_Customer!$A$2:$I$121,6,FALSE)</f>
        <v/>
      </c>
      <c r="W379" s="12">
        <f>VLOOKUP(G379,Dim_Channel!$A$2:$B$5,2,FALSE)</f>
        <v/>
      </c>
      <c r="X379" s="12">
        <f>VLOOKUP(H379,Dim_Promotion!$A$2:$G$11,2,FALSE)</f>
        <v/>
      </c>
    </row>
    <row r="380">
      <c r="A380" s="4" t="inlineStr">
        <is>
          <t>SL0379</t>
        </is>
      </c>
      <c r="B380" t="inlineStr">
        <is>
          <t>O010190</t>
        </is>
      </c>
      <c r="C380" t="n">
        <v>20250817</v>
      </c>
      <c r="D380" s="4" t="inlineStr">
        <is>
          <t>C073</t>
        </is>
      </c>
      <c r="E380" s="4" t="inlineStr">
        <is>
          <t>P045</t>
        </is>
      </c>
      <c r="F380" t="inlineStr">
        <is>
          <t>M</t>
        </is>
      </c>
      <c r="G380" s="4" t="inlineStr">
        <is>
          <t>CH04</t>
        </is>
      </c>
      <c r="H380" s="4" t="inlineStr">
        <is>
          <t>PR00</t>
        </is>
      </c>
      <c r="I380" s="8" t="n">
        <v>64</v>
      </c>
      <c r="J380" s="9" t="n">
        <v>0</v>
      </c>
      <c r="K380" s="10">
        <f>I380*(1-J380)</f>
        <v/>
      </c>
      <c r="L380" s="11" t="n">
        <v>3</v>
      </c>
      <c r="M380" s="10">
        <f>K380*L380</f>
        <v/>
      </c>
      <c r="N380" s="8" t="n">
        <v>32.54</v>
      </c>
      <c r="O380" s="10">
        <f>N380*L380</f>
        <v/>
      </c>
      <c r="P380" s="10">
        <f>M380-O380</f>
        <v/>
      </c>
      <c r="Q380" s="11" t="inlineStr">
        <is>
          <t>No</t>
        </is>
      </c>
      <c r="R380" s="11" t="n">
        <v>0</v>
      </c>
      <c r="S380" s="10">
        <f>M380-(R380*K380)</f>
        <v/>
      </c>
      <c r="T380" s="12">
        <f>VLOOKUP(E380,Dim_Product!$A$2:$Q$61,3,FALSE)</f>
        <v/>
      </c>
      <c r="U380" s="12">
        <f>VLOOKUP(E380,Dim_Product!$A$2:$Q$61,4,FALSE)</f>
        <v/>
      </c>
      <c r="V380" s="12">
        <f>VLOOKUP(D380,Dim_Customer!$A$2:$I$121,6,FALSE)</f>
        <v/>
      </c>
      <c r="W380" s="12">
        <f>VLOOKUP(G380,Dim_Channel!$A$2:$B$5,2,FALSE)</f>
        <v/>
      </c>
      <c r="X380" s="12">
        <f>VLOOKUP(H380,Dim_Promotion!$A$2:$G$11,2,FALSE)</f>
        <v/>
      </c>
    </row>
    <row r="381">
      <c r="A381" s="4" t="inlineStr">
        <is>
          <t>SL0380</t>
        </is>
      </c>
      <c r="B381" t="inlineStr">
        <is>
          <t>O010190</t>
        </is>
      </c>
      <c r="C381" t="n">
        <v>20250723</v>
      </c>
      <c r="D381" s="4" t="inlineStr">
        <is>
          <t>C061</t>
        </is>
      </c>
      <c r="E381" s="4" t="inlineStr">
        <is>
          <t>P021</t>
        </is>
      </c>
      <c r="F381" t="inlineStr">
        <is>
          <t>M</t>
        </is>
      </c>
      <c r="G381" s="4" t="inlineStr">
        <is>
          <t>CH04</t>
        </is>
      </c>
      <c r="H381" s="4" t="inlineStr">
        <is>
          <t>PR00</t>
        </is>
      </c>
      <c r="I381" s="8" t="n">
        <v>55</v>
      </c>
      <c r="J381" s="9" t="n">
        <v>0</v>
      </c>
      <c r="K381" s="10">
        <f>I381*(1-J381)</f>
        <v/>
      </c>
      <c r="L381" s="11" t="n">
        <v>1</v>
      </c>
      <c r="M381" s="10">
        <f>K381*L381</f>
        <v/>
      </c>
      <c r="N381" s="8" t="n">
        <v>28.3</v>
      </c>
      <c r="O381" s="10">
        <f>N381*L381</f>
        <v/>
      </c>
      <c r="P381" s="10">
        <f>M381-O381</f>
        <v/>
      </c>
      <c r="Q381" s="11" t="inlineStr">
        <is>
          <t>No</t>
        </is>
      </c>
      <c r="R381" s="11" t="n">
        <v>0</v>
      </c>
      <c r="S381" s="10">
        <f>M381-(R381*K381)</f>
        <v/>
      </c>
      <c r="T381" s="12">
        <f>VLOOKUP(E381,Dim_Product!$A$2:$Q$61,3,FALSE)</f>
        <v/>
      </c>
      <c r="U381" s="12">
        <f>VLOOKUP(E381,Dim_Product!$A$2:$Q$61,4,FALSE)</f>
        <v/>
      </c>
      <c r="V381" s="12">
        <f>VLOOKUP(D381,Dim_Customer!$A$2:$I$121,6,FALSE)</f>
        <v/>
      </c>
      <c r="W381" s="12">
        <f>VLOOKUP(G381,Dim_Channel!$A$2:$B$5,2,FALSE)</f>
        <v/>
      </c>
      <c r="X381" s="12">
        <f>VLOOKUP(H381,Dim_Promotion!$A$2:$G$11,2,FALSE)</f>
        <v/>
      </c>
    </row>
    <row r="382">
      <c r="A382" s="4" t="inlineStr">
        <is>
          <t>SL0381</t>
        </is>
      </c>
      <c r="B382" t="inlineStr">
        <is>
          <t>O010191</t>
        </is>
      </c>
      <c r="C382" t="n">
        <v>20251011</v>
      </c>
      <c r="D382" s="4" t="inlineStr">
        <is>
          <t>C016</t>
        </is>
      </c>
      <c r="E382" s="4" t="inlineStr">
        <is>
          <t>P026</t>
        </is>
      </c>
      <c r="F382" t="inlineStr">
        <is>
          <t>L</t>
        </is>
      </c>
      <c r="G382" s="4" t="inlineStr">
        <is>
          <t>CH01</t>
        </is>
      </c>
      <c r="H382" s="4" t="inlineStr">
        <is>
          <t>PR00</t>
        </is>
      </c>
      <c r="I382" s="8" t="n">
        <v>91</v>
      </c>
      <c r="J382" s="9" t="n">
        <v>0</v>
      </c>
      <c r="K382" s="10">
        <f>I382*(1-J382)</f>
        <v/>
      </c>
      <c r="L382" s="11" t="n">
        <v>1</v>
      </c>
      <c r="M382" s="10">
        <f>K382*L382</f>
        <v/>
      </c>
      <c r="N382" s="8" t="n">
        <v>44.41</v>
      </c>
      <c r="O382" s="10">
        <f>N382*L382</f>
        <v/>
      </c>
      <c r="P382" s="10">
        <f>M382-O382</f>
        <v/>
      </c>
      <c r="Q382" s="11" t="inlineStr">
        <is>
          <t>No</t>
        </is>
      </c>
      <c r="R382" s="11" t="n">
        <v>0</v>
      </c>
      <c r="S382" s="10">
        <f>M382-(R382*K382)</f>
        <v/>
      </c>
      <c r="T382" s="12">
        <f>VLOOKUP(E382,Dim_Product!$A$2:$Q$61,3,FALSE)</f>
        <v/>
      </c>
      <c r="U382" s="12">
        <f>VLOOKUP(E382,Dim_Product!$A$2:$Q$61,4,FALSE)</f>
        <v/>
      </c>
      <c r="V382" s="12">
        <f>VLOOKUP(D382,Dim_Customer!$A$2:$I$121,6,FALSE)</f>
        <v/>
      </c>
      <c r="W382" s="12">
        <f>VLOOKUP(G382,Dim_Channel!$A$2:$B$5,2,FALSE)</f>
        <v/>
      </c>
      <c r="X382" s="12">
        <f>VLOOKUP(H382,Dim_Promotion!$A$2:$G$11,2,FALSE)</f>
        <v/>
      </c>
    </row>
    <row r="383">
      <c r="A383" s="4" t="inlineStr">
        <is>
          <t>SL0382</t>
        </is>
      </c>
      <c r="B383" t="inlineStr">
        <is>
          <t>O010191</t>
        </is>
      </c>
      <c r="C383" t="n">
        <v>20250810</v>
      </c>
      <c r="D383" s="4" t="inlineStr">
        <is>
          <t>C088</t>
        </is>
      </c>
      <c r="E383" s="4" t="inlineStr">
        <is>
          <t>P059</t>
        </is>
      </c>
      <c r="F383" t="inlineStr">
        <is>
          <t>L</t>
        </is>
      </c>
      <c r="G383" s="4" t="inlineStr">
        <is>
          <t>CH02</t>
        </is>
      </c>
      <c r="H383" s="4" t="inlineStr">
        <is>
          <t>PR00</t>
        </is>
      </c>
      <c r="I383" s="8" t="n">
        <v>74</v>
      </c>
      <c r="J383" s="9" t="n">
        <v>0</v>
      </c>
      <c r="K383" s="10">
        <f>I383*(1-J383)</f>
        <v/>
      </c>
      <c r="L383" s="11" t="n">
        <v>2</v>
      </c>
      <c r="M383" s="10">
        <f>K383*L383</f>
        <v/>
      </c>
      <c r="N383" s="8" t="n">
        <v>35.15</v>
      </c>
      <c r="O383" s="10">
        <f>N383*L383</f>
        <v/>
      </c>
      <c r="P383" s="10">
        <f>M383-O383</f>
        <v/>
      </c>
      <c r="Q383" s="11" t="inlineStr">
        <is>
          <t>No</t>
        </is>
      </c>
      <c r="R383" s="11" t="n">
        <v>0</v>
      </c>
      <c r="S383" s="10">
        <f>M383-(R383*K383)</f>
        <v/>
      </c>
      <c r="T383" s="12">
        <f>VLOOKUP(E383,Dim_Product!$A$2:$Q$61,3,FALSE)</f>
        <v/>
      </c>
      <c r="U383" s="12">
        <f>VLOOKUP(E383,Dim_Product!$A$2:$Q$61,4,FALSE)</f>
        <v/>
      </c>
      <c r="V383" s="12">
        <f>VLOOKUP(D383,Dim_Customer!$A$2:$I$121,6,FALSE)</f>
        <v/>
      </c>
      <c r="W383" s="12">
        <f>VLOOKUP(G383,Dim_Channel!$A$2:$B$5,2,FALSE)</f>
        <v/>
      </c>
      <c r="X383" s="12">
        <f>VLOOKUP(H383,Dim_Promotion!$A$2:$G$11,2,FALSE)</f>
        <v/>
      </c>
    </row>
    <row r="384">
      <c r="A384" s="4" t="inlineStr">
        <is>
          <t>SL0383</t>
        </is>
      </c>
      <c r="B384" t="inlineStr">
        <is>
          <t>O010192</t>
        </is>
      </c>
      <c r="C384" t="n">
        <v>20251212</v>
      </c>
      <c r="D384" s="4" t="inlineStr">
        <is>
          <t>C023</t>
        </is>
      </c>
      <c r="E384" s="4" t="inlineStr">
        <is>
          <t>P001</t>
        </is>
      </c>
      <c r="F384" t="inlineStr">
        <is>
          <t>L</t>
        </is>
      </c>
      <c r="G384" s="4" t="inlineStr">
        <is>
          <t>CH02</t>
        </is>
      </c>
      <c r="H384" s="4" t="inlineStr">
        <is>
          <t>PR00</t>
        </is>
      </c>
      <c r="I384" s="8" t="n">
        <v>38</v>
      </c>
      <c r="J384" s="9" t="n">
        <v>0</v>
      </c>
      <c r="K384" s="10">
        <f>I384*(1-J384)</f>
        <v/>
      </c>
      <c r="L384" s="11" t="n">
        <v>1</v>
      </c>
      <c r="M384" s="10">
        <f>K384*L384</f>
        <v/>
      </c>
      <c r="N384" s="8" t="n">
        <v>17.06</v>
      </c>
      <c r="O384" s="10">
        <f>N384*L384</f>
        <v/>
      </c>
      <c r="P384" s="10">
        <f>M384-O384</f>
        <v/>
      </c>
      <c r="Q384" s="11" t="inlineStr">
        <is>
          <t>No</t>
        </is>
      </c>
      <c r="R384" s="11" t="n">
        <v>0</v>
      </c>
      <c r="S384" s="10">
        <f>M384-(R384*K384)</f>
        <v/>
      </c>
      <c r="T384" s="12">
        <f>VLOOKUP(E384,Dim_Product!$A$2:$Q$61,3,FALSE)</f>
        <v/>
      </c>
      <c r="U384" s="12">
        <f>VLOOKUP(E384,Dim_Product!$A$2:$Q$61,4,FALSE)</f>
        <v/>
      </c>
      <c r="V384" s="12">
        <f>VLOOKUP(D384,Dim_Customer!$A$2:$I$121,6,FALSE)</f>
        <v/>
      </c>
      <c r="W384" s="12">
        <f>VLOOKUP(G384,Dim_Channel!$A$2:$B$5,2,FALSE)</f>
        <v/>
      </c>
      <c r="X384" s="12">
        <f>VLOOKUP(H384,Dim_Promotion!$A$2:$G$11,2,FALSE)</f>
        <v/>
      </c>
    </row>
    <row r="385">
      <c r="A385" s="4" t="inlineStr">
        <is>
          <t>SL0384</t>
        </is>
      </c>
      <c r="B385" t="inlineStr">
        <is>
          <t>O010192</t>
        </is>
      </c>
      <c r="C385" t="n">
        <v>20251224</v>
      </c>
      <c r="D385" s="4" t="inlineStr">
        <is>
          <t>C119</t>
        </is>
      </c>
      <c r="E385" s="4" t="inlineStr">
        <is>
          <t>P053</t>
        </is>
      </c>
      <c r="F385" t="inlineStr">
        <is>
          <t>S</t>
        </is>
      </c>
      <c r="G385" s="4" t="inlineStr">
        <is>
          <t>CH02</t>
        </is>
      </c>
      <c r="H385" s="4" t="inlineStr">
        <is>
          <t>PR00</t>
        </is>
      </c>
      <c r="I385" s="8" t="n">
        <v>75</v>
      </c>
      <c r="J385" s="9" t="n">
        <v>0</v>
      </c>
      <c r="K385" s="10">
        <f>I385*(1-J385)</f>
        <v/>
      </c>
      <c r="L385" s="11" t="n">
        <v>1</v>
      </c>
      <c r="M385" s="10">
        <f>K385*L385</f>
        <v/>
      </c>
      <c r="N385" s="8" t="n">
        <v>35.03</v>
      </c>
      <c r="O385" s="10">
        <f>N385*L385</f>
        <v/>
      </c>
      <c r="P385" s="10">
        <f>M385-O385</f>
        <v/>
      </c>
      <c r="Q385" s="11" t="inlineStr">
        <is>
          <t>No</t>
        </is>
      </c>
      <c r="R385" s="11" t="n">
        <v>0</v>
      </c>
      <c r="S385" s="10">
        <f>M385-(R385*K385)</f>
        <v/>
      </c>
      <c r="T385" s="12">
        <f>VLOOKUP(E385,Dim_Product!$A$2:$Q$61,3,FALSE)</f>
        <v/>
      </c>
      <c r="U385" s="12">
        <f>VLOOKUP(E385,Dim_Product!$A$2:$Q$61,4,FALSE)</f>
        <v/>
      </c>
      <c r="V385" s="12">
        <f>VLOOKUP(D385,Dim_Customer!$A$2:$I$121,6,FALSE)</f>
        <v/>
      </c>
      <c r="W385" s="12">
        <f>VLOOKUP(G385,Dim_Channel!$A$2:$B$5,2,FALSE)</f>
        <v/>
      </c>
      <c r="X385" s="12">
        <f>VLOOKUP(H385,Dim_Promotion!$A$2:$G$11,2,FALSE)</f>
        <v/>
      </c>
    </row>
    <row r="386">
      <c r="A386" s="4" t="inlineStr">
        <is>
          <t>SL0385</t>
        </is>
      </c>
      <c r="B386" t="inlineStr">
        <is>
          <t>O010193</t>
        </is>
      </c>
      <c r="C386" t="n">
        <v>20250523</v>
      </c>
      <c r="D386" s="4" t="inlineStr">
        <is>
          <t>C099</t>
        </is>
      </c>
      <c r="E386" s="4" t="inlineStr">
        <is>
          <t>P034</t>
        </is>
      </c>
      <c r="F386" t="inlineStr">
        <is>
          <t>XL</t>
        </is>
      </c>
      <c r="G386" s="4" t="inlineStr">
        <is>
          <t>CH02</t>
        </is>
      </c>
      <c r="H386" s="4" t="inlineStr">
        <is>
          <t>PR00</t>
        </is>
      </c>
      <c r="I386" s="8" t="n">
        <v>91</v>
      </c>
      <c r="J386" s="9" t="n">
        <v>0</v>
      </c>
      <c r="K386" s="10">
        <f>I386*(1-J386)</f>
        <v/>
      </c>
      <c r="L386" s="11" t="n">
        <v>1</v>
      </c>
      <c r="M386" s="10">
        <f>K386*L386</f>
        <v/>
      </c>
      <c r="N386" s="8" t="n">
        <v>45.63</v>
      </c>
      <c r="O386" s="10">
        <f>N386*L386</f>
        <v/>
      </c>
      <c r="P386" s="10">
        <f>M386-O386</f>
        <v/>
      </c>
      <c r="Q386" s="11" t="inlineStr">
        <is>
          <t>No</t>
        </is>
      </c>
      <c r="R386" s="11" t="n">
        <v>0</v>
      </c>
      <c r="S386" s="10">
        <f>M386-(R386*K386)</f>
        <v/>
      </c>
      <c r="T386" s="12">
        <f>VLOOKUP(E386,Dim_Product!$A$2:$Q$61,3,FALSE)</f>
        <v/>
      </c>
      <c r="U386" s="12">
        <f>VLOOKUP(E386,Dim_Product!$A$2:$Q$61,4,FALSE)</f>
        <v/>
      </c>
      <c r="V386" s="12">
        <f>VLOOKUP(D386,Dim_Customer!$A$2:$I$121,6,FALSE)</f>
        <v/>
      </c>
      <c r="W386" s="12">
        <f>VLOOKUP(G386,Dim_Channel!$A$2:$B$5,2,FALSE)</f>
        <v/>
      </c>
      <c r="X386" s="12">
        <f>VLOOKUP(H386,Dim_Promotion!$A$2:$G$11,2,FALSE)</f>
        <v/>
      </c>
    </row>
    <row r="387">
      <c r="A387" s="4" t="inlineStr">
        <is>
          <t>SL0386</t>
        </is>
      </c>
      <c r="B387" t="inlineStr">
        <is>
          <t>O010193</t>
        </is>
      </c>
      <c r="C387" t="n">
        <v>20250705</v>
      </c>
      <c r="D387" s="4" t="inlineStr">
        <is>
          <t>C099</t>
        </is>
      </c>
      <c r="E387" s="4" t="inlineStr">
        <is>
          <t>P026</t>
        </is>
      </c>
      <c r="F387" t="inlineStr">
        <is>
          <t>L</t>
        </is>
      </c>
      <c r="G387" s="4" t="inlineStr">
        <is>
          <t>CH01</t>
        </is>
      </c>
      <c r="H387" s="4" t="inlineStr">
        <is>
          <t>PR05</t>
        </is>
      </c>
      <c r="I387" s="8" t="n">
        <v>91</v>
      </c>
      <c r="J387" s="9" t="n">
        <v>0.2</v>
      </c>
      <c r="K387" s="10">
        <f>I387*(1-J387)</f>
        <v/>
      </c>
      <c r="L387" s="11" t="n">
        <v>1</v>
      </c>
      <c r="M387" s="10">
        <f>K387*L387</f>
        <v/>
      </c>
      <c r="N387" s="8" t="n">
        <v>44.24</v>
      </c>
      <c r="O387" s="10">
        <f>N387*L387</f>
        <v/>
      </c>
      <c r="P387" s="10">
        <f>M387-O387</f>
        <v/>
      </c>
      <c r="Q387" s="11" t="inlineStr">
        <is>
          <t>Yes</t>
        </is>
      </c>
      <c r="R387" s="11" t="n">
        <v>1</v>
      </c>
      <c r="S387" s="10">
        <f>M387-(R387*K387)</f>
        <v/>
      </c>
      <c r="T387" s="12">
        <f>VLOOKUP(E387,Dim_Product!$A$2:$Q$61,3,FALSE)</f>
        <v/>
      </c>
      <c r="U387" s="12">
        <f>VLOOKUP(E387,Dim_Product!$A$2:$Q$61,4,FALSE)</f>
        <v/>
      </c>
      <c r="V387" s="12">
        <f>VLOOKUP(D387,Dim_Customer!$A$2:$I$121,6,FALSE)</f>
        <v/>
      </c>
      <c r="W387" s="12">
        <f>VLOOKUP(G387,Dim_Channel!$A$2:$B$5,2,FALSE)</f>
        <v/>
      </c>
      <c r="X387" s="12">
        <f>VLOOKUP(H387,Dim_Promotion!$A$2:$G$11,2,FALSE)</f>
        <v/>
      </c>
    </row>
    <row r="388">
      <c r="A388" s="4" t="inlineStr">
        <is>
          <t>SL0387</t>
        </is>
      </c>
      <c r="B388" t="inlineStr">
        <is>
          <t>O010194</t>
        </is>
      </c>
      <c r="C388" t="n">
        <v>20251213</v>
      </c>
      <c r="D388" s="4" t="inlineStr">
        <is>
          <t>C078</t>
        </is>
      </c>
      <c r="E388" s="4" t="inlineStr">
        <is>
          <t>P040</t>
        </is>
      </c>
      <c r="F388" t="inlineStr">
        <is>
          <t>M</t>
        </is>
      </c>
      <c r="G388" s="4" t="inlineStr">
        <is>
          <t>CH01</t>
        </is>
      </c>
      <c r="H388" s="4" t="inlineStr">
        <is>
          <t>PR00</t>
        </is>
      </c>
      <c r="I388" s="8" t="n">
        <v>71</v>
      </c>
      <c r="J388" s="9" t="n">
        <v>0</v>
      </c>
      <c r="K388" s="10">
        <f>I388*(1-J388)</f>
        <v/>
      </c>
      <c r="L388" s="11" t="n">
        <v>2</v>
      </c>
      <c r="M388" s="10">
        <f>K388*L388</f>
        <v/>
      </c>
      <c r="N388" s="8" t="n">
        <v>33.73</v>
      </c>
      <c r="O388" s="10">
        <f>N388*L388</f>
        <v/>
      </c>
      <c r="P388" s="10">
        <f>M388-O388</f>
        <v/>
      </c>
      <c r="Q388" s="11" t="inlineStr">
        <is>
          <t>No</t>
        </is>
      </c>
      <c r="R388" s="11" t="n">
        <v>0</v>
      </c>
      <c r="S388" s="10">
        <f>M388-(R388*K388)</f>
        <v/>
      </c>
      <c r="T388" s="12">
        <f>VLOOKUP(E388,Dim_Product!$A$2:$Q$61,3,FALSE)</f>
        <v/>
      </c>
      <c r="U388" s="12">
        <f>VLOOKUP(E388,Dim_Product!$A$2:$Q$61,4,FALSE)</f>
        <v/>
      </c>
      <c r="V388" s="12">
        <f>VLOOKUP(D388,Dim_Customer!$A$2:$I$121,6,FALSE)</f>
        <v/>
      </c>
      <c r="W388" s="12">
        <f>VLOOKUP(G388,Dim_Channel!$A$2:$B$5,2,FALSE)</f>
        <v/>
      </c>
      <c r="X388" s="12">
        <f>VLOOKUP(H388,Dim_Promotion!$A$2:$G$11,2,FALSE)</f>
        <v/>
      </c>
    </row>
    <row r="389">
      <c r="A389" s="4" t="inlineStr">
        <is>
          <t>SL0388</t>
        </is>
      </c>
      <c r="B389" t="inlineStr">
        <is>
          <t>O010194</t>
        </is>
      </c>
      <c r="C389" t="n">
        <v>20250709</v>
      </c>
      <c r="D389" s="4" t="inlineStr">
        <is>
          <t>C070</t>
        </is>
      </c>
      <c r="E389" s="4" t="inlineStr">
        <is>
          <t>P002</t>
        </is>
      </c>
      <c r="F389" t="inlineStr">
        <is>
          <t>XL</t>
        </is>
      </c>
      <c r="G389" s="4" t="inlineStr">
        <is>
          <t>CH03</t>
        </is>
      </c>
      <c r="H389" s="4" t="inlineStr">
        <is>
          <t>PR00</t>
        </is>
      </c>
      <c r="I389" s="8" t="n">
        <v>41</v>
      </c>
      <c r="J389" s="9" t="n">
        <v>0</v>
      </c>
      <c r="K389" s="10">
        <f>I389*(1-J389)</f>
        <v/>
      </c>
      <c r="L389" s="11" t="n">
        <v>1</v>
      </c>
      <c r="M389" s="10">
        <f>K389*L389</f>
        <v/>
      </c>
      <c r="N389" s="8" t="n">
        <v>16.7</v>
      </c>
      <c r="O389" s="10">
        <f>N389*L389</f>
        <v/>
      </c>
      <c r="P389" s="10">
        <f>M389-O389</f>
        <v/>
      </c>
      <c r="Q389" s="11" t="inlineStr">
        <is>
          <t>No</t>
        </is>
      </c>
      <c r="R389" s="11" t="n">
        <v>0</v>
      </c>
      <c r="S389" s="10">
        <f>M389-(R389*K389)</f>
        <v/>
      </c>
      <c r="T389" s="12">
        <f>VLOOKUP(E389,Dim_Product!$A$2:$Q$61,3,FALSE)</f>
        <v/>
      </c>
      <c r="U389" s="12">
        <f>VLOOKUP(E389,Dim_Product!$A$2:$Q$61,4,FALSE)</f>
        <v/>
      </c>
      <c r="V389" s="12">
        <f>VLOOKUP(D389,Dim_Customer!$A$2:$I$121,6,FALSE)</f>
        <v/>
      </c>
      <c r="W389" s="12">
        <f>VLOOKUP(G389,Dim_Channel!$A$2:$B$5,2,FALSE)</f>
        <v/>
      </c>
      <c r="X389" s="12">
        <f>VLOOKUP(H389,Dim_Promotion!$A$2:$G$11,2,FALSE)</f>
        <v/>
      </c>
    </row>
    <row r="390">
      <c r="A390" s="4" t="inlineStr">
        <is>
          <t>SL0389</t>
        </is>
      </c>
      <c r="B390" t="inlineStr">
        <is>
          <t>O010195</t>
        </is>
      </c>
      <c r="C390" t="n">
        <v>20250925</v>
      </c>
      <c r="D390" s="4" t="inlineStr">
        <is>
          <t>C039</t>
        </is>
      </c>
      <c r="E390" s="4" t="inlineStr">
        <is>
          <t>P052</t>
        </is>
      </c>
      <c r="F390" t="inlineStr">
        <is>
          <t>M</t>
        </is>
      </c>
      <c r="G390" s="4" t="inlineStr">
        <is>
          <t>CH01</t>
        </is>
      </c>
      <c r="H390" s="4" t="inlineStr">
        <is>
          <t>PR00</t>
        </is>
      </c>
      <c r="I390" s="8" t="n">
        <v>66</v>
      </c>
      <c r="J390" s="9" t="n">
        <v>0</v>
      </c>
      <c r="K390" s="10">
        <f>I390*(1-J390)</f>
        <v/>
      </c>
      <c r="L390" s="11" t="n">
        <v>1</v>
      </c>
      <c r="M390" s="10">
        <f>K390*L390</f>
        <v/>
      </c>
      <c r="N390" s="8" t="n">
        <v>31.61</v>
      </c>
      <c r="O390" s="10">
        <f>N390*L390</f>
        <v/>
      </c>
      <c r="P390" s="10">
        <f>M390-O390</f>
        <v/>
      </c>
      <c r="Q390" s="11" t="inlineStr">
        <is>
          <t>No</t>
        </is>
      </c>
      <c r="R390" s="11" t="n">
        <v>0</v>
      </c>
      <c r="S390" s="10">
        <f>M390-(R390*K390)</f>
        <v/>
      </c>
      <c r="T390" s="12">
        <f>VLOOKUP(E390,Dim_Product!$A$2:$Q$61,3,FALSE)</f>
        <v/>
      </c>
      <c r="U390" s="12">
        <f>VLOOKUP(E390,Dim_Product!$A$2:$Q$61,4,FALSE)</f>
        <v/>
      </c>
      <c r="V390" s="12">
        <f>VLOOKUP(D390,Dim_Customer!$A$2:$I$121,6,FALSE)</f>
        <v/>
      </c>
      <c r="W390" s="12">
        <f>VLOOKUP(G390,Dim_Channel!$A$2:$B$5,2,FALSE)</f>
        <v/>
      </c>
      <c r="X390" s="12">
        <f>VLOOKUP(H390,Dim_Promotion!$A$2:$G$11,2,FALSE)</f>
        <v/>
      </c>
    </row>
    <row r="391">
      <c r="A391" s="4" t="inlineStr">
        <is>
          <t>SL0390</t>
        </is>
      </c>
      <c r="B391" t="inlineStr">
        <is>
          <t>O010195</t>
        </is>
      </c>
      <c r="C391" t="n">
        <v>20250816</v>
      </c>
      <c r="D391" s="4" t="inlineStr">
        <is>
          <t>C072</t>
        </is>
      </c>
      <c r="E391" s="4" t="inlineStr">
        <is>
          <t>P051</t>
        </is>
      </c>
      <c r="F391" t="inlineStr">
        <is>
          <t>M</t>
        </is>
      </c>
      <c r="G391" s="4" t="inlineStr">
        <is>
          <t>CH01</t>
        </is>
      </c>
      <c r="H391" s="4" t="inlineStr">
        <is>
          <t>PR00</t>
        </is>
      </c>
      <c r="I391" s="8" t="n">
        <v>70</v>
      </c>
      <c r="J391" s="9" t="n">
        <v>0</v>
      </c>
      <c r="K391" s="10">
        <f>I391*(1-J391)</f>
        <v/>
      </c>
      <c r="L391" s="11" t="n">
        <v>2</v>
      </c>
      <c r="M391" s="10">
        <f>K391*L391</f>
        <v/>
      </c>
      <c r="N391" s="8" t="n">
        <v>28.91</v>
      </c>
      <c r="O391" s="10">
        <f>N391*L391</f>
        <v/>
      </c>
      <c r="P391" s="10">
        <f>M391-O391</f>
        <v/>
      </c>
      <c r="Q391" s="11" t="inlineStr">
        <is>
          <t>Yes</t>
        </is>
      </c>
      <c r="R391" s="11" t="n">
        <v>1</v>
      </c>
      <c r="S391" s="10">
        <f>M391-(R391*K391)</f>
        <v/>
      </c>
      <c r="T391" s="12">
        <f>VLOOKUP(E391,Dim_Product!$A$2:$Q$61,3,FALSE)</f>
        <v/>
      </c>
      <c r="U391" s="12">
        <f>VLOOKUP(E391,Dim_Product!$A$2:$Q$61,4,FALSE)</f>
        <v/>
      </c>
      <c r="V391" s="12">
        <f>VLOOKUP(D391,Dim_Customer!$A$2:$I$121,6,FALSE)</f>
        <v/>
      </c>
      <c r="W391" s="12">
        <f>VLOOKUP(G391,Dim_Channel!$A$2:$B$5,2,FALSE)</f>
        <v/>
      </c>
      <c r="X391" s="12">
        <f>VLOOKUP(H391,Dim_Promotion!$A$2:$G$11,2,FALSE)</f>
        <v/>
      </c>
    </row>
    <row r="392">
      <c r="A392" s="4" t="inlineStr">
        <is>
          <t>SL0391</t>
        </is>
      </c>
      <c r="B392" t="inlineStr">
        <is>
          <t>O010196</t>
        </is>
      </c>
      <c r="C392" t="n">
        <v>20250312</v>
      </c>
      <c r="D392" s="4" t="inlineStr">
        <is>
          <t>C045</t>
        </is>
      </c>
      <c r="E392" s="4" t="inlineStr">
        <is>
          <t>P048</t>
        </is>
      </c>
      <c r="F392" t="inlineStr">
        <is>
          <t>L</t>
        </is>
      </c>
      <c r="G392" s="4" t="inlineStr">
        <is>
          <t>CH02</t>
        </is>
      </c>
      <c r="H392" s="4" t="inlineStr">
        <is>
          <t>PR00</t>
        </is>
      </c>
      <c r="I392" s="8" t="n">
        <v>69</v>
      </c>
      <c r="J392" s="9" t="n">
        <v>0</v>
      </c>
      <c r="K392" s="10">
        <f>I392*(1-J392)</f>
        <v/>
      </c>
      <c r="L392" s="11" t="n">
        <v>1</v>
      </c>
      <c r="M392" s="10">
        <f>K392*L392</f>
        <v/>
      </c>
      <c r="N392" s="8" t="n">
        <v>33.05</v>
      </c>
      <c r="O392" s="10">
        <f>N392*L392</f>
        <v/>
      </c>
      <c r="P392" s="10">
        <f>M392-O392</f>
        <v/>
      </c>
      <c r="Q392" s="11" t="inlineStr">
        <is>
          <t>No</t>
        </is>
      </c>
      <c r="R392" s="11" t="n">
        <v>0</v>
      </c>
      <c r="S392" s="10">
        <f>M392-(R392*K392)</f>
        <v/>
      </c>
      <c r="T392" s="12">
        <f>VLOOKUP(E392,Dim_Product!$A$2:$Q$61,3,FALSE)</f>
        <v/>
      </c>
      <c r="U392" s="12">
        <f>VLOOKUP(E392,Dim_Product!$A$2:$Q$61,4,FALSE)</f>
        <v/>
      </c>
      <c r="V392" s="12">
        <f>VLOOKUP(D392,Dim_Customer!$A$2:$I$121,6,FALSE)</f>
        <v/>
      </c>
      <c r="W392" s="12">
        <f>VLOOKUP(G392,Dim_Channel!$A$2:$B$5,2,FALSE)</f>
        <v/>
      </c>
      <c r="X392" s="12">
        <f>VLOOKUP(H392,Dim_Promotion!$A$2:$G$11,2,FALSE)</f>
        <v/>
      </c>
    </row>
    <row r="393">
      <c r="A393" s="4" t="inlineStr">
        <is>
          <t>SL0392</t>
        </is>
      </c>
      <c r="B393" t="inlineStr">
        <is>
          <t>O010196</t>
        </is>
      </c>
      <c r="C393" t="n">
        <v>20250908</v>
      </c>
      <c r="D393" s="4" t="inlineStr">
        <is>
          <t>C031</t>
        </is>
      </c>
      <c r="E393" s="4" t="inlineStr">
        <is>
          <t>P038</t>
        </is>
      </c>
      <c r="F393" t="inlineStr">
        <is>
          <t>L</t>
        </is>
      </c>
      <c r="G393" s="4" t="inlineStr">
        <is>
          <t>CH01</t>
        </is>
      </c>
      <c r="H393" s="4" t="inlineStr">
        <is>
          <t>PR00</t>
        </is>
      </c>
      <c r="I393" s="8" t="n">
        <v>72</v>
      </c>
      <c r="J393" s="9" t="n">
        <v>0</v>
      </c>
      <c r="K393" s="10">
        <f>I393*(1-J393)</f>
        <v/>
      </c>
      <c r="L393" s="11" t="n">
        <v>1</v>
      </c>
      <c r="M393" s="10">
        <f>K393*L393</f>
        <v/>
      </c>
      <c r="N393" s="8" t="n">
        <v>32.41</v>
      </c>
      <c r="O393" s="10">
        <f>N393*L393</f>
        <v/>
      </c>
      <c r="P393" s="10">
        <f>M393-O393</f>
        <v/>
      </c>
      <c r="Q393" s="11" t="inlineStr">
        <is>
          <t>No</t>
        </is>
      </c>
      <c r="R393" s="11" t="n">
        <v>0</v>
      </c>
      <c r="S393" s="10">
        <f>M393-(R393*K393)</f>
        <v/>
      </c>
      <c r="T393" s="12">
        <f>VLOOKUP(E393,Dim_Product!$A$2:$Q$61,3,FALSE)</f>
        <v/>
      </c>
      <c r="U393" s="12">
        <f>VLOOKUP(E393,Dim_Product!$A$2:$Q$61,4,FALSE)</f>
        <v/>
      </c>
      <c r="V393" s="12">
        <f>VLOOKUP(D393,Dim_Customer!$A$2:$I$121,6,FALSE)</f>
        <v/>
      </c>
      <c r="W393" s="12">
        <f>VLOOKUP(G393,Dim_Channel!$A$2:$B$5,2,FALSE)</f>
        <v/>
      </c>
      <c r="X393" s="12">
        <f>VLOOKUP(H393,Dim_Promotion!$A$2:$G$11,2,FALSE)</f>
        <v/>
      </c>
    </row>
    <row r="394">
      <c r="A394" s="4" t="inlineStr">
        <is>
          <t>SL0393</t>
        </is>
      </c>
      <c r="B394" t="inlineStr">
        <is>
          <t>O010197</t>
        </is>
      </c>
      <c r="C394" t="n">
        <v>20250617</v>
      </c>
      <c r="D394" s="4" t="inlineStr">
        <is>
          <t>C116</t>
        </is>
      </c>
      <c r="E394" s="4" t="inlineStr">
        <is>
          <t>P024</t>
        </is>
      </c>
      <c r="F394" t="inlineStr">
        <is>
          <t>L</t>
        </is>
      </c>
      <c r="G394" s="4" t="inlineStr">
        <is>
          <t>CH01</t>
        </is>
      </c>
      <c r="H394" s="4" t="inlineStr">
        <is>
          <t>PR00</t>
        </is>
      </c>
      <c r="I394" s="8" t="n">
        <v>60</v>
      </c>
      <c r="J394" s="9" t="n">
        <v>0</v>
      </c>
      <c r="K394" s="10">
        <f>I394*(1-J394)</f>
        <v/>
      </c>
      <c r="L394" s="11" t="n">
        <v>1</v>
      </c>
      <c r="M394" s="10">
        <f>K394*L394</f>
        <v/>
      </c>
      <c r="N394" s="8" t="n">
        <v>27.77</v>
      </c>
      <c r="O394" s="10">
        <f>N394*L394</f>
        <v/>
      </c>
      <c r="P394" s="10">
        <f>M394-O394</f>
        <v/>
      </c>
      <c r="Q394" s="11" t="inlineStr">
        <is>
          <t>No</t>
        </is>
      </c>
      <c r="R394" s="11" t="n">
        <v>0</v>
      </c>
      <c r="S394" s="10">
        <f>M394-(R394*K394)</f>
        <v/>
      </c>
      <c r="T394" s="12">
        <f>VLOOKUP(E394,Dim_Product!$A$2:$Q$61,3,FALSE)</f>
        <v/>
      </c>
      <c r="U394" s="12">
        <f>VLOOKUP(E394,Dim_Product!$A$2:$Q$61,4,FALSE)</f>
        <v/>
      </c>
      <c r="V394" s="12">
        <f>VLOOKUP(D394,Dim_Customer!$A$2:$I$121,6,FALSE)</f>
        <v/>
      </c>
      <c r="W394" s="12">
        <f>VLOOKUP(G394,Dim_Channel!$A$2:$B$5,2,FALSE)</f>
        <v/>
      </c>
      <c r="X394" s="12">
        <f>VLOOKUP(H394,Dim_Promotion!$A$2:$G$11,2,FALSE)</f>
        <v/>
      </c>
    </row>
    <row r="395">
      <c r="A395" s="4" t="inlineStr">
        <is>
          <t>SL0394</t>
        </is>
      </c>
      <c r="B395" t="inlineStr">
        <is>
          <t>O010197</t>
        </is>
      </c>
      <c r="C395" t="n">
        <v>20250911</v>
      </c>
      <c r="D395" s="4" t="inlineStr">
        <is>
          <t>C064</t>
        </is>
      </c>
      <c r="E395" s="4" t="inlineStr">
        <is>
          <t>P029</t>
        </is>
      </c>
      <c r="F395" t="inlineStr">
        <is>
          <t>S</t>
        </is>
      </c>
      <c r="G395" s="4" t="inlineStr">
        <is>
          <t>CH02</t>
        </is>
      </c>
      <c r="H395" s="4" t="inlineStr">
        <is>
          <t>PR00</t>
        </is>
      </c>
      <c r="I395" s="8" t="n">
        <v>111</v>
      </c>
      <c r="J395" s="9" t="n">
        <v>0</v>
      </c>
      <c r="K395" s="10">
        <f>I395*(1-J395)</f>
        <v/>
      </c>
      <c r="L395" s="11" t="n">
        <v>1</v>
      </c>
      <c r="M395" s="10">
        <f>K395*L395</f>
        <v/>
      </c>
      <c r="N395" s="8" t="n">
        <v>57.02</v>
      </c>
      <c r="O395" s="10">
        <f>N395*L395</f>
        <v/>
      </c>
      <c r="P395" s="10">
        <f>M395-O395</f>
        <v/>
      </c>
      <c r="Q395" s="11" t="inlineStr">
        <is>
          <t>No</t>
        </is>
      </c>
      <c r="R395" s="11" t="n">
        <v>0</v>
      </c>
      <c r="S395" s="10">
        <f>M395-(R395*K395)</f>
        <v/>
      </c>
      <c r="T395" s="12">
        <f>VLOOKUP(E395,Dim_Product!$A$2:$Q$61,3,FALSE)</f>
        <v/>
      </c>
      <c r="U395" s="12">
        <f>VLOOKUP(E395,Dim_Product!$A$2:$Q$61,4,FALSE)</f>
        <v/>
      </c>
      <c r="V395" s="12">
        <f>VLOOKUP(D395,Dim_Customer!$A$2:$I$121,6,FALSE)</f>
        <v/>
      </c>
      <c r="W395" s="12">
        <f>VLOOKUP(G395,Dim_Channel!$A$2:$B$5,2,FALSE)</f>
        <v/>
      </c>
      <c r="X395" s="12">
        <f>VLOOKUP(H395,Dim_Promotion!$A$2:$G$11,2,FALSE)</f>
        <v/>
      </c>
    </row>
    <row r="396">
      <c r="A396" s="4" t="inlineStr">
        <is>
          <t>SL0395</t>
        </is>
      </c>
      <c r="B396" t="inlineStr">
        <is>
          <t>O010198</t>
        </is>
      </c>
      <c r="C396" t="n">
        <v>20250228</v>
      </c>
      <c r="D396" s="4" t="inlineStr">
        <is>
          <t>C069</t>
        </is>
      </c>
      <c r="E396" s="4" t="inlineStr">
        <is>
          <t>P012</t>
        </is>
      </c>
      <c r="F396" t="inlineStr">
        <is>
          <t>M</t>
        </is>
      </c>
      <c r="G396" s="4" t="inlineStr">
        <is>
          <t>CH02</t>
        </is>
      </c>
      <c r="H396" s="4" t="inlineStr">
        <is>
          <t>PR00</t>
        </is>
      </c>
      <c r="I396" s="8" t="n">
        <v>46</v>
      </c>
      <c r="J396" s="9" t="n">
        <v>0</v>
      </c>
      <c r="K396" s="10">
        <f>I396*(1-J396)</f>
        <v/>
      </c>
      <c r="L396" s="11" t="n">
        <v>2</v>
      </c>
      <c r="M396" s="10">
        <f>K396*L396</f>
        <v/>
      </c>
      <c r="N396" s="8" t="n">
        <v>21.68</v>
      </c>
      <c r="O396" s="10">
        <f>N396*L396</f>
        <v/>
      </c>
      <c r="P396" s="10">
        <f>M396-O396</f>
        <v/>
      </c>
      <c r="Q396" s="11" t="inlineStr">
        <is>
          <t>No</t>
        </is>
      </c>
      <c r="R396" s="11" t="n">
        <v>0</v>
      </c>
      <c r="S396" s="10">
        <f>M396-(R396*K396)</f>
        <v/>
      </c>
      <c r="T396" s="12">
        <f>VLOOKUP(E396,Dim_Product!$A$2:$Q$61,3,FALSE)</f>
        <v/>
      </c>
      <c r="U396" s="12">
        <f>VLOOKUP(E396,Dim_Product!$A$2:$Q$61,4,FALSE)</f>
        <v/>
      </c>
      <c r="V396" s="12">
        <f>VLOOKUP(D396,Dim_Customer!$A$2:$I$121,6,FALSE)</f>
        <v/>
      </c>
      <c r="W396" s="12">
        <f>VLOOKUP(G396,Dim_Channel!$A$2:$B$5,2,FALSE)</f>
        <v/>
      </c>
      <c r="X396" s="12">
        <f>VLOOKUP(H396,Dim_Promotion!$A$2:$G$11,2,FALSE)</f>
        <v/>
      </c>
    </row>
    <row r="397">
      <c r="A397" s="4" t="inlineStr">
        <is>
          <t>SL0396</t>
        </is>
      </c>
      <c r="B397" t="inlineStr">
        <is>
          <t>O010198</t>
        </is>
      </c>
      <c r="C397" t="n">
        <v>20250211</v>
      </c>
      <c r="D397" s="4" t="inlineStr">
        <is>
          <t>C035</t>
        </is>
      </c>
      <c r="E397" s="4" t="inlineStr">
        <is>
          <t>P027</t>
        </is>
      </c>
      <c r="F397" t="inlineStr">
        <is>
          <t>L</t>
        </is>
      </c>
      <c r="G397" s="4" t="inlineStr">
        <is>
          <t>CH02</t>
        </is>
      </c>
      <c r="H397" s="4" t="inlineStr">
        <is>
          <t>PR00</t>
        </is>
      </c>
      <c r="I397" s="8" t="n">
        <v>93</v>
      </c>
      <c r="J397" s="9" t="n">
        <v>0</v>
      </c>
      <c r="K397" s="10">
        <f>I397*(1-J397)</f>
        <v/>
      </c>
      <c r="L397" s="11" t="n">
        <v>1</v>
      </c>
      <c r="M397" s="10">
        <f>K397*L397</f>
        <v/>
      </c>
      <c r="N397" s="8" t="n">
        <v>45.56</v>
      </c>
      <c r="O397" s="10">
        <f>N397*L397</f>
        <v/>
      </c>
      <c r="P397" s="10">
        <f>M397-O397</f>
        <v/>
      </c>
      <c r="Q397" s="11" t="inlineStr">
        <is>
          <t>No</t>
        </is>
      </c>
      <c r="R397" s="11" t="n">
        <v>0</v>
      </c>
      <c r="S397" s="10">
        <f>M397-(R397*K397)</f>
        <v/>
      </c>
      <c r="T397" s="12">
        <f>VLOOKUP(E397,Dim_Product!$A$2:$Q$61,3,FALSE)</f>
        <v/>
      </c>
      <c r="U397" s="12">
        <f>VLOOKUP(E397,Dim_Product!$A$2:$Q$61,4,FALSE)</f>
        <v/>
      </c>
      <c r="V397" s="12">
        <f>VLOOKUP(D397,Dim_Customer!$A$2:$I$121,6,FALSE)</f>
        <v/>
      </c>
      <c r="W397" s="12">
        <f>VLOOKUP(G397,Dim_Channel!$A$2:$B$5,2,FALSE)</f>
        <v/>
      </c>
      <c r="X397" s="12">
        <f>VLOOKUP(H397,Dim_Promotion!$A$2:$G$11,2,FALSE)</f>
        <v/>
      </c>
    </row>
    <row r="398">
      <c r="A398" s="4" t="inlineStr">
        <is>
          <t>SL0397</t>
        </is>
      </c>
      <c r="B398" t="inlineStr">
        <is>
          <t>O010199</t>
        </is>
      </c>
      <c r="C398" t="n">
        <v>20250620</v>
      </c>
      <c r="D398" s="4" t="inlineStr">
        <is>
          <t>C066</t>
        </is>
      </c>
      <c r="E398" s="4" t="inlineStr">
        <is>
          <t>P010</t>
        </is>
      </c>
      <c r="F398" t="inlineStr">
        <is>
          <t>L</t>
        </is>
      </c>
      <c r="G398" s="4" t="inlineStr">
        <is>
          <t>CH04</t>
        </is>
      </c>
      <c r="H398" s="4" t="inlineStr">
        <is>
          <t>PR04</t>
        </is>
      </c>
      <c r="I398" s="8" t="n">
        <v>48</v>
      </c>
      <c r="J398" s="9" t="n">
        <v>0.12</v>
      </c>
      <c r="K398" s="10">
        <f>I398*(1-J398)</f>
        <v/>
      </c>
      <c r="L398" s="11" t="n">
        <v>1</v>
      </c>
      <c r="M398" s="10">
        <f>K398*L398</f>
        <v/>
      </c>
      <c r="N398" s="8" t="n">
        <v>20.59</v>
      </c>
      <c r="O398" s="10">
        <f>N398*L398</f>
        <v/>
      </c>
      <c r="P398" s="10">
        <f>M398-O398</f>
        <v/>
      </c>
      <c r="Q398" s="11" t="inlineStr">
        <is>
          <t>No</t>
        </is>
      </c>
      <c r="R398" s="11" t="n">
        <v>0</v>
      </c>
      <c r="S398" s="10">
        <f>M398-(R398*K398)</f>
        <v/>
      </c>
      <c r="T398" s="12">
        <f>VLOOKUP(E398,Dim_Product!$A$2:$Q$61,3,FALSE)</f>
        <v/>
      </c>
      <c r="U398" s="12">
        <f>VLOOKUP(E398,Dim_Product!$A$2:$Q$61,4,FALSE)</f>
        <v/>
      </c>
      <c r="V398" s="12">
        <f>VLOOKUP(D398,Dim_Customer!$A$2:$I$121,6,FALSE)</f>
        <v/>
      </c>
      <c r="W398" s="12">
        <f>VLOOKUP(G398,Dim_Channel!$A$2:$B$5,2,FALSE)</f>
        <v/>
      </c>
      <c r="X398" s="12">
        <f>VLOOKUP(H398,Dim_Promotion!$A$2:$G$11,2,FALSE)</f>
        <v/>
      </c>
    </row>
    <row r="399">
      <c r="A399" s="4" t="inlineStr">
        <is>
          <t>SL0398</t>
        </is>
      </c>
      <c r="B399" t="inlineStr">
        <is>
          <t>O010199</t>
        </is>
      </c>
      <c r="C399" t="n">
        <v>20250421</v>
      </c>
      <c r="D399" s="4" t="inlineStr">
        <is>
          <t>C069</t>
        </is>
      </c>
      <c r="E399" s="4" t="inlineStr">
        <is>
          <t>P048</t>
        </is>
      </c>
      <c r="F399" t="inlineStr">
        <is>
          <t>L</t>
        </is>
      </c>
      <c r="G399" s="4" t="inlineStr">
        <is>
          <t>CH04</t>
        </is>
      </c>
      <c r="H399" s="4" t="inlineStr">
        <is>
          <t>PR00</t>
        </is>
      </c>
      <c r="I399" s="8" t="n">
        <v>68</v>
      </c>
      <c r="J399" s="9" t="n">
        <v>0.05</v>
      </c>
      <c r="K399" s="10">
        <f>I399*(1-J399)</f>
        <v/>
      </c>
      <c r="L399" s="11" t="n">
        <v>1</v>
      </c>
      <c r="M399" s="10">
        <f>K399*L399</f>
        <v/>
      </c>
      <c r="N399" s="8" t="n">
        <v>32.82</v>
      </c>
      <c r="O399" s="10">
        <f>N399*L399</f>
        <v/>
      </c>
      <c r="P399" s="10">
        <f>M399-O399</f>
        <v/>
      </c>
      <c r="Q399" s="11" t="inlineStr">
        <is>
          <t>No</t>
        </is>
      </c>
      <c r="R399" s="11" t="n">
        <v>0</v>
      </c>
      <c r="S399" s="10">
        <f>M399-(R399*K399)</f>
        <v/>
      </c>
      <c r="T399" s="12">
        <f>VLOOKUP(E399,Dim_Product!$A$2:$Q$61,3,FALSE)</f>
        <v/>
      </c>
      <c r="U399" s="12">
        <f>VLOOKUP(E399,Dim_Product!$A$2:$Q$61,4,FALSE)</f>
        <v/>
      </c>
      <c r="V399" s="12">
        <f>VLOOKUP(D399,Dim_Customer!$A$2:$I$121,6,FALSE)</f>
        <v/>
      </c>
      <c r="W399" s="12">
        <f>VLOOKUP(G399,Dim_Channel!$A$2:$B$5,2,FALSE)</f>
        <v/>
      </c>
      <c r="X399" s="12">
        <f>VLOOKUP(H399,Dim_Promotion!$A$2:$G$11,2,FALSE)</f>
        <v/>
      </c>
    </row>
    <row r="400">
      <c r="A400" s="4" t="inlineStr">
        <is>
          <t>SL0399</t>
        </is>
      </c>
      <c r="B400" t="inlineStr">
        <is>
          <t>O010200</t>
        </is>
      </c>
      <c r="C400" t="n">
        <v>20251028</v>
      </c>
      <c r="D400" s="4" t="inlineStr">
        <is>
          <t>C056</t>
        </is>
      </c>
      <c r="E400" s="4" t="inlineStr">
        <is>
          <t>P054</t>
        </is>
      </c>
      <c r="F400" t="inlineStr">
        <is>
          <t>L</t>
        </is>
      </c>
      <c r="G400" s="4" t="inlineStr">
        <is>
          <t>CH02</t>
        </is>
      </c>
      <c r="H400" s="4" t="inlineStr">
        <is>
          <t>PR00</t>
        </is>
      </c>
      <c r="I400" s="8" t="n">
        <v>74</v>
      </c>
      <c r="J400" s="9" t="n">
        <v>0</v>
      </c>
      <c r="K400" s="10">
        <f>I400*(1-J400)</f>
        <v/>
      </c>
      <c r="L400" s="11" t="n">
        <v>1</v>
      </c>
      <c r="M400" s="10">
        <f>K400*L400</f>
        <v/>
      </c>
      <c r="N400" s="8" t="n">
        <v>31.5</v>
      </c>
      <c r="O400" s="10">
        <f>N400*L400</f>
        <v/>
      </c>
      <c r="P400" s="10">
        <f>M400-O400</f>
        <v/>
      </c>
      <c r="Q400" s="11" t="inlineStr">
        <is>
          <t>No</t>
        </is>
      </c>
      <c r="R400" s="11" t="n">
        <v>0</v>
      </c>
      <c r="S400" s="10">
        <f>M400-(R400*K400)</f>
        <v/>
      </c>
      <c r="T400" s="12">
        <f>VLOOKUP(E400,Dim_Product!$A$2:$Q$61,3,FALSE)</f>
        <v/>
      </c>
      <c r="U400" s="12">
        <f>VLOOKUP(E400,Dim_Product!$A$2:$Q$61,4,FALSE)</f>
        <v/>
      </c>
      <c r="V400" s="12">
        <f>VLOOKUP(D400,Dim_Customer!$A$2:$I$121,6,FALSE)</f>
        <v/>
      </c>
      <c r="W400" s="12">
        <f>VLOOKUP(G400,Dim_Channel!$A$2:$B$5,2,FALSE)</f>
        <v/>
      </c>
      <c r="X400" s="12">
        <f>VLOOKUP(H400,Dim_Promotion!$A$2:$G$11,2,FALSE)</f>
        <v/>
      </c>
    </row>
    <row r="401">
      <c r="A401" s="4" t="inlineStr">
        <is>
          <t>SL0400</t>
        </is>
      </c>
      <c r="B401" t="inlineStr">
        <is>
          <t>O010200</t>
        </is>
      </c>
      <c r="C401" t="n">
        <v>20250207</v>
      </c>
      <c r="D401" s="4" t="inlineStr">
        <is>
          <t>C004</t>
        </is>
      </c>
      <c r="E401" s="4" t="inlineStr">
        <is>
          <t>P026</t>
        </is>
      </c>
      <c r="F401" t="inlineStr">
        <is>
          <t>M</t>
        </is>
      </c>
      <c r="G401" s="4" t="inlineStr">
        <is>
          <t>CH03</t>
        </is>
      </c>
      <c r="H401" s="4" t="inlineStr">
        <is>
          <t>PR00</t>
        </is>
      </c>
      <c r="I401" s="8" t="n">
        <v>93</v>
      </c>
      <c r="J401" s="9" t="n">
        <v>0</v>
      </c>
      <c r="K401" s="10">
        <f>I401*(1-J401)</f>
        <v/>
      </c>
      <c r="L401" s="11" t="n">
        <v>1</v>
      </c>
      <c r="M401" s="10">
        <f>K401*L401</f>
        <v/>
      </c>
      <c r="N401" s="8" t="n">
        <v>44.18</v>
      </c>
      <c r="O401" s="10">
        <f>N401*L401</f>
        <v/>
      </c>
      <c r="P401" s="10">
        <f>M401-O401</f>
        <v/>
      </c>
      <c r="Q401" s="11" t="inlineStr">
        <is>
          <t>No</t>
        </is>
      </c>
      <c r="R401" s="11" t="n">
        <v>0</v>
      </c>
      <c r="S401" s="10">
        <f>M401-(R401*K401)</f>
        <v/>
      </c>
      <c r="T401" s="12">
        <f>VLOOKUP(E401,Dim_Product!$A$2:$Q$61,3,FALSE)</f>
        <v/>
      </c>
      <c r="U401" s="12">
        <f>VLOOKUP(E401,Dim_Product!$A$2:$Q$61,4,FALSE)</f>
        <v/>
      </c>
      <c r="V401" s="12">
        <f>VLOOKUP(D401,Dim_Customer!$A$2:$I$121,6,FALSE)</f>
        <v/>
      </c>
      <c r="W401" s="12">
        <f>VLOOKUP(G401,Dim_Channel!$A$2:$B$5,2,FALSE)</f>
        <v/>
      </c>
      <c r="X401" s="12">
        <f>VLOOKUP(H401,Dim_Promotion!$A$2:$G$11,2,FALSE)</f>
        <v/>
      </c>
    </row>
    <row r="402">
      <c r="A402" s="4" t="inlineStr">
        <is>
          <t>SL0401</t>
        </is>
      </c>
      <c r="B402" t="inlineStr">
        <is>
          <t>O010201</t>
        </is>
      </c>
      <c r="C402" t="n">
        <v>20250518</v>
      </c>
      <c r="D402" s="4" t="inlineStr">
        <is>
          <t>C023</t>
        </is>
      </c>
      <c r="E402" s="4" t="inlineStr">
        <is>
          <t>P038</t>
        </is>
      </c>
      <c r="F402" t="inlineStr">
        <is>
          <t>M</t>
        </is>
      </c>
      <c r="G402" s="4" t="inlineStr">
        <is>
          <t>CH03</t>
        </is>
      </c>
      <c r="H402" s="4" t="inlineStr">
        <is>
          <t>PR00</t>
        </is>
      </c>
      <c r="I402" s="8" t="n">
        <v>72</v>
      </c>
      <c r="J402" s="9" t="n">
        <v>0</v>
      </c>
      <c r="K402" s="10">
        <f>I402*(1-J402)</f>
        <v/>
      </c>
      <c r="L402" s="11" t="n">
        <v>1</v>
      </c>
      <c r="M402" s="10">
        <f>K402*L402</f>
        <v/>
      </c>
      <c r="N402" s="8" t="n">
        <v>32.93</v>
      </c>
      <c r="O402" s="10">
        <f>N402*L402</f>
        <v/>
      </c>
      <c r="P402" s="10">
        <f>M402-O402</f>
        <v/>
      </c>
      <c r="Q402" s="11" t="inlineStr">
        <is>
          <t>No</t>
        </is>
      </c>
      <c r="R402" s="11" t="n">
        <v>0</v>
      </c>
      <c r="S402" s="10">
        <f>M402-(R402*K402)</f>
        <v/>
      </c>
      <c r="T402" s="12">
        <f>VLOOKUP(E402,Dim_Product!$A$2:$Q$61,3,FALSE)</f>
        <v/>
      </c>
      <c r="U402" s="12">
        <f>VLOOKUP(E402,Dim_Product!$A$2:$Q$61,4,FALSE)</f>
        <v/>
      </c>
      <c r="V402" s="12">
        <f>VLOOKUP(D402,Dim_Customer!$A$2:$I$121,6,FALSE)</f>
        <v/>
      </c>
      <c r="W402" s="12">
        <f>VLOOKUP(G402,Dim_Channel!$A$2:$B$5,2,FALSE)</f>
        <v/>
      </c>
      <c r="X402" s="12">
        <f>VLOOKUP(H402,Dim_Promotion!$A$2:$G$11,2,FALSE)</f>
        <v/>
      </c>
    </row>
    <row r="403">
      <c r="A403" s="4" t="inlineStr">
        <is>
          <t>SL0402</t>
        </is>
      </c>
      <c r="B403" t="inlineStr">
        <is>
          <t>O010201</t>
        </is>
      </c>
      <c r="C403" t="n">
        <v>20251229</v>
      </c>
      <c r="D403" s="4" t="inlineStr">
        <is>
          <t>C047</t>
        </is>
      </c>
      <c r="E403" s="4" t="inlineStr">
        <is>
          <t>P050</t>
        </is>
      </c>
      <c r="F403" t="inlineStr">
        <is>
          <t>L</t>
        </is>
      </c>
      <c r="G403" s="4" t="inlineStr">
        <is>
          <t>CH04</t>
        </is>
      </c>
      <c r="H403" s="4" t="inlineStr">
        <is>
          <t>PR00</t>
        </is>
      </c>
      <c r="I403" s="8" t="n">
        <v>68</v>
      </c>
      <c r="J403" s="9" t="n">
        <v>0</v>
      </c>
      <c r="K403" s="10">
        <f>I403*(1-J403)</f>
        <v/>
      </c>
      <c r="L403" s="11" t="n">
        <v>3</v>
      </c>
      <c r="M403" s="10">
        <f>K403*L403</f>
        <v/>
      </c>
      <c r="N403" s="8" t="n">
        <v>31.08</v>
      </c>
      <c r="O403" s="10">
        <f>N403*L403</f>
        <v/>
      </c>
      <c r="P403" s="10">
        <f>M403-O403</f>
        <v/>
      </c>
      <c r="Q403" s="11" t="inlineStr">
        <is>
          <t>No</t>
        </is>
      </c>
      <c r="R403" s="11" t="n">
        <v>0</v>
      </c>
      <c r="S403" s="10">
        <f>M403-(R403*K403)</f>
        <v/>
      </c>
      <c r="T403" s="12">
        <f>VLOOKUP(E403,Dim_Product!$A$2:$Q$61,3,FALSE)</f>
        <v/>
      </c>
      <c r="U403" s="12">
        <f>VLOOKUP(E403,Dim_Product!$A$2:$Q$61,4,FALSE)</f>
        <v/>
      </c>
      <c r="V403" s="12">
        <f>VLOOKUP(D403,Dim_Customer!$A$2:$I$121,6,FALSE)</f>
        <v/>
      </c>
      <c r="W403" s="12">
        <f>VLOOKUP(G403,Dim_Channel!$A$2:$B$5,2,FALSE)</f>
        <v/>
      </c>
      <c r="X403" s="12">
        <f>VLOOKUP(H403,Dim_Promotion!$A$2:$G$11,2,FALSE)</f>
        <v/>
      </c>
    </row>
    <row r="404">
      <c r="A404" s="4" t="inlineStr">
        <is>
          <t>SL0403</t>
        </is>
      </c>
      <c r="B404" t="inlineStr">
        <is>
          <t>O010202</t>
        </is>
      </c>
      <c r="C404" t="n">
        <v>20251108</v>
      </c>
      <c r="D404" s="4" t="inlineStr">
        <is>
          <t>C077</t>
        </is>
      </c>
      <c r="E404" s="4" t="inlineStr">
        <is>
          <t>P019</t>
        </is>
      </c>
      <c r="F404" t="inlineStr">
        <is>
          <t>S</t>
        </is>
      </c>
      <c r="G404" s="4" t="inlineStr">
        <is>
          <t>CH03</t>
        </is>
      </c>
      <c r="H404" s="4" t="inlineStr">
        <is>
          <t>PR00</t>
        </is>
      </c>
      <c r="I404" s="8" t="n">
        <v>65</v>
      </c>
      <c r="J404" s="9" t="n">
        <v>0</v>
      </c>
      <c r="K404" s="10">
        <f>I404*(1-J404)</f>
        <v/>
      </c>
      <c r="L404" s="11" t="n">
        <v>1</v>
      </c>
      <c r="M404" s="10">
        <f>K404*L404</f>
        <v/>
      </c>
      <c r="N404" s="8" t="n">
        <v>31.57</v>
      </c>
      <c r="O404" s="10">
        <f>N404*L404</f>
        <v/>
      </c>
      <c r="P404" s="10">
        <f>M404-O404</f>
        <v/>
      </c>
      <c r="Q404" s="11" t="inlineStr">
        <is>
          <t>No</t>
        </is>
      </c>
      <c r="R404" s="11" t="n">
        <v>0</v>
      </c>
      <c r="S404" s="10">
        <f>M404-(R404*K404)</f>
        <v/>
      </c>
      <c r="T404" s="12">
        <f>VLOOKUP(E404,Dim_Product!$A$2:$Q$61,3,FALSE)</f>
        <v/>
      </c>
      <c r="U404" s="12">
        <f>VLOOKUP(E404,Dim_Product!$A$2:$Q$61,4,FALSE)</f>
        <v/>
      </c>
      <c r="V404" s="12">
        <f>VLOOKUP(D404,Dim_Customer!$A$2:$I$121,6,FALSE)</f>
        <v/>
      </c>
      <c r="W404" s="12">
        <f>VLOOKUP(G404,Dim_Channel!$A$2:$B$5,2,FALSE)</f>
        <v/>
      </c>
      <c r="X404" s="12">
        <f>VLOOKUP(H404,Dim_Promotion!$A$2:$G$11,2,FALSE)</f>
        <v/>
      </c>
    </row>
    <row r="405">
      <c r="A405" s="4" t="inlineStr">
        <is>
          <t>SL0404</t>
        </is>
      </c>
      <c r="B405" t="inlineStr">
        <is>
          <t>O010202</t>
        </is>
      </c>
      <c r="C405" t="n">
        <v>20250414</v>
      </c>
      <c r="D405" s="4" t="inlineStr">
        <is>
          <t>C033</t>
        </is>
      </c>
      <c r="E405" s="4" t="inlineStr">
        <is>
          <t>P051</t>
        </is>
      </c>
      <c r="F405" t="inlineStr">
        <is>
          <t>L</t>
        </is>
      </c>
      <c r="G405" s="4" t="inlineStr">
        <is>
          <t>CH03</t>
        </is>
      </c>
      <c r="H405" s="4" t="inlineStr">
        <is>
          <t>PR00</t>
        </is>
      </c>
      <c r="I405" s="8" t="n">
        <v>72</v>
      </c>
      <c r="J405" s="9" t="n">
        <v>0</v>
      </c>
      <c r="K405" s="10">
        <f>I405*(1-J405)</f>
        <v/>
      </c>
      <c r="L405" s="11" t="n">
        <v>1</v>
      </c>
      <c r="M405" s="10">
        <f>K405*L405</f>
        <v/>
      </c>
      <c r="N405" s="8" t="n">
        <v>29.61</v>
      </c>
      <c r="O405" s="10">
        <f>N405*L405</f>
        <v/>
      </c>
      <c r="P405" s="10">
        <f>M405-O405</f>
        <v/>
      </c>
      <c r="Q405" s="11" t="inlineStr">
        <is>
          <t>No</t>
        </is>
      </c>
      <c r="R405" s="11" t="n">
        <v>0</v>
      </c>
      <c r="S405" s="10">
        <f>M405-(R405*K405)</f>
        <v/>
      </c>
      <c r="T405" s="12">
        <f>VLOOKUP(E405,Dim_Product!$A$2:$Q$61,3,FALSE)</f>
        <v/>
      </c>
      <c r="U405" s="12">
        <f>VLOOKUP(E405,Dim_Product!$A$2:$Q$61,4,FALSE)</f>
        <v/>
      </c>
      <c r="V405" s="12">
        <f>VLOOKUP(D405,Dim_Customer!$A$2:$I$121,6,FALSE)</f>
        <v/>
      </c>
      <c r="W405" s="12">
        <f>VLOOKUP(G405,Dim_Channel!$A$2:$B$5,2,FALSE)</f>
        <v/>
      </c>
      <c r="X405" s="12">
        <f>VLOOKUP(H405,Dim_Promotion!$A$2:$G$11,2,FALSE)</f>
        <v/>
      </c>
    </row>
    <row r="406">
      <c r="A406" s="4" t="inlineStr">
        <is>
          <t>SL0405</t>
        </is>
      </c>
      <c r="B406" t="inlineStr">
        <is>
          <t>O010203</t>
        </is>
      </c>
      <c r="C406" t="n">
        <v>20251130</v>
      </c>
      <c r="D406" s="4" t="inlineStr">
        <is>
          <t>C019</t>
        </is>
      </c>
      <c r="E406" s="4" t="inlineStr">
        <is>
          <t>P020</t>
        </is>
      </c>
      <c r="F406" t="inlineStr">
        <is>
          <t>L</t>
        </is>
      </c>
      <c r="G406" s="4" t="inlineStr">
        <is>
          <t>CH01</t>
        </is>
      </c>
      <c r="H406" s="4" t="inlineStr">
        <is>
          <t>PR08</t>
        </is>
      </c>
      <c r="I406" s="8" t="n">
        <v>66</v>
      </c>
      <c r="J406" s="9" t="n">
        <v>0.25</v>
      </c>
      <c r="K406" s="10">
        <f>I406*(1-J406)</f>
        <v/>
      </c>
      <c r="L406" s="11" t="n">
        <v>1</v>
      </c>
      <c r="M406" s="10">
        <f>K406*L406</f>
        <v/>
      </c>
      <c r="N406" s="8" t="n">
        <v>30.73</v>
      </c>
      <c r="O406" s="10">
        <f>N406*L406</f>
        <v/>
      </c>
      <c r="P406" s="10">
        <f>M406-O406</f>
        <v/>
      </c>
      <c r="Q406" s="11" t="inlineStr">
        <is>
          <t>No</t>
        </is>
      </c>
      <c r="R406" s="11" t="n">
        <v>0</v>
      </c>
      <c r="S406" s="10">
        <f>M406-(R406*K406)</f>
        <v/>
      </c>
      <c r="T406" s="12">
        <f>VLOOKUP(E406,Dim_Product!$A$2:$Q$61,3,FALSE)</f>
        <v/>
      </c>
      <c r="U406" s="12">
        <f>VLOOKUP(E406,Dim_Product!$A$2:$Q$61,4,FALSE)</f>
        <v/>
      </c>
      <c r="V406" s="12">
        <f>VLOOKUP(D406,Dim_Customer!$A$2:$I$121,6,FALSE)</f>
        <v/>
      </c>
      <c r="W406" s="12">
        <f>VLOOKUP(G406,Dim_Channel!$A$2:$B$5,2,FALSE)</f>
        <v/>
      </c>
      <c r="X406" s="12">
        <f>VLOOKUP(H406,Dim_Promotion!$A$2:$G$11,2,FALSE)</f>
        <v/>
      </c>
    </row>
    <row r="407">
      <c r="A407" s="4" t="inlineStr">
        <is>
          <t>SL0406</t>
        </is>
      </c>
      <c r="B407" t="inlineStr">
        <is>
          <t>O010203</t>
        </is>
      </c>
      <c r="C407" t="n">
        <v>20250130</v>
      </c>
      <c r="D407" s="4" t="inlineStr">
        <is>
          <t>C101</t>
        </is>
      </c>
      <c r="E407" s="4" t="inlineStr">
        <is>
          <t>P039</t>
        </is>
      </c>
      <c r="F407" t="inlineStr">
        <is>
          <t>S</t>
        </is>
      </c>
      <c r="G407" s="4" t="inlineStr">
        <is>
          <t>CH02</t>
        </is>
      </c>
      <c r="H407" s="4" t="inlineStr">
        <is>
          <t>PR00</t>
        </is>
      </c>
      <c r="I407" s="8" t="n">
        <v>72</v>
      </c>
      <c r="J407" s="9" t="n">
        <v>0</v>
      </c>
      <c r="K407" s="10">
        <f>I407*(1-J407)</f>
        <v/>
      </c>
      <c r="L407" s="11" t="n">
        <v>1</v>
      </c>
      <c r="M407" s="10">
        <f>K407*L407</f>
        <v/>
      </c>
      <c r="N407" s="8" t="n">
        <v>35.79</v>
      </c>
      <c r="O407" s="10">
        <f>N407*L407</f>
        <v/>
      </c>
      <c r="P407" s="10">
        <f>M407-O407</f>
        <v/>
      </c>
      <c r="Q407" s="11" t="inlineStr">
        <is>
          <t>No</t>
        </is>
      </c>
      <c r="R407" s="11" t="n">
        <v>0</v>
      </c>
      <c r="S407" s="10">
        <f>M407-(R407*K407)</f>
        <v/>
      </c>
      <c r="T407" s="12">
        <f>VLOOKUP(E407,Dim_Product!$A$2:$Q$61,3,FALSE)</f>
        <v/>
      </c>
      <c r="U407" s="12">
        <f>VLOOKUP(E407,Dim_Product!$A$2:$Q$61,4,FALSE)</f>
        <v/>
      </c>
      <c r="V407" s="12">
        <f>VLOOKUP(D407,Dim_Customer!$A$2:$I$121,6,FALSE)</f>
        <v/>
      </c>
      <c r="W407" s="12">
        <f>VLOOKUP(G407,Dim_Channel!$A$2:$B$5,2,FALSE)</f>
        <v/>
      </c>
      <c r="X407" s="12">
        <f>VLOOKUP(H407,Dim_Promotion!$A$2:$G$11,2,FALSE)</f>
        <v/>
      </c>
    </row>
    <row r="408">
      <c r="A408" s="4" t="inlineStr">
        <is>
          <t>SL0407</t>
        </is>
      </c>
      <c r="B408" t="inlineStr">
        <is>
          <t>O010204</t>
        </is>
      </c>
      <c r="C408" t="n">
        <v>20250113</v>
      </c>
      <c r="D408" s="4" t="inlineStr">
        <is>
          <t>C119</t>
        </is>
      </c>
      <c r="E408" s="4" t="inlineStr">
        <is>
          <t>P059</t>
        </is>
      </c>
      <c r="F408" t="inlineStr">
        <is>
          <t>S</t>
        </is>
      </c>
      <c r="G408" s="4" t="inlineStr">
        <is>
          <t>CH04</t>
        </is>
      </c>
      <c r="H408" s="4" t="inlineStr">
        <is>
          <t>PR00</t>
        </is>
      </c>
      <c r="I408" s="8" t="n">
        <v>74</v>
      </c>
      <c r="J408" s="9" t="n">
        <v>0</v>
      </c>
      <c r="K408" s="10">
        <f>I408*(1-J408)</f>
        <v/>
      </c>
      <c r="L408" s="11" t="n">
        <v>2</v>
      </c>
      <c r="M408" s="10">
        <f>K408*L408</f>
        <v/>
      </c>
      <c r="N408" s="8" t="n">
        <v>34.61</v>
      </c>
      <c r="O408" s="10">
        <f>N408*L408</f>
        <v/>
      </c>
      <c r="P408" s="10">
        <f>M408-O408</f>
        <v/>
      </c>
      <c r="Q408" s="11" t="inlineStr">
        <is>
          <t>No</t>
        </is>
      </c>
      <c r="R408" s="11" t="n">
        <v>0</v>
      </c>
      <c r="S408" s="10">
        <f>M408-(R408*K408)</f>
        <v/>
      </c>
      <c r="T408" s="12">
        <f>VLOOKUP(E408,Dim_Product!$A$2:$Q$61,3,FALSE)</f>
        <v/>
      </c>
      <c r="U408" s="12">
        <f>VLOOKUP(E408,Dim_Product!$A$2:$Q$61,4,FALSE)</f>
        <v/>
      </c>
      <c r="V408" s="12">
        <f>VLOOKUP(D408,Dim_Customer!$A$2:$I$121,6,FALSE)</f>
        <v/>
      </c>
      <c r="W408" s="12">
        <f>VLOOKUP(G408,Dim_Channel!$A$2:$B$5,2,FALSE)</f>
        <v/>
      </c>
      <c r="X408" s="12">
        <f>VLOOKUP(H408,Dim_Promotion!$A$2:$G$11,2,FALSE)</f>
        <v/>
      </c>
    </row>
    <row r="409">
      <c r="A409" s="4" t="inlineStr">
        <is>
          <t>SL0408</t>
        </is>
      </c>
      <c r="B409" t="inlineStr">
        <is>
          <t>O010204</t>
        </is>
      </c>
      <c r="C409" t="n">
        <v>20251014</v>
      </c>
      <c r="D409" s="4" t="inlineStr">
        <is>
          <t>C102</t>
        </is>
      </c>
      <c r="E409" s="4" t="inlineStr">
        <is>
          <t>P027</t>
        </is>
      </c>
      <c r="F409" t="inlineStr">
        <is>
          <t>XL</t>
        </is>
      </c>
      <c r="G409" s="4" t="inlineStr">
        <is>
          <t>CH03</t>
        </is>
      </c>
      <c r="H409" s="4" t="inlineStr">
        <is>
          <t>PR07</t>
        </is>
      </c>
      <c r="I409" s="8" t="n">
        <v>91</v>
      </c>
      <c r="J409" s="9" t="n">
        <v>0.12</v>
      </c>
      <c r="K409" s="10">
        <f>I409*(1-J409)</f>
        <v/>
      </c>
      <c r="L409" s="11" t="n">
        <v>2</v>
      </c>
      <c r="M409" s="10">
        <f>K409*L409</f>
        <v/>
      </c>
      <c r="N409" s="8" t="n">
        <v>45.99</v>
      </c>
      <c r="O409" s="10">
        <f>N409*L409</f>
        <v/>
      </c>
      <c r="P409" s="10">
        <f>M409-O409</f>
        <v/>
      </c>
      <c r="Q409" s="11" t="inlineStr">
        <is>
          <t>No</t>
        </is>
      </c>
      <c r="R409" s="11" t="n">
        <v>0</v>
      </c>
      <c r="S409" s="10">
        <f>M409-(R409*K409)</f>
        <v/>
      </c>
      <c r="T409" s="12">
        <f>VLOOKUP(E409,Dim_Product!$A$2:$Q$61,3,FALSE)</f>
        <v/>
      </c>
      <c r="U409" s="12">
        <f>VLOOKUP(E409,Dim_Product!$A$2:$Q$61,4,FALSE)</f>
        <v/>
      </c>
      <c r="V409" s="12">
        <f>VLOOKUP(D409,Dim_Customer!$A$2:$I$121,6,FALSE)</f>
        <v/>
      </c>
      <c r="W409" s="12">
        <f>VLOOKUP(G409,Dim_Channel!$A$2:$B$5,2,FALSE)</f>
        <v/>
      </c>
      <c r="X409" s="12">
        <f>VLOOKUP(H409,Dim_Promotion!$A$2:$G$11,2,FALSE)</f>
        <v/>
      </c>
    </row>
    <row r="410">
      <c r="A410" s="4" t="inlineStr">
        <is>
          <t>SL0409</t>
        </is>
      </c>
      <c r="B410" t="inlineStr">
        <is>
          <t>O010205</t>
        </is>
      </c>
      <c r="C410" t="n">
        <v>20250520</v>
      </c>
      <c r="D410" s="4" t="inlineStr">
        <is>
          <t>C094</t>
        </is>
      </c>
      <c r="E410" s="4" t="inlineStr">
        <is>
          <t>P048</t>
        </is>
      </c>
      <c r="F410" t="inlineStr">
        <is>
          <t>M</t>
        </is>
      </c>
      <c r="G410" s="4" t="inlineStr">
        <is>
          <t>CH01</t>
        </is>
      </c>
      <c r="H410" s="4" t="inlineStr">
        <is>
          <t>PR00</t>
        </is>
      </c>
      <c r="I410" s="8" t="n">
        <v>69</v>
      </c>
      <c r="J410" s="9" t="n">
        <v>0</v>
      </c>
      <c r="K410" s="10">
        <f>I410*(1-J410)</f>
        <v/>
      </c>
      <c r="L410" s="11" t="n">
        <v>2</v>
      </c>
      <c r="M410" s="10">
        <f>K410*L410</f>
        <v/>
      </c>
      <c r="N410" s="8" t="n">
        <v>32.61</v>
      </c>
      <c r="O410" s="10">
        <f>N410*L410</f>
        <v/>
      </c>
      <c r="P410" s="10">
        <f>M410-O410</f>
        <v/>
      </c>
      <c r="Q410" s="11" t="inlineStr">
        <is>
          <t>No</t>
        </is>
      </c>
      <c r="R410" s="11" t="n">
        <v>0</v>
      </c>
      <c r="S410" s="10">
        <f>M410-(R410*K410)</f>
        <v/>
      </c>
      <c r="T410" s="12">
        <f>VLOOKUP(E410,Dim_Product!$A$2:$Q$61,3,FALSE)</f>
        <v/>
      </c>
      <c r="U410" s="12">
        <f>VLOOKUP(E410,Dim_Product!$A$2:$Q$61,4,FALSE)</f>
        <v/>
      </c>
      <c r="V410" s="12">
        <f>VLOOKUP(D410,Dim_Customer!$A$2:$I$121,6,FALSE)</f>
        <v/>
      </c>
      <c r="W410" s="12">
        <f>VLOOKUP(G410,Dim_Channel!$A$2:$B$5,2,FALSE)</f>
        <v/>
      </c>
      <c r="X410" s="12">
        <f>VLOOKUP(H410,Dim_Promotion!$A$2:$G$11,2,FALSE)</f>
        <v/>
      </c>
    </row>
    <row r="411">
      <c r="A411" s="4" t="inlineStr">
        <is>
          <t>SL0410</t>
        </is>
      </c>
      <c r="B411" t="inlineStr">
        <is>
          <t>O010205</t>
        </is>
      </c>
      <c r="C411" t="n">
        <v>20250911</v>
      </c>
      <c r="D411" s="4" t="inlineStr">
        <is>
          <t>C074</t>
        </is>
      </c>
      <c r="E411" s="4" t="inlineStr">
        <is>
          <t>P005</t>
        </is>
      </c>
      <c r="F411" t="inlineStr">
        <is>
          <t>L</t>
        </is>
      </c>
      <c r="G411" s="4" t="inlineStr">
        <is>
          <t>CH04</t>
        </is>
      </c>
      <c r="H411" s="4" t="inlineStr">
        <is>
          <t>PR00</t>
        </is>
      </c>
      <c r="I411" s="8" t="n">
        <v>54</v>
      </c>
      <c r="J411" s="9" t="n">
        <v>0</v>
      </c>
      <c r="K411" s="10">
        <f>I411*(1-J411)</f>
        <v/>
      </c>
      <c r="L411" s="11" t="n">
        <v>1</v>
      </c>
      <c r="M411" s="10">
        <f>K411*L411</f>
        <v/>
      </c>
      <c r="N411" s="8" t="n">
        <v>20.55</v>
      </c>
      <c r="O411" s="10">
        <f>N411*L411</f>
        <v/>
      </c>
      <c r="P411" s="10">
        <f>M411-O411</f>
        <v/>
      </c>
      <c r="Q411" s="11" t="inlineStr">
        <is>
          <t>No</t>
        </is>
      </c>
      <c r="R411" s="11" t="n">
        <v>0</v>
      </c>
      <c r="S411" s="10">
        <f>M411-(R411*K411)</f>
        <v/>
      </c>
      <c r="T411" s="12">
        <f>VLOOKUP(E411,Dim_Product!$A$2:$Q$61,3,FALSE)</f>
        <v/>
      </c>
      <c r="U411" s="12">
        <f>VLOOKUP(E411,Dim_Product!$A$2:$Q$61,4,FALSE)</f>
        <v/>
      </c>
      <c r="V411" s="12">
        <f>VLOOKUP(D411,Dim_Customer!$A$2:$I$121,6,FALSE)</f>
        <v/>
      </c>
      <c r="W411" s="12">
        <f>VLOOKUP(G411,Dim_Channel!$A$2:$B$5,2,FALSE)</f>
        <v/>
      </c>
      <c r="X411" s="12">
        <f>VLOOKUP(H411,Dim_Promotion!$A$2:$G$11,2,FALSE)</f>
        <v/>
      </c>
    </row>
    <row r="412">
      <c r="A412" s="4" t="inlineStr">
        <is>
          <t>SL0411</t>
        </is>
      </c>
      <c r="B412" t="inlineStr">
        <is>
          <t>O010206</t>
        </is>
      </c>
      <c r="C412" t="n">
        <v>20250724</v>
      </c>
      <c r="D412" s="4" t="inlineStr">
        <is>
          <t>C018</t>
        </is>
      </c>
      <c r="E412" s="4" t="inlineStr">
        <is>
          <t>P014</t>
        </is>
      </c>
      <c r="F412" t="inlineStr">
        <is>
          <t>XL</t>
        </is>
      </c>
      <c r="G412" s="4" t="inlineStr">
        <is>
          <t>CH03</t>
        </is>
      </c>
      <c r="H412" s="4" t="inlineStr">
        <is>
          <t>PR00</t>
        </is>
      </c>
      <c r="I412" s="8" t="n">
        <v>61</v>
      </c>
      <c r="J412" s="9" t="n">
        <v>0</v>
      </c>
      <c r="K412" s="10">
        <f>I412*(1-J412)</f>
        <v/>
      </c>
      <c r="L412" s="11" t="n">
        <v>1</v>
      </c>
      <c r="M412" s="10">
        <f>K412*L412</f>
        <v/>
      </c>
      <c r="N412" s="8" t="n">
        <v>27.1</v>
      </c>
      <c r="O412" s="10">
        <f>N412*L412</f>
        <v/>
      </c>
      <c r="P412" s="10">
        <f>M412-O412</f>
        <v/>
      </c>
      <c r="Q412" s="11" t="inlineStr">
        <is>
          <t>No</t>
        </is>
      </c>
      <c r="R412" s="11" t="n">
        <v>0</v>
      </c>
      <c r="S412" s="10">
        <f>M412-(R412*K412)</f>
        <v/>
      </c>
      <c r="T412" s="12">
        <f>VLOOKUP(E412,Dim_Product!$A$2:$Q$61,3,FALSE)</f>
        <v/>
      </c>
      <c r="U412" s="12">
        <f>VLOOKUP(E412,Dim_Product!$A$2:$Q$61,4,FALSE)</f>
        <v/>
      </c>
      <c r="V412" s="12">
        <f>VLOOKUP(D412,Dim_Customer!$A$2:$I$121,6,FALSE)</f>
        <v/>
      </c>
      <c r="W412" s="12">
        <f>VLOOKUP(G412,Dim_Channel!$A$2:$B$5,2,FALSE)</f>
        <v/>
      </c>
      <c r="X412" s="12">
        <f>VLOOKUP(H412,Dim_Promotion!$A$2:$G$11,2,FALSE)</f>
        <v/>
      </c>
    </row>
    <row r="413">
      <c r="A413" s="4" t="inlineStr">
        <is>
          <t>SL0412</t>
        </is>
      </c>
      <c r="B413" t="inlineStr">
        <is>
          <t>O010206</t>
        </is>
      </c>
      <c r="C413" t="n">
        <v>20251119</v>
      </c>
      <c r="D413" s="4" t="inlineStr">
        <is>
          <t>C029</t>
        </is>
      </c>
      <c r="E413" s="4" t="inlineStr">
        <is>
          <t>P002</t>
        </is>
      </c>
      <c r="F413" t="inlineStr">
        <is>
          <t>L</t>
        </is>
      </c>
      <c r="G413" s="4" t="inlineStr">
        <is>
          <t>CH02</t>
        </is>
      </c>
      <c r="H413" s="4" t="inlineStr">
        <is>
          <t>PR00</t>
        </is>
      </c>
      <c r="I413" s="8" t="n">
        <v>38</v>
      </c>
      <c r="J413" s="9" t="n">
        <v>0</v>
      </c>
      <c r="K413" s="10">
        <f>I413*(1-J413)</f>
        <v/>
      </c>
      <c r="L413" s="11" t="n">
        <v>3</v>
      </c>
      <c r="M413" s="10">
        <f>K413*L413</f>
        <v/>
      </c>
      <c r="N413" s="8" t="n">
        <v>16.86</v>
      </c>
      <c r="O413" s="10">
        <f>N413*L413</f>
        <v/>
      </c>
      <c r="P413" s="10">
        <f>M413-O413</f>
        <v/>
      </c>
      <c r="Q413" s="11" t="inlineStr">
        <is>
          <t>No</t>
        </is>
      </c>
      <c r="R413" s="11" t="n">
        <v>0</v>
      </c>
      <c r="S413" s="10">
        <f>M413-(R413*K413)</f>
        <v/>
      </c>
      <c r="T413" s="12">
        <f>VLOOKUP(E413,Dim_Product!$A$2:$Q$61,3,FALSE)</f>
        <v/>
      </c>
      <c r="U413" s="12">
        <f>VLOOKUP(E413,Dim_Product!$A$2:$Q$61,4,FALSE)</f>
        <v/>
      </c>
      <c r="V413" s="12">
        <f>VLOOKUP(D413,Dim_Customer!$A$2:$I$121,6,FALSE)</f>
        <v/>
      </c>
      <c r="W413" s="12">
        <f>VLOOKUP(G413,Dim_Channel!$A$2:$B$5,2,FALSE)</f>
        <v/>
      </c>
      <c r="X413" s="12">
        <f>VLOOKUP(H413,Dim_Promotion!$A$2:$G$11,2,FALSE)</f>
        <v/>
      </c>
    </row>
    <row r="414">
      <c r="A414" s="4" t="inlineStr">
        <is>
          <t>SL0413</t>
        </is>
      </c>
      <c r="B414" t="inlineStr">
        <is>
          <t>O010207</t>
        </is>
      </c>
      <c r="C414" t="n">
        <v>20250313</v>
      </c>
      <c r="D414" s="4" t="inlineStr">
        <is>
          <t>C080</t>
        </is>
      </c>
      <c r="E414" s="4" t="inlineStr">
        <is>
          <t>P024</t>
        </is>
      </c>
      <c r="F414" t="inlineStr">
        <is>
          <t>S</t>
        </is>
      </c>
      <c r="G414" s="4" t="inlineStr">
        <is>
          <t>CH01</t>
        </is>
      </c>
      <c r="H414" s="4" t="inlineStr">
        <is>
          <t>PR00</t>
        </is>
      </c>
      <c r="I414" s="8" t="n">
        <v>62</v>
      </c>
      <c r="J414" s="9" t="n">
        <v>0</v>
      </c>
      <c r="K414" s="10">
        <f>I414*(1-J414)</f>
        <v/>
      </c>
      <c r="L414" s="11" t="n">
        <v>1</v>
      </c>
      <c r="M414" s="10">
        <f>K414*L414</f>
        <v/>
      </c>
      <c r="N414" s="8" t="n">
        <v>27.95</v>
      </c>
      <c r="O414" s="10">
        <f>N414*L414</f>
        <v/>
      </c>
      <c r="P414" s="10">
        <f>M414-O414</f>
        <v/>
      </c>
      <c r="Q414" s="11" t="inlineStr">
        <is>
          <t>No</t>
        </is>
      </c>
      <c r="R414" s="11" t="n">
        <v>0</v>
      </c>
      <c r="S414" s="10">
        <f>M414-(R414*K414)</f>
        <v/>
      </c>
      <c r="T414" s="12">
        <f>VLOOKUP(E414,Dim_Product!$A$2:$Q$61,3,FALSE)</f>
        <v/>
      </c>
      <c r="U414" s="12">
        <f>VLOOKUP(E414,Dim_Product!$A$2:$Q$61,4,FALSE)</f>
        <v/>
      </c>
      <c r="V414" s="12">
        <f>VLOOKUP(D414,Dim_Customer!$A$2:$I$121,6,FALSE)</f>
        <v/>
      </c>
      <c r="W414" s="12">
        <f>VLOOKUP(G414,Dim_Channel!$A$2:$B$5,2,FALSE)</f>
        <v/>
      </c>
      <c r="X414" s="12">
        <f>VLOOKUP(H414,Dim_Promotion!$A$2:$G$11,2,FALSE)</f>
        <v/>
      </c>
    </row>
    <row r="415">
      <c r="A415" s="4" t="inlineStr">
        <is>
          <t>SL0414</t>
        </is>
      </c>
      <c r="B415" t="inlineStr">
        <is>
          <t>O010207</t>
        </is>
      </c>
      <c r="C415" t="n">
        <v>20250904</v>
      </c>
      <c r="D415" s="4" t="inlineStr">
        <is>
          <t>C029</t>
        </is>
      </c>
      <c r="E415" s="4" t="inlineStr">
        <is>
          <t>P042</t>
        </is>
      </c>
      <c r="F415" t="inlineStr">
        <is>
          <t>L</t>
        </is>
      </c>
      <c r="G415" s="4" t="inlineStr">
        <is>
          <t>CH03</t>
        </is>
      </c>
      <c r="H415" s="4" t="inlineStr">
        <is>
          <t>PR00</t>
        </is>
      </c>
      <c r="I415" s="8" t="n">
        <v>77</v>
      </c>
      <c r="J415" s="9" t="n">
        <v>0</v>
      </c>
      <c r="K415" s="10">
        <f>I415*(1-J415)</f>
        <v/>
      </c>
      <c r="L415" s="11" t="n">
        <v>1</v>
      </c>
      <c r="M415" s="10">
        <f>K415*L415</f>
        <v/>
      </c>
      <c r="N415" s="8" t="n">
        <v>37.22</v>
      </c>
      <c r="O415" s="10">
        <f>N415*L415</f>
        <v/>
      </c>
      <c r="P415" s="10">
        <f>M415-O415</f>
        <v/>
      </c>
      <c r="Q415" s="11" t="inlineStr">
        <is>
          <t>No</t>
        </is>
      </c>
      <c r="R415" s="11" t="n">
        <v>0</v>
      </c>
      <c r="S415" s="10">
        <f>M415-(R415*K415)</f>
        <v/>
      </c>
      <c r="T415" s="12">
        <f>VLOOKUP(E415,Dim_Product!$A$2:$Q$61,3,FALSE)</f>
        <v/>
      </c>
      <c r="U415" s="12">
        <f>VLOOKUP(E415,Dim_Product!$A$2:$Q$61,4,FALSE)</f>
        <v/>
      </c>
      <c r="V415" s="12">
        <f>VLOOKUP(D415,Dim_Customer!$A$2:$I$121,6,FALSE)</f>
        <v/>
      </c>
      <c r="W415" s="12">
        <f>VLOOKUP(G415,Dim_Channel!$A$2:$B$5,2,FALSE)</f>
        <v/>
      </c>
      <c r="X415" s="12">
        <f>VLOOKUP(H415,Dim_Promotion!$A$2:$G$11,2,FALSE)</f>
        <v/>
      </c>
    </row>
    <row r="416">
      <c r="A416" s="4" t="inlineStr">
        <is>
          <t>SL0415</t>
        </is>
      </c>
      <c r="B416" t="inlineStr">
        <is>
          <t>O010208</t>
        </is>
      </c>
      <c r="C416" t="n">
        <v>20250427</v>
      </c>
      <c r="D416" s="4" t="inlineStr">
        <is>
          <t>C037</t>
        </is>
      </c>
      <c r="E416" s="4" t="inlineStr">
        <is>
          <t>P043</t>
        </is>
      </c>
      <c r="F416" t="inlineStr">
        <is>
          <t>S</t>
        </is>
      </c>
      <c r="G416" s="4" t="inlineStr">
        <is>
          <t>CH03</t>
        </is>
      </c>
      <c r="H416" s="4" t="inlineStr">
        <is>
          <t>PR00</t>
        </is>
      </c>
      <c r="I416" s="8" t="n">
        <v>80</v>
      </c>
      <c r="J416" s="9" t="n">
        <v>0</v>
      </c>
      <c r="K416" s="10">
        <f>I416*(1-J416)</f>
        <v/>
      </c>
      <c r="L416" s="11" t="n">
        <v>1</v>
      </c>
      <c r="M416" s="10">
        <f>K416*L416</f>
        <v/>
      </c>
      <c r="N416" s="8" t="n">
        <v>38.27</v>
      </c>
      <c r="O416" s="10">
        <f>N416*L416</f>
        <v/>
      </c>
      <c r="P416" s="10">
        <f>M416-O416</f>
        <v/>
      </c>
      <c r="Q416" s="11" t="inlineStr">
        <is>
          <t>No</t>
        </is>
      </c>
      <c r="R416" s="11" t="n">
        <v>0</v>
      </c>
      <c r="S416" s="10">
        <f>M416-(R416*K416)</f>
        <v/>
      </c>
      <c r="T416" s="12">
        <f>VLOOKUP(E416,Dim_Product!$A$2:$Q$61,3,FALSE)</f>
        <v/>
      </c>
      <c r="U416" s="12">
        <f>VLOOKUP(E416,Dim_Product!$A$2:$Q$61,4,FALSE)</f>
        <v/>
      </c>
      <c r="V416" s="12">
        <f>VLOOKUP(D416,Dim_Customer!$A$2:$I$121,6,FALSE)</f>
        <v/>
      </c>
      <c r="W416" s="12">
        <f>VLOOKUP(G416,Dim_Channel!$A$2:$B$5,2,FALSE)</f>
        <v/>
      </c>
      <c r="X416" s="12">
        <f>VLOOKUP(H416,Dim_Promotion!$A$2:$G$11,2,FALSE)</f>
        <v/>
      </c>
    </row>
    <row r="417">
      <c r="A417" s="4" t="inlineStr">
        <is>
          <t>SL0416</t>
        </is>
      </c>
      <c r="B417" t="inlineStr">
        <is>
          <t>O010208</t>
        </is>
      </c>
      <c r="C417" t="n">
        <v>20250821</v>
      </c>
      <c r="D417" s="4" t="inlineStr">
        <is>
          <t>C059</t>
        </is>
      </c>
      <c r="E417" s="4" t="inlineStr">
        <is>
          <t>P005</t>
        </is>
      </c>
      <c r="F417" t="inlineStr">
        <is>
          <t>XL</t>
        </is>
      </c>
      <c r="G417" s="4" t="inlineStr">
        <is>
          <t>CH04</t>
        </is>
      </c>
      <c r="H417" s="4" t="inlineStr">
        <is>
          <t>PR00</t>
        </is>
      </c>
      <c r="I417" s="8" t="n">
        <v>53</v>
      </c>
      <c r="J417" s="9" t="n">
        <v>0</v>
      </c>
      <c r="K417" s="10">
        <f>I417*(1-J417)</f>
        <v/>
      </c>
      <c r="L417" s="11" t="n">
        <v>1</v>
      </c>
      <c r="M417" s="10">
        <f>K417*L417</f>
        <v/>
      </c>
      <c r="N417" s="8" t="n">
        <v>20.48</v>
      </c>
      <c r="O417" s="10">
        <f>N417*L417</f>
        <v/>
      </c>
      <c r="P417" s="10">
        <f>M417-O417</f>
        <v/>
      </c>
      <c r="Q417" s="11" t="inlineStr">
        <is>
          <t>No</t>
        </is>
      </c>
      <c r="R417" s="11" t="n">
        <v>0</v>
      </c>
      <c r="S417" s="10">
        <f>M417-(R417*K417)</f>
        <v/>
      </c>
      <c r="T417" s="12">
        <f>VLOOKUP(E417,Dim_Product!$A$2:$Q$61,3,FALSE)</f>
        <v/>
      </c>
      <c r="U417" s="12">
        <f>VLOOKUP(E417,Dim_Product!$A$2:$Q$61,4,FALSE)</f>
        <v/>
      </c>
      <c r="V417" s="12">
        <f>VLOOKUP(D417,Dim_Customer!$A$2:$I$121,6,FALSE)</f>
        <v/>
      </c>
      <c r="W417" s="12">
        <f>VLOOKUP(G417,Dim_Channel!$A$2:$B$5,2,FALSE)</f>
        <v/>
      </c>
      <c r="X417" s="12">
        <f>VLOOKUP(H417,Dim_Promotion!$A$2:$G$11,2,FALSE)</f>
        <v/>
      </c>
    </row>
    <row r="418">
      <c r="A418" s="4" t="inlineStr">
        <is>
          <t>SL0417</t>
        </is>
      </c>
      <c r="B418" t="inlineStr">
        <is>
          <t>O010209</t>
        </is>
      </c>
      <c r="C418" t="n">
        <v>20250202</v>
      </c>
      <c r="D418" s="4" t="inlineStr">
        <is>
          <t>C007</t>
        </is>
      </c>
      <c r="E418" s="4" t="inlineStr">
        <is>
          <t>P019</t>
        </is>
      </c>
      <c r="F418" t="inlineStr">
        <is>
          <t>L</t>
        </is>
      </c>
      <c r="G418" s="4" t="inlineStr">
        <is>
          <t>CH04</t>
        </is>
      </c>
      <c r="H418" s="4" t="inlineStr">
        <is>
          <t>PR00</t>
        </is>
      </c>
      <c r="I418" s="8" t="n">
        <v>66</v>
      </c>
      <c r="J418" s="9" t="n">
        <v>0</v>
      </c>
      <c r="K418" s="10">
        <f>I418*(1-J418)</f>
        <v/>
      </c>
      <c r="L418" s="11" t="n">
        <v>1</v>
      </c>
      <c r="M418" s="10">
        <f>K418*L418</f>
        <v/>
      </c>
      <c r="N418" s="8" t="n">
        <v>32.91</v>
      </c>
      <c r="O418" s="10">
        <f>N418*L418</f>
        <v/>
      </c>
      <c r="P418" s="10">
        <f>M418-O418</f>
        <v/>
      </c>
      <c r="Q418" s="11" t="inlineStr">
        <is>
          <t>Yes</t>
        </is>
      </c>
      <c r="R418" s="11" t="n">
        <v>1</v>
      </c>
      <c r="S418" s="10">
        <f>M418-(R418*K418)</f>
        <v/>
      </c>
      <c r="T418" s="12">
        <f>VLOOKUP(E418,Dim_Product!$A$2:$Q$61,3,FALSE)</f>
        <v/>
      </c>
      <c r="U418" s="12">
        <f>VLOOKUP(E418,Dim_Product!$A$2:$Q$61,4,FALSE)</f>
        <v/>
      </c>
      <c r="V418" s="12">
        <f>VLOOKUP(D418,Dim_Customer!$A$2:$I$121,6,FALSE)</f>
        <v/>
      </c>
      <c r="W418" s="12">
        <f>VLOOKUP(G418,Dim_Channel!$A$2:$B$5,2,FALSE)</f>
        <v/>
      </c>
      <c r="X418" s="12">
        <f>VLOOKUP(H418,Dim_Promotion!$A$2:$G$11,2,FALSE)</f>
        <v/>
      </c>
    </row>
    <row r="419">
      <c r="A419" s="4" t="inlineStr">
        <is>
          <t>SL0418</t>
        </is>
      </c>
      <c r="B419" t="inlineStr">
        <is>
          <t>O010209</t>
        </is>
      </c>
      <c r="C419" t="n">
        <v>20250513</v>
      </c>
      <c r="D419" s="4" t="inlineStr">
        <is>
          <t>C086</t>
        </is>
      </c>
      <c r="E419" s="4" t="inlineStr">
        <is>
          <t>P014</t>
        </is>
      </c>
      <c r="F419" t="inlineStr">
        <is>
          <t>XL</t>
        </is>
      </c>
      <c r="G419" s="4" t="inlineStr">
        <is>
          <t>CH04</t>
        </is>
      </c>
      <c r="H419" s="4" t="inlineStr">
        <is>
          <t>PR00</t>
        </is>
      </c>
      <c r="I419" s="8" t="n">
        <v>62</v>
      </c>
      <c r="J419" s="9" t="n">
        <v>0</v>
      </c>
      <c r="K419" s="10">
        <f>I419*(1-J419)</f>
        <v/>
      </c>
      <c r="L419" s="11" t="n">
        <v>1</v>
      </c>
      <c r="M419" s="10">
        <f>K419*L419</f>
        <v/>
      </c>
      <c r="N419" s="8" t="n">
        <v>26.88</v>
      </c>
      <c r="O419" s="10">
        <f>N419*L419</f>
        <v/>
      </c>
      <c r="P419" s="10">
        <f>M419-O419</f>
        <v/>
      </c>
      <c r="Q419" s="11" t="inlineStr">
        <is>
          <t>No</t>
        </is>
      </c>
      <c r="R419" s="11" t="n">
        <v>0</v>
      </c>
      <c r="S419" s="10">
        <f>M419-(R419*K419)</f>
        <v/>
      </c>
      <c r="T419" s="12">
        <f>VLOOKUP(E419,Dim_Product!$A$2:$Q$61,3,FALSE)</f>
        <v/>
      </c>
      <c r="U419" s="12">
        <f>VLOOKUP(E419,Dim_Product!$A$2:$Q$61,4,FALSE)</f>
        <v/>
      </c>
      <c r="V419" s="12">
        <f>VLOOKUP(D419,Dim_Customer!$A$2:$I$121,6,FALSE)</f>
        <v/>
      </c>
      <c r="W419" s="12">
        <f>VLOOKUP(G419,Dim_Channel!$A$2:$B$5,2,FALSE)</f>
        <v/>
      </c>
      <c r="X419" s="12">
        <f>VLOOKUP(H419,Dim_Promotion!$A$2:$G$11,2,FALSE)</f>
        <v/>
      </c>
    </row>
    <row r="420">
      <c r="A420" s="4" t="inlineStr">
        <is>
          <t>SL0419</t>
        </is>
      </c>
      <c r="B420" t="inlineStr">
        <is>
          <t>O010210</t>
        </is>
      </c>
      <c r="C420" t="n">
        <v>20251216</v>
      </c>
      <c r="D420" s="4" t="inlineStr">
        <is>
          <t>C112</t>
        </is>
      </c>
      <c r="E420" s="4" t="inlineStr">
        <is>
          <t>P058</t>
        </is>
      </c>
      <c r="F420" t="inlineStr">
        <is>
          <t>M</t>
        </is>
      </c>
      <c r="G420" s="4" t="inlineStr">
        <is>
          <t>CH01</t>
        </is>
      </c>
      <c r="H420" s="4" t="inlineStr">
        <is>
          <t>PR09</t>
        </is>
      </c>
      <c r="I420" s="8" t="n">
        <v>74</v>
      </c>
      <c r="J420" s="9" t="n">
        <v>0.15</v>
      </c>
      <c r="K420" s="10">
        <f>I420*(1-J420)</f>
        <v/>
      </c>
      <c r="L420" s="11" t="n">
        <v>1</v>
      </c>
      <c r="M420" s="10">
        <f>K420*L420</f>
        <v/>
      </c>
      <c r="N420" s="8" t="n">
        <v>36.92</v>
      </c>
      <c r="O420" s="10">
        <f>N420*L420</f>
        <v/>
      </c>
      <c r="P420" s="10">
        <f>M420-O420</f>
        <v/>
      </c>
      <c r="Q420" s="11" t="inlineStr">
        <is>
          <t>No</t>
        </is>
      </c>
      <c r="R420" s="11" t="n">
        <v>0</v>
      </c>
      <c r="S420" s="10">
        <f>M420-(R420*K420)</f>
        <v/>
      </c>
      <c r="T420" s="12">
        <f>VLOOKUP(E420,Dim_Product!$A$2:$Q$61,3,FALSE)</f>
        <v/>
      </c>
      <c r="U420" s="12">
        <f>VLOOKUP(E420,Dim_Product!$A$2:$Q$61,4,FALSE)</f>
        <v/>
      </c>
      <c r="V420" s="12">
        <f>VLOOKUP(D420,Dim_Customer!$A$2:$I$121,6,FALSE)</f>
        <v/>
      </c>
      <c r="W420" s="12">
        <f>VLOOKUP(G420,Dim_Channel!$A$2:$B$5,2,FALSE)</f>
        <v/>
      </c>
      <c r="X420" s="12">
        <f>VLOOKUP(H420,Dim_Promotion!$A$2:$G$11,2,FALSE)</f>
        <v/>
      </c>
    </row>
    <row r="421">
      <c r="A421" s="4" t="inlineStr">
        <is>
          <t>SL0420</t>
        </is>
      </c>
      <c r="B421" t="inlineStr">
        <is>
          <t>O010210</t>
        </is>
      </c>
      <c r="C421" t="n">
        <v>20250529</v>
      </c>
      <c r="D421" s="4" t="inlineStr">
        <is>
          <t>C022</t>
        </is>
      </c>
      <c r="E421" s="4" t="inlineStr">
        <is>
          <t>P045</t>
        </is>
      </c>
      <c r="F421" t="inlineStr">
        <is>
          <t>L</t>
        </is>
      </c>
      <c r="G421" s="4" t="inlineStr">
        <is>
          <t>CH03</t>
        </is>
      </c>
      <c r="H421" s="4" t="inlineStr">
        <is>
          <t>PR00</t>
        </is>
      </c>
      <c r="I421" s="8" t="n">
        <v>64</v>
      </c>
      <c r="J421" s="9" t="n">
        <v>0</v>
      </c>
      <c r="K421" s="10">
        <f>I421*(1-J421)</f>
        <v/>
      </c>
      <c r="L421" s="11" t="n">
        <v>1</v>
      </c>
      <c r="M421" s="10">
        <f>K421*L421</f>
        <v/>
      </c>
      <c r="N421" s="8" t="n">
        <v>32.45</v>
      </c>
      <c r="O421" s="10">
        <f>N421*L421</f>
        <v/>
      </c>
      <c r="P421" s="10">
        <f>M421-O421</f>
        <v/>
      </c>
      <c r="Q421" s="11" t="inlineStr">
        <is>
          <t>No</t>
        </is>
      </c>
      <c r="R421" s="11" t="n">
        <v>0</v>
      </c>
      <c r="S421" s="10">
        <f>M421-(R421*K421)</f>
        <v/>
      </c>
      <c r="T421" s="12">
        <f>VLOOKUP(E421,Dim_Product!$A$2:$Q$61,3,FALSE)</f>
        <v/>
      </c>
      <c r="U421" s="12">
        <f>VLOOKUP(E421,Dim_Product!$A$2:$Q$61,4,FALSE)</f>
        <v/>
      </c>
      <c r="V421" s="12">
        <f>VLOOKUP(D421,Dim_Customer!$A$2:$I$121,6,FALSE)</f>
        <v/>
      </c>
      <c r="W421" s="12">
        <f>VLOOKUP(G421,Dim_Channel!$A$2:$B$5,2,FALSE)</f>
        <v/>
      </c>
      <c r="X421" s="12">
        <f>VLOOKUP(H421,Dim_Promotion!$A$2:$G$11,2,FALSE)</f>
        <v/>
      </c>
    </row>
    <row r="422">
      <c r="A422" s="4" t="inlineStr">
        <is>
          <t>SL0421</t>
        </is>
      </c>
      <c r="B422" t="inlineStr">
        <is>
          <t>O010211</t>
        </is>
      </c>
      <c r="C422" t="n">
        <v>20250706</v>
      </c>
      <c r="D422" s="4" t="inlineStr">
        <is>
          <t>C091</t>
        </is>
      </c>
      <c r="E422" s="4" t="inlineStr">
        <is>
          <t>P026</t>
        </is>
      </c>
      <c r="F422" t="inlineStr">
        <is>
          <t>XL</t>
        </is>
      </c>
      <c r="G422" s="4" t="inlineStr">
        <is>
          <t>CH02</t>
        </is>
      </c>
      <c r="H422" s="4" t="inlineStr">
        <is>
          <t>PR00</t>
        </is>
      </c>
      <c r="I422" s="8" t="n">
        <v>95</v>
      </c>
      <c r="J422" s="9" t="n">
        <v>0</v>
      </c>
      <c r="K422" s="10">
        <f>I422*(1-J422)</f>
        <v/>
      </c>
      <c r="L422" s="11" t="n">
        <v>1</v>
      </c>
      <c r="M422" s="10">
        <f>K422*L422</f>
        <v/>
      </c>
      <c r="N422" s="8" t="n">
        <v>45.43</v>
      </c>
      <c r="O422" s="10">
        <f>N422*L422</f>
        <v/>
      </c>
      <c r="P422" s="10">
        <f>M422-O422</f>
        <v/>
      </c>
      <c r="Q422" s="11" t="inlineStr">
        <is>
          <t>No</t>
        </is>
      </c>
      <c r="R422" s="11" t="n">
        <v>0</v>
      </c>
      <c r="S422" s="10">
        <f>M422-(R422*K422)</f>
        <v/>
      </c>
      <c r="T422" s="12">
        <f>VLOOKUP(E422,Dim_Product!$A$2:$Q$61,3,FALSE)</f>
        <v/>
      </c>
      <c r="U422" s="12">
        <f>VLOOKUP(E422,Dim_Product!$A$2:$Q$61,4,FALSE)</f>
        <v/>
      </c>
      <c r="V422" s="12">
        <f>VLOOKUP(D422,Dim_Customer!$A$2:$I$121,6,FALSE)</f>
        <v/>
      </c>
      <c r="W422" s="12">
        <f>VLOOKUP(G422,Dim_Channel!$A$2:$B$5,2,FALSE)</f>
        <v/>
      </c>
      <c r="X422" s="12">
        <f>VLOOKUP(H422,Dim_Promotion!$A$2:$G$11,2,FALSE)</f>
        <v/>
      </c>
    </row>
    <row r="423">
      <c r="A423" s="4" t="inlineStr">
        <is>
          <t>SL0422</t>
        </is>
      </c>
      <c r="B423" t="inlineStr">
        <is>
          <t>O010211</t>
        </is>
      </c>
      <c r="C423" t="n">
        <v>20251104</v>
      </c>
      <c r="D423" s="4" t="inlineStr">
        <is>
          <t>C045</t>
        </is>
      </c>
      <c r="E423" s="4" t="inlineStr">
        <is>
          <t>P010</t>
        </is>
      </c>
      <c r="F423" t="inlineStr">
        <is>
          <t>L</t>
        </is>
      </c>
      <c r="G423" s="4" t="inlineStr">
        <is>
          <t>CH02</t>
        </is>
      </c>
      <c r="H423" s="4" t="inlineStr">
        <is>
          <t>PR00</t>
        </is>
      </c>
      <c r="I423" s="8" t="n">
        <v>50</v>
      </c>
      <c r="J423" s="9" t="n">
        <v>0</v>
      </c>
      <c r="K423" s="10">
        <f>I423*(1-J423)</f>
        <v/>
      </c>
      <c r="L423" s="11" t="n">
        <v>1</v>
      </c>
      <c r="M423" s="10">
        <f>K423*L423</f>
        <v/>
      </c>
      <c r="N423" s="8" t="n">
        <v>20.8</v>
      </c>
      <c r="O423" s="10">
        <f>N423*L423</f>
        <v/>
      </c>
      <c r="P423" s="10">
        <f>M423-O423</f>
        <v/>
      </c>
      <c r="Q423" s="11" t="inlineStr">
        <is>
          <t>Yes</t>
        </is>
      </c>
      <c r="R423" s="11" t="n">
        <v>1</v>
      </c>
      <c r="S423" s="10">
        <f>M423-(R423*K423)</f>
        <v/>
      </c>
      <c r="T423" s="12">
        <f>VLOOKUP(E423,Dim_Product!$A$2:$Q$61,3,FALSE)</f>
        <v/>
      </c>
      <c r="U423" s="12">
        <f>VLOOKUP(E423,Dim_Product!$A$2:$Q$61,4,FALSE)</f>
        <v/>
      </c>
      <c r="V423" s="12">
        <f>VLOOKUP(D423,Dim_Customer!$A$2:$I$121,6,FALSE)</f>
        <v/>
      </c>
      <c r="W423" s="12">
        <f>VLOOKUP(G423,Dim_Channel!$A$2:$B$5,2,FALSE)</f>
        <v/>
      </c>
      <c r="X423" s="12">
        <f>VLOOKUP(H423,Dim_Promotion!$A$2:$G$11,2,FALSE)</f>
        <v/>
      </c>
    </row>
    <row r="424">
      <c r="A424" s="4" t="inlineStr">
        <is>
          <t>SL0423</t>
        </is>
      </c>
      <c r="B424" t="inlineStr">
        <is>
          <t>O010212</t>
        </is>
      </c>
      <c r="C424" t="n">
        <v>20250603</v>
      </c>
      <c r="D424" s="4" t="inlineStr">
        <is>
          <t>C032</t>
        </is>
      </c>
      <c r="E424" s="4" t="inlineStr">
        <is>
          <t>P045</t>
        </is>
      </c>
      <c r="F424" t="inlineStr">
        <is>
          <t>L</t>
        </is>
      </c>
      <c r="G424" s="4" t="inlineStr">
        <is>
          <t>CH01</t>
        </is>
      </c>
      <c r="H424" s="4" t="inlineStr">
        <is>
          <t>PR00</t>
        </is>
      </c>
      <c r="I424" s="8" t="n">
        <v>67</v>
      </c>
      <c r="J424" s="9" t="n">
        <v>0</v>
      </c>
      <c r="K424" s="10">
        <f>I424*(1-J424)</f>
        <v/>
      </c>
      <c r="L424" s="11" t="n">
        <v>1</v>
      </c>
      <c r="M424" s="10">
        <f>K424*L424</f>
        <v/>
      </c>
      <c r="N424" s="8" t="n">
        <v>34.18</v>
      </c>
      <c r="O424" s="10">
        <f>N424*L424</f>
        <v/>
      </c>
      <c r="P424" s="10">
        <f>M424-O424</f>
        <v/>
      </c>
      <c r="Q424" s="11" t="inlineStr">
        <is>
          <t>No</t>
        </is>
      </c>
      <c r="R424" s="11" t="n">
        <v>0</v>
      </c>
      <c r="S424" s="10">
        <f>M424-(R424*K424)</f>
        <v/>
      </c>
      <c r="T424" s="12">
        <f>VLOOKUP(E424,Dim_Product!$A$2:$Q$61,3,FALSE)</f>
        <v/>
      </c>
      <c r="U424" s="12">
        <f>VLOOKUP(E424,Dim_Product!$A$2:$Q$61,4,FALSE)</f>
        <v/>
      </c>
      <c r="V424" s="12">
        <f>VLOOKUP(D424,Dim_Customer!$A$2:$I$121,6,FALSE)</f>
        <v/>
      </c>
      <c r="W424" s="12">
        <f>VLOOKUP(G424,Dim_Channel!$A$2:$B$5,2,FALSE)</f>
        <v/>
      </c>
      <c r="X424" s="12">
        <f>VLOOKUP(H424,Dim_Promotion!$A$2:$G$11,2,FALSE)</f>
        <v/>
      </c>
    </row>
    <row r="425">
      <c r="A425" s="4" t="inlineStr">
        <is>
          <t>SL0424</t>
        </is>
      </c>
      <c r="B425" t="inlineStr">
        <is>
          <t>O010212</t>
        </is>
      </c>
      <c r="C425" t="n">
        <v>20250501</v>
      </c>
      <c r="D425" s="4" t="inlineStr">
        <is>
          <t>C011</t>
        </is>
      </c>
      <c r="E425" s="4" t="inlineStr">
        <is>
          <t>P015</t>
        </is>
      </c>
      <c r="F425" t="inlineStr">
        <is>
          <t>M</t>
        </is>
      </c>
      <c r="G425" s="4" t="inlineStr">
        <is>
          <t>CH01</t>
        </is>
      </c>
      <c r="H425" s="4" t="inlineStr">
        <is>
          <t>PR00</t>
        </is>
      </c>
      <c r="I425" s="8" t="n">
        <v>58</v>
      </c>
      <c r="J425" s="9" t="n">
        <v>0</v>
      </c>
      <c r="K425" s="10">
        <f>I425*(1-J425)</f>
        <v/>
      </c>
      <c r="L425" s="11" t="n">
        <v>1</v>
      </c>
      <c r="M425" s="10">
        <f>K425*L425</f>
        <v/>
      </c>
      <c r="N425" s="8" t="n">
        <v>26.83</v>
      </c>
      <c r="O425" s="10">
        <f>N425*L425</f>
        <v/>
      </c>
      <c r="P425" s="10">
        <f>M425-O425</f>
        <v/>
      </c>
      <c r="Q425" s="11" t="inlineStr">
        <is>
          <t>No</t>
        </is>
      </c>
      <c r="R425" s="11" t="n">
        <v>0</v>
      </c>
      <c r="S425" s="10">
        <f>M425-(R425*K425)</f>
        <v/>
      </c>
      <c r="T425" s="12">
        <f>VLOOKUP(E425,Dim_Product!$A$2:$Q$61,3,FALSE)</f>
        <v/>
      </c>
      <c r="U425" s="12">
        <f>VLOOKUP(E425,Dim_Product!$A$2:$Q$61,4,FALSE)</f>
        <v/>
      </c>
      <c r="V425" s="12">
        <f>VLOOKUP(D425,Dim_Customer!$A$2:$I$121,6,FALSE)</f>
        <v/>
      </c>
      <c r="W425" s="12">
        <f>VLOOKUP(G425,Dim_Channel!$A$2:$B$5,2,FALSE)</f>
        <v/>
      </c>
      <c r="X425" s="12">
        <f>VLOOKUP(H425,Dim_Promotion!$A$2:$G$11,2,FALSE)</f>
        <v/>
      </c>
    </row>
    <row r="426">
      <c r="A426" s="4" t="inlineStr">
        <is>
          <t>SL0425</t>
        </is>
      </c>
      <c r="B426" t="inlineStr">
        <is>
          <t>O010213</t>
        </is>
      </c>
      <c r="C426" t="n">
        <v>20250526</v>
      </c>
      <c r="D426" s="4" t="inlineStr">
        <is>
          <t>C008</t>
        </is>
      </c>
      <c r="E426" s="4" t="inlineStr">
        <is>
          <t>P044</t>
        </is>
      </c>
      <c r="F426" t="inlineStr">
        <is>
          <t>M</t>
        </is>
      </c>
      <c r="G426" s="4" t="inlineStr">
        <is>
          <t>CH01</t>
        </is>
      </c>
      <c r="H426" s="4" t="inlineStr">
        <is>
          <t>PR00</t>
        </is>
      </c>
      <c r="I426" s="8" t="n">
        <v>79</v>
      </c>
      <c r="J426" s="9" t="n">
        <v>0</v>
      </c>
      <c r="K426" s="10">
        <f>I426*(1-J426)</f>
        <v/>
      </c>
      <c r="L426" s="11" t="n">
        <v>1</v>
      </c>
      <c r="M426" s="10">
        <f>K426*L426</f>
        <v/>
      </c>
      <c r="N426" s="8" t="n">
        <v>36.09</v>
      </c>
      <c r="O426" s="10">
        <f>N426*L426</f>
        <v/>
      </c>
      <c r="P426" s="10">
        <f>M426-O426</f>
        <v/>
      </c>
      <c r="Q426" s="11" t="inlineStr">
        <is>
          <t>No</t>
        </is>
      </c>
      <c r="R426" s="11" t="n">
        <v>0</v>
      </c>
      <c r="S426" s="10">
        <f>M426-(R426*K426)</f>
        <v/>
      </c>
      <c r="T426" s="12">
        <f>VLOOKUP(E426,Dim_Product!$A$2:$Q$61,3,FALSE)</f>
        <v/>
      </c>
      <c r="U426" s="12">
        <f>VLOOKUP(E426,Dim_Product!$A$2:$Q$61,4,FALSE)</f>
        <v/>
      </c>
      <c r="V426" s="12">
        <f>VLOOKUP(D426,Dim_Customer!$A$2:$I$121,6,FALSE)</f>
        <v/>
      </c>
      <c r="W426" s="12">
        <f>VLOOKUP(G426,Dim_Channel!$A$2:$B$5,2,FALSE)</f>
        <v/>
      </c>
      <c r="X426" s="12">
        <f>VLOOKUP(H426,Dim_Promotion!$A$2:$G$11,2,FALSE)</f>
        <v/>
      </c>
    </row>
    <row r="427">
      <c r="A427" s="4" t="inlineStr">
        <is>
          <t>SL0426</t>
        </is>
      </c>
      <c r="B427" t="inlineStr">
        <is>
          <t>O010213</t>
        </is>
      </c>
      <c r="C427" t="n">
        <v>20251010</v>
      </c>
      <c r="D427" s="4" t="inlineStr">
        <is>
          <t>C083</t>
        </is>
      </c>
      <c r="E427" s="4" t="inlineStr">
        <is>
          <t>P044</t>
        </is>
      </c>
      <c r="F427" t="inlineStr">
        <is>
          <t>XS</t>
        </is>
      </c>
      <c r="G427" s="4" t="inlineStr">
        <is>
          <t>CH01</t>
        </is>
      </c>
      <c r="H427" s="4" t="inlineStr">
        <is>
          <t>PR00</t>
        </is>
      </c>
      <c r="I427" s="8" t="n">
        <v>78</v>
      </c>
      <c r="J427" s="9" t="n">
        <v>0</v>
      </c>
      <c r="K427" s="10">
        <f>I427*(1-J427)</f>
        <v/>
      </c>
      <c r="L427" s="11" t="n">
        <v>2</v>
      </c>
      <c r="M427" s="10">
        <f>K427*L427</f>
        <v/>
      </c>
      <c r="N427" s="8" t="n">
        <v>35.57</v>
      </c>
      <c r="O427" s="10">
        <f>N427*L427</f>
        <v/>
      </c>
      <c r="P427" s="10">
        <f>M427-O427</f>
        <v/>
      </c>
      <c r="Q427" s="11" t="inlineStr">
        <is>
          <t>No</t>
        </is>
      </c>
      <c r="R427" s="11" t="n">
        <v>0</v>
      </c>
      <c r="S427" s="10">
        <f>M427-(R427*K427)</f>
        <v/>
      </c>
      <c r="T427" s="12">
        <f>VLOOKUP(E427,Dim_Product!$A$2:$Q$61,3,FALSE)</f>
        <v/>
      </c>
      <c r="U427" s="12">
        <f>VLOOKUP(E427,Dim_Product!$A$2:$Q$61,4,FALSE)</f>
        <v/>
      </c>
      <c r="V427" s="12">
        <f>VLOOKUP(D427,Dim_Customer!$A$2:$I$121,6,FALSE)</f>
        <v/>
      </c>
      <c r="W427" s="12">
        <f>VLOOKUP(G427,Dim_Channel!$A$2:$B$5,2,FALSE)</f>
        <v/>
      </c>
      <c r="X427" s="12">
        <f>VLOOKUP(H427,Dim_Promotion!$A$2:$G$11,2,FALSE)</f>
        <v/>
      </c>
    </row>
    <row r="428">
      <c r="A428" s="4" t="inlineStr">
        <is>
          <t>SL0427</t>
        </is>
      </c>
      <c r="B428" t="inlineStr">
        <is>
          <t>O010214</t>
        </is>
      </c>
      <c r="C428" t="n">
        <v>20250212</v>
      </c>
      <c r="D428" s="4" t="inlineStr">
        <is>
          <t>C066</t>
        </is>
      </c>
      <c r="E428" s="4" t="inlineStr">
        <is>
          <t>P011</t>
        </is>
      </c>
      <c r="F428" t="inlineStr">
        <is>
          <t>M</t>
        </is>
      </c>
      <c r="G428" s="4" t="inlineStr">
        <is>
          <t>CH01</t>
        </is>
      </c>
      <c r="H428" s="4" t="inlineStr">
        <is>
          <t>PR00</t>
        </is>
      </c>
      <c r="I428" s="8" t="n">
        <v>46</v>
      </c>
      <c r="J428" s="9" t="n">
        <v>0.08</v>
      </c>
      <c r="K428" s="10">
        <f>I428*(1-J428)</f>
        <v/>
      </c>
      <c r="L428" s="11" t="n">
        <v>1</v>
      </c>
      <c r="M428" s="10">
        <f>K428*L428</f>
        <v/>
      </c>
      <c r="N428" s="8" t="n">
        <v>20.12</v>
      </c>
      <c r="O428" s="10">
        <f>N428*L428</f>
        <v/>
      </c>
      <c r="P428" s="10">
        <f>M428-O428</f>
        <v/>
      </c>
      <c r="Q428" s="11" t="inlineStr">
        <is>
          <t>No</t>
        </is>
      </c>
      <c r="R428" s="11" t="n">
        <v>0</v>
      </c>
      <c r="S428" s="10">
        <f>M428-(R428*K428)</f>
        <v/>
      </c>
      <c r="T428" s="12">
        <f>VLOOKUP(E428,Dim_Product!$A$2:$Q$61,3,FALSE)</f>
        <v/>
      </c>
      <c r="U428" s="12">
        <f>VLOOKUP(E428,Dim_Product!$A$2:$Q$61,4,FALSE)</f>
        <v/>
      </c>
      <c r="V428" s="12">
        <f>VLOOKUP(D428,Dim_Customer!$A$2:$I$121,6,FALSE)</f>
        <v/>
      </c>
      <c r="W428" s="12">
        <f>VLOOKUP(G428,Dim_Channel!$A$2:$B$5,2,FALSE)</f>
        <v/>
      </c>
      <c r="X428" s="12">
        <f>VLOOKUP(H428,Dim_Promotion!$A$2:$G$11,2,FALSE)</f>
        <v/>
      </c>
    </row>
    <row r="429">
      <c r="A429" s="4" t="inlineStr">
        <is>
          <t>SL0428</t>
        </is>
      </c>
      <c r="B429" t="inlineStr">
        <is>
          <t>O010214</t>
        </is>
      </c>
      <c r="C429" t="n">
        <v>20250111</v>
      </c>
      <c r="D429" s="4" t="inlineStr">
        <is>
          <t>C060</t>
        </is>
      </c>
      <c r="E429" s="4" t="inlineStr">
        <is>
          <t>P031</t>
        </is>
      </c>
      <c r="F429" t="inlineStr">
        <is>
          <t>XS</t>
        </is>
      </c>
      <c r="G429" s="4" t="inlineStr">
        <is>
          <t>CH01</t>
        </is>
      </c>
      <c r="H429" s="4" t="inlineStr">
        <is>
          <t>PR00</t>
        </is>
      </c>
      <c r="I429" s="8" t="n">
        <v>112</v>
      </c>
      <c r="J429" s="9" t="n">
        <v>0</v>
      </c>
      <c r="K429" s="10">
        <f>I429*(1-J429)</f>
        <v/>
      </c>
      <c r="L429" s="11" t="n">
        <v>2</v>
      </c>
      <c r="M429" s="10">
        <f>K429*L429</f>
        <v/>
      </c>
      <c r="N429" s="8" t="n">
        <v>56.88</v>
      </c>
      <c r="O429" s="10">
        <f>N429*L429</f>
        <v/>
      </c>
      <c r="P429" s="10">
        <f>M429-O429</f>
        <v/>
      </c>
      <c r="Q429" s="11" t="inlineStr">
        <is>
          <t>No</t>
        </is>
      </c>
      <c r="R429" s="11" t="n">
        <v>0</v>
      </c>
      <c r="S429" s="10">
        <f>M429-(R429*K429)</f>
        <v/>
      </c>
      <c r="T429" s="12">
        <f>VLOOKUP(E429,Dim_Product!$A$2:$Q$61,3,FALSE)</f>
        <v/>
      </c>
      <c r="U429" s="12">
        <f>VLOOKUP(E429,Dim_Product!$A$2:$Q$61,4,FALSE)</f>
        <v/>
      </c>
      <c r="V429" s="12">
        <f>VLOOKUP(D429,Dim_Customer!$A$2:$I$121,6,FALSE)</f>
        <v/>
      </c>
      <c r="W429" s="12">
        <f>VLOOKUP(G429,Dim_Channel!$A$2:$B$5,2,FALSE)</f>
        <v/>
      </c>
      <c r="X429" s="12">
        <f>VLOOKUP(H429,Dim_Promotion!$A$2:$G$11,2,FALSE)</f>
        <v/>
      </c>
    </row>
    <row r="430">
      <c r="A430" s="4" t="inlineStr">
        <is>
          <t>SL0429</t>
        </is>
      </c>
      <c r="B430" t="inlineStr">
        <is>
          <t>O010215</t>
        </is>
      </c>
      <c r="C430" t="n">
        <v>20250710</v>
      </c>
      <c r="D430" s="4" t="inlineStr">
        <is>
          <t>C073</t>
        </is>
      </c>
      <c r="E430" s="4" t="inlineStr">
        <is>
          <t>P003</t>
        </is>
      </c>
      <c r="F430" t="inlineStr">
        <is>
          <t>S</t>
        </is>
      </c>
      <c r="G430" s="4" t="inlineStr">
        <is>
          <t>CH01</t>
        </is>
      </c>
      <c r="H430" s="4" t="inlineStr">
        <is>
          <t>PR00</t>
        </is>
      </c>
      <c r="I430" s="8" t="n">
        <v>42</v>
      </c>
      <c r="J430" s="9" t="n">
        <v>0.08</v>
      </c>
      <c r="K430" s="10">
        <f>I430*(1-J430)</f>
        <v/>
      </c>
      <c r="L430" s="11" t="n">
        <v>1</v>
      </c>
      <c r="M430" s="10">
        <f>K430*L430</f>
        <v/>
      </c>
      <c r="N430" s="8" t="n">
        <v>19.7</v>
      </c>
      <c r="O430" s="10">
        <f>N430*L430</f>
        <v/>
      </c>
      <c r="P430" s="10">
        <f>M430-O430</f>
        <v/>
      </c>
      <c r="Q430" s="11" t="inlineStr">
        <is>
          <t>No</t>
        </is>
      </c>
      <c r="R430" s="11" t="n">
        <v>0</v>
      </c>
      <c r="S430" s="10">
        <f>M430-(R430*K430)</f>
        <v/>
      </c>
      <c r="T430" s="12">
        <f>VLOOKUP(E430,Dim_Product!$A$2:$Q$61,3,FALSE)</f>
        <v/>
      </c>
      <c r="U430" s="12">
        <f>VLOOKUP(E430,Dim_Product!$A$2:$Q$61,4,FALSE)</f>
        <v/>
      </c>
      <c r="V430" s="12">
        <f>VLOOKUP(D430,Dim_Customer!$A$2:$I$121,6,FALSE)</f>
        <v/>
      </c>
      <c r="W430" s="12">
        <f>VLOOKUP(G430,Dim_Channel!$A$2:$B$5,2,FALSE)</f>
        <v/>
      </c>
      <c r="X430" s="12">
        <f>VLOOKUP(H430,Dim_Promotion!$A$2:$G$11,2,FALSE)</f>
        <v/>
      </c>
    </row>
    <row r="431">
      <c r="A431" s="4" t="inlineStr">
        <is>
          <t>SL0430</t>
        </is>
      </c>
      <c r="B431" t="inlineStr">
        <is>
          <t>O010215</t>
        </is>
      </c>
      <c r="C431" t="n">
        <v>20250222</v>
      </c>
      <c r="D431" s="4" t="inlineStr">
        <is>
          <t>C060</t>
        </is>
      </c>
      <c r="E431" s="4" t="inlineStr">
        <is>
          <t>P010</t>
        </is>
      </c>
      <c r="F431" t="inlineStr">
        <is>
          <t>M</t>
        </is>
      </c>
      <c r="G431" s="4" t="inlineStr">
        <is>
          <t>CH01</t>
        </is>
      </c>
      <c r="H431" s="4" t="inlineStr">
        <is>
          <t>PR00</t>
        </is>
      </c>
      <c r="I431" s="8" t="n">
        <v>50</v>
      </c>
      <c r="J431" s="9" t="n">
        <v>0</v>
      </c>
      <c r="K431" s="10">
        <f>I431*(1-J431)</f>
        <v/>
      </c>
      <c r="L431" s="11" t="n">
        <v>2</v>
      </c>
      <c r="M431" s="10">
        <f>K431*L431</f>
        <v/>
      </c>
      <c r="N431" s="8" t="n">
        <v>20.51</v>
      </c>
      <c r="O431" s="10">
        <f>N431*L431</f>
        <v/>
      </c>
      <c r="P431" s="10">
        <f>M431-O431</f>
        <v/>
      </c>
      <c r="Q431" s="11" t="inlineStr">
        <is>
          <t>No</t>
        </is>
      </c>
      <c r="R431" s="11" t="n">
        <v>0</v>
      </c>
      <c r="S431" s="10">
        <f>M431-(R431*K431)</f>
        <v/>
      </c>
      <c r="T431" s="12">
        <f>VLOOKUP(E431,Dim_Product!$A$2:$Q$61,3,FALSE)</f>
        <v/>
      </c>
      <c r="U431" s="12">
        <f>VLOOKUP(E431,Dim_Product!$A$2:$Q$61,4,FALSE)</f>
        <v/>
      </c>
      <c r="V431" s="12">
        <f>VLOOKUP(D431,Dim_Customer!$A$2:$I$121,6,FALSE)</f>
        <v/>
      </c>
      <c r="W431" s="12">
        <f>VLOOKUP(G431,Dim_Channel!$A$2:$B$5,2,FALSE)</f>
        <v/>
      </c>
      <c r="X431" s="12">
        <f>VLOOKUP(H431,Dim_Promotion!$A$2:$G$11,2,FALSE)</f>
        <v/>
      </c>
    </row>
    <row r="432">
      <c r="A432" s="4" t="inlineStr">
        <is>
          <t>SL0431</t>
        </is>
      </c>
      <c r="B432" t="inlineStr">
        <is>
          <t>O010216</t>
        </is>
      </c>
      <c r="C432" t="n">
        <v>20251111</v>
      </c>
      <c r="D432" s="4" t="inlineStr">
        <is>
          <t>C118</t>
        </is>
      </c>
      <c r="E432" s="4" t="inlineStr">
        <is>
          <t>P052</t>
        </is>
      </c>
      <c r="F432" t="inlineStr">
        <is>
          <t>M</t>
        </is>
      </c>
      <c r="G432" s="4" t="inlineStr">
        <is>
          <t>CH03</t>
        </is>
      </c>
      <c r="H432" s="4" t="inlineStr">
        <is>
          <t>PR00</t>
        </is>
      </c>
      <c r="I432" s="8" t="n">
        <v>62</v>
      </c>
      <c r="J432" s="9" t="n">
        <v>0</v>
      </c>
      <c r="K432" s="10">
        <f>I432*(1-J432)</f>
        <v/>
      </c>
      <c r="L432" s="11" t="n">
        <v>1</v>
      </c>
      <c r="M432" s="10">
        <f>K432*L432</f>
        <v/>
      </c>
      <c r="N432" s="8" t="n">
        <v>30.41</v>
      </c>
      <c r="O432" s="10">
        <f>N432*L432</f>
        <v/>
      </c>
      <c r="P432" s="10">
        <f>M432-O432</f>
        <v/>
      </c>
      <c r="Q432" s="11" t="inlineStr">
        <is>
          <t>No</t>
        </is>
      </c>
      <c r="R432" s="11" t="n">
        <v>0</v>
      </c>
      <c r="S432" s="10">
        <f>M432-(R432*K432)</f>
        <v/>
      </c>
      <c r="T432" s="12">
        <f>VLOOKUP(E432,Dim_Product!$A$2:$Q$61,3,FALSE)</f>
        <v/>
      </c>
      <c r="U432" s="12">
        <f>VLOOKUP(E432,Dim_Product!$A$2:$Q$61,4,FALSE)</f>
        <v/>
      </c>
      <c r="V432" s="12">
        <f>VLOOKUP(D432,Dim_Customer!$A$2:$I$121,6,FALSE)</f>
        <v/>
      </c>
      <c r="W432" s="12">
        <f>VLOOKUP(G432,Dim_Channel!$A$2:$B$5,2,FALSE)</f>
        <v/>
      </c>
      <c r="X432" s="12">
        <f>VLOOKUP(H432,Dim_Promotion!$A$2:$G$11,2,FALSE)</f>
        <v/>
      </c>
    </row>
    <row r="433">
      <c r="A433" s="4" t="inlineStr">
        <is>
          <t>SL0432</t>
        </is>
      </c>
      <c r="B433" t="inlineStr">
        <is>
          <t>O010216</t>
        </is>
      </c>
      <c r="C433" t="n">
        <v>20250121</v>
      </c>
      <c r="D433" s="4" t="inlineStr">
        <is>
          <t>C062</t>
        </is>
      </c>
      <c r="E433" s="4" t="inlineStr">
        <is>
          <t>P026</t>
        </is>
      </c>
      <c r="F433" t="inlineStr">
        <is>
          <t>L</t>
        </is>
      </c>
      <c r="G433" s="4" t="inlineStr">
        <is>
          <t>CH03</t>
        </is>
      </c>
      <c r="H433" s="4" t="inlineStr">
        <is>
          <t>PR00</t>
        </is>
      </c>
      <c r="I433" s="8" t="n">
        <v>93</v>
      </c>
      <c r="J433" s="9" t="n">
        <v>0</v>
      </c>
      <c r="K433" s="10">
        <f>I433*(1-J433)</f>
        <v/>
      </c>
      <c r="L433" s="11" t="n">
        <v>1</v>
      </c>
      <c r="M433" s="10">
        <f>K433*L433</f>
        <v/>
      </c>
      <c r="N433" s="8" t="n">
        <v>46.73</v>
      </c>
      <c r="O433" s="10">
        <f>N433*L433</f>
        <v/>
      </c>
      <c r="P433" s="10">
        <f>M433-O433</f>
        <v/>
      </c>
      <c r="Q433" s="11" t="inlineStr">
        <is>
          <t>No</t>
        </is>
      </c>
      <c r="R433" s="11" t="n">
        <v>0</v>
      </c>
      <c r="S433" s="10">
        <f>M433-(R433*K433)</f>
        <v/>
      </c>
      <c r="T433" s="12">
        <f>VLOOKUP(E433,Dim_Product!$A$2:$Q$61,3,FALSE)</f>
        <v/>
      </c>
      <c r="U433" s="12">
        <f>VLOOKUP(E433,Dim_Product!$A$2:$Q$61,4,FALSE)</f>
        <v/>
      </c>
      <c r="V433" s="12">
        <f>VLOOKUP(D433,Dim_Customer!$A$2:$I$121,6,FALSE)</f>
        <v/>
      </c>
      <c r="W433" s="12">
        <f>VLOOKUP(G433,Dim_Channel!$A$2:$B$5,2,FALSE)</f>
        <v/>
      </c>
      <c r="X433" s="12">
        <f>VLOOKUP(H433,Dim_Promotion!$A$2:$G$11,2,FALSE)</f>
        <v/>
      </c>
    </row>
    <row r="434">
      <c r="A434" s="4" t="inlineStr">
        <is>
          <t>SL0433</t>
        </is>
      </c>
      <c r="B434" t="inlineStr">
        <is>
          <t>O010217</t>
        </is>
      </c>
      <c r="C434" t="n">
        <v>20250923</v>
      </c>
      <c r="D434" s="4" t="inlineStr">
        <is>
          <t>C087</t>
        </is>
      </c>
      <c r="E434" s="4" t="inlineStr">
        <is>
          <t>P022</t>
        </is>
      </c>
      <c r="F434" t="inlineStr">
        <is>
          <t>S</t>
        </is>
      </c>
      <c r="G434" s="4" t="inlineStr">
        <is>
          <t>CH01</t>
        </is>
      </c>
      <c r="H434" s="4" t="inlineStr">
        <is>
          <t>PR00</t>
        </is>
      </c>
      <c r="I434" s="8" t="n">
        <v>58</v>
      </c>
      <c r="J434" s="9" t="n">
        <v>0.05</v>
      </c>
      <c r="K434" s="10">
        <f>I434*(1-J434)</f>
        <v/>
      </c>
      <c r="L434" s="11" t="n">
        <v>1</v>
      </c>
      <c r="M434" s="10">
        <f>K434*L434</f>
        <v/>
      </c>
      <c r="N434" s="8" t="n">
        <v>26.49</v>
      </c>
      <c r="O434" s="10">
        <f>N434*L434</f>
        <v/>
      </c>
      <c r="P434" s="10">
        <f>M434-O434</f>
        <v/>
      </c>
      <c r="Q434" s="11" t="inlineStr">
        <is>
          <t>No</t>
        </is>
      </c>
      <c r="R434" s="11" t="n">
        <v>0</v>
      </c>
      <c r="S434" s="10">
        <f>M434-(R434*K434)</f>
        <v/>
      </c>
      <c r="T434" s="12">
        <f>VLOOKUP(E434,Dim_Product!$A$2:$Q$61,3,FALSE)</f>
        <v/>
      </c>
      <c r="U434" s="12">
        <f>VLOOKUP(E434,Dim_Product!$A$2:$Q$61,4,FALSE)</f>
        <v/>
      </c>
      <c r="V434" s="12">
        <f>VLOOKUP(D434,Dim_Customer!$A$2:$I$121,6,FALSE)</f>
        <v/>
      </c>
      <c r="W434" s="12">
        <f>VLOOKUP(G434,Dim_Channel!$A$2:$B$5,2,FALSE)</f>
        <v/>
      </c>
      <c r="X434" s="12">
        <f>VLOOKUP(H434,Dim_Promotion!$A$2:$G$11,2,FALSE)</f>
        <v/>
      </c>
    </row>
    <row r="435">
      <c r="A435" s="4" t="inlineStr">
        <is>
          <t>SL0434</t>
        </is>
      </c>
      <c r="B435" t="inlineStr">
        <is>
          <t>O010217</t>
        </is>
      </c>
      <c r="C435" t="n">
        <v>20250621</v>
      </c>
      <c r="D435" s="4" t="inlineStr">
        <is>
          <t>C110</t>
        </is>
      </c>
      <c r="E435" s="4" t="inlineStr">
        <is>
          <t>P047</t>
        </is>
      </c>
      <c r="F435" t="inlineStr">
        <is>
          <t>S</t>
        </is>
      </c>
      <c r="G435" s="4" t="inlineStr">
        <is>
          <t>CH01</t>
        </is>
      </c>
      <c r="H435" s="4" t="inlineStr">
        <is>
          <t>PR00</t>
        </is>
      </c>
      <c r="I435" s="8" t="n">
        <v>72</v>
      </c>
      <c r="J435" s="9" t="n">
        <v>0.05</v>
      </c>
      <c r="K435" s="10">
        <f>I435*(1-J435)</f>
        <v/>
      </c>
      <c r="L435" s="11" t="n">
        <v>2</v>
      </c>
      <c r="M435" s="10">
        <f>K435*L435</f>
        <v/>
      </c>
      <c r="N435" s="8" t="n">
        <v>31.21</v>
      </c>
      <c r="O435" s="10">
        <f>N435*L435</f>
        <v/>
      </c>
      <c r="P435" s="10">
        <f>M435-O435</f>
        <v/>
      </c>
      <c r="Q435" s="11" t="inlineStr">
        <is>
          <t>No</t>
        </is>
      </c>
      <c r="R435" s="11" t="n">
        <v>0</v>
      </c>
      <c r="S435" s="10">
        <f>M435-(R435*K435)</f>
        <v/>
      </c>
      <c r="T435" s="12">
        <f>VLOOKUP(E435,Dim_Product!$A$2:$Q$61,3,FALSE)</f>
        <v/>
      </c>
      <c r="U435" s="12">
        <f>VLOOKUP(E435,Dim_Product!$A$2:$Q$61,4,FALSE)</f>
        <v/>
      </c>
      <c r="V435" s="12">
        <f>VLOOKUP(D435,Dim_Customer!$A$2:$I$121,6,FALSE)</f>
        <v/>
      </c>
      <c r="W435" s="12">
        <f>VLOOKUP(G435,Dim_Channel!$A$2:$B$5,2,FALSE)</f>
        <v/>
      </c>
      <c r="X435" s="12">
        <f>VLOOKUP(H435,Dim_Promotion!$A$2:$G$11,2,FALSE)</f>
        <v/>
      </c>
    </row>
    <row r="436">
      <c r="A436" s="4" t="inlineStr">
        <is>
          <t>SL0435</t>
        </is>
      </c>
      <c r="B436" t="inlineStr">
        <is>
          <t>O010218</t>
        </is>
      </c>
      <c r="C436" t="n">
        <v>20250115</v>
      </c>
      <c r="D436" s="4" t="inlineStr">
        <is>
          <t>C075</t>
        </is>
      </c>
      <c r="E436" s="4" t="inlineStr">
        <is>
          <t>P013</t>
        </is>
      </c>
      <c r="F436" t="inlineStr">
        <is>
          <t>XL</t>
        </is>
      </c>
      <c r="G436" s="4" t="inlineStr">
        <is>
          <t>CH03</t>
        </is>
      </c>
      <c r="H436" s="4" t="inlineStr">
        <is>
          <t>PR00</t>
        </is>
      </c>
      <c r="I436" s="8" t="n">
        <v>58</v>
      </c>
      <c r="J436" s="9" t="n">
        <v>0</v>
      </c>
      <c r="K436" s="10">
        <f>I436*(1-J436)</f>
        <v/>
      </c>
      <c r="L436" s="11" t="n">
        <v>1</v>
      </c>
      <c r="M436" s="10">
        <f>K436*L436</f>
        <v/>
      </c>
      <c r="N436" s="8" t="n">
        <v>26.59</v>
      </c>
      <c r="O436" s="10">
        <f>N436*L436</f>
        <v/>
      </c>
      <c r="P436" s="10">
        <f>M436-O436</f>
        <v/>
      </c>
      <c r="Q436" s="11" t="inlineStr">
        <is>
          <t>No</t>
        </is>
      </c>
      <c r="R436" s="11" t="n">
        <v>0</v>
      </c>
      <c r="S436" s="10">
        <f>M436-(R436*K436)</f>
        <v/>
      </c>
      <c r="T436" s="12">
        <f>VLOOKUP(E436,Dim_Product!$A$2:$Q$61,3,FALSE)</f>
        <v/>
      </c>
      <c r="U436" s="12">
        <f>VLOOKUP(E436,Dim_Product!$A$2:$Q$61,4,FALSE)</f>
        <v/>
      </c>
      <c r="V436" s="12">
        <f>VLOOKUP(D436,Dim_Customer!$A$2:$I$121,6,FALSE)</f>
        <v/>
      </c>
      <c r="W436" s="12">
        <f>VLOOKUP(G436,Dim_Channel!$A$2:$B$5,2,FALSE)</f>
        <v/>
      </c>
      <c r="X436" s="12">
        <f>VLOOKUP(H436,Dim_Promotion!$A$2:$G$11,2,FALSE)</f>
        <v/>
      </c>
    </row>
    <row r="437">
      <c r="A437" s="4" t="inlineStr">
        <is>
          <t>SL0436</t>
        </is>
      </c>
      <c r="B437" t="inlineStr">
        <is>
          <t>O010218</t>
        </is>
      </c>
      <c r="C437" t="n">
        <v>20251124</v>
      </c>
      <c r="D437" s="4" t="inlineStr">
        <is>
          <t>C075</t>
        </is>
      </c>
      <c r="E437" s="4" t="inlineStr">
        <is>
          <t>P035</t>
        </is>
      </c>
      <c r="F437" t="inlineStr">
        <is>
          <t>M</t>
        </is>
      </c>
      <c r="G437" s="4" t="inlineStr">
        <is>
          <t>CH03</t>
        </is>
      </c>
      <c r="H437" s="4" t="inlineStr">
        <is>
          <t>PR00</t>
        </is>
      </c>
      <c r="I437" s="8" t="n">
        <v>90</v>
      </c>
      <c r="J437" s="9" t="n">
        <v>0</v>
      </c>
      <c r="K437" s="10">
        <f>I437*(1-J437)</f>
        <v/>
      </c>
      <c r="L437" s="11" t="n">
        <v>2</v>
      </c>
      <c r="M437" s="10">
        <f>K437*L437</f>
        <v/>
      </c>
      <c r="N437" s="8" t="n">
        <v>44.55</v>
      </c>
      <c r="O437" s="10">
        <f>N437*L437</f>
        <v/>
      </c>
      <c r="P437" s="10">
        <f>M437-O437</f>
        <v/>
      </c>
      <c r="Q437" s="11" t="inlineStr">
        <is>
          <t>No</t>
        </is>
      </c>
      <c r="R437" s="11" t="n">
        <v>0</v>
      </c>
      <c r="S437" s="10">
        <f>M437-(R437*K437)</f>
        <v/>
      </c>
      <c r="T437" s="12">
        <f>VLOOKUP(E437,Dim_Product!$A$2:$Q$61,3,FALSE)</f>
        <v/>
      </c>
      <c r="U437" s="12">
        <f>VLOOKUP(E437,Dim_Product!$A$2:$Q$61,4,FALSE)</f>
        <v/>
      </c>
      <c r="V437" s="12">
        <f>VLOOKUP(D437,Dim_Customer!$A$2:$I$121,6,FALSE)</f>
        <v/>
      </c>
      <c r="W437" s="12">
        <f>VLOOKUP(G437,Dim_Channel!$A$2:$B$5,2,FALSE)</f>
        <v/>
      </c>
      <c r="X437" s="12">
        <f>VLOOKUP(H437,Dim_Promotion!$A$2:$G$11,2,FALSE)</f>
        <v/>
      </c>
    </row>
    <row r="438">
      <c r="A438" s="4" t="inlineStr">
        <is>
          <t>SL0437</t>
        </is>
      </c>
      <c r="B438" t="inlineStr">
        <is>
          <t>O010219</t>
        </is>
      </c>
      <c r="C438" t="n">
        <v>20251108</v>
      </c>
      <c r="D438" s="4" t="inlineStr">
        <is>
          <t>C092</t>
        </is>
      </c>
      <c r="E438" s="4" t="inlineStr">
        <is>
          <t>P004</t>
        </is>
      </c>
      <c r="F438" t="inlineStr">
        <is>
          <t>L</t>
        </is>
      </c>
      <c r="G438" s="4" t="inlineStr">
        <is>
          <t>CH04</t>
        </is>
      </c>
      <c r="H438" s="4" t="inlineStr">
        <is>
          <t>PR00</t>
        </is>
      </c>
      <c r="I438" s="8" t="n">
        <v>43</v>
      </c>
      <c r="J438" s="9" t="n">
        <v>0</v>
      </c>
      <c r="K438" s="10">
        <f>I438*(1-J438)</f>
        <v/>
      </c>
      <c r="L438" s="11" t="n">
        <v>1</v>
      </c>
      <c r="M438" s="10">
        <f>K438*L438</f>
        <v/>
      </c>
      <c r="N438" s="8" t="n">
        <v>19.33</v>
      </c>
      <c r="O438" s="10">
        <f>N438*L438</f>
        <v/>
      </c>
      <c r="P438" s="10">
        <f>M438-O438</f>
        <v/>
      </c>
      <c r="Q438" s="11" t="inlineStr">
        <is>
          <t>No</t>
        </is>
      </c>
      <c r="R438" s="11" t="n">
        <v>0</v>
      </c>
      <c r="S438" s="10">
        <f>M438-(R438*K438)</f>
        <v/>
      </c>
      <c r="T438" s="12">
        <f>VLOOKUP(E438,Dim_Product!$A$2:$Q$61,3,FALSE)</f>
        <v/>
      </c>
      <c r="U438" s="12">
        <f>VLOOKUP(E438,Dim_Product!$A$2:$Q$61,4,FALSE)</f>
        <v/>
      </c>
      <c r="V438" s="12">
        <f>VLOOKUP(D438,Dim_Customer!$A$2:$I$121,6,FALSE)</f>
        <v/>
      </c>
      <c r="W438" s="12">
        <f>VLOOKUP(G438,Dim_Channel!$A$2:$B$5,2,FALSE)</f>
        <v/>
      </c>
      <c r="X438" s="12">
        <f>VLOOKUP(H438,Dim_Promotion!$A$2:$G$11,2,FALSE)</f>
        <v/>
      </c>
    </row>
    <row r="439">
      <c r="A439" s="4" t="inlineStr">
        <is>
          <t>SL0438</t>
        </is>
      </c>
      <c r="B439" t="inlineStr">
        <is>
          <t>O010219</t>
        </is>
      </c>
      <c r="C439" t="n">
        <v>20250614</v>
      </c>
      <c r="D439" s="4" t="inlineStr">
        <is>
          <t>C003</t>
        </is>
      </c>
      <c r="E439" s="4" t="inlineStr">
        <is>
          <t>P009</t>
        </is>
      </c>
      <c r="F439" t="inlineStr">
        <is>
          <t>M</t>
        </is>
      </c>
      <c r="G439" s="4" t="inlineStr">
        <is>
          <t>CH03</t>
        </is>
      </c>
      <c r="H439" s="4" t="inlineStr">
        <is>
          <t>PR00</t>
        </is>
      </c>
      <c r="I439" s="8" t="n">
        <v>50</v>
      </c>
      <c r="J439" s="9" t="n">
        <v>0</v>
      </c>
      <c r="K439" s="10">
        <f>I439*(1-J439)</f>
        <v/>
      </c>
      <c r="L439" s="11" t="n">
        <v>2</v>
      </c>
      <c r="M439" s="10">
        <f>K439*L439</f>
        <v/>
      </c>
      <c r="N439" s="8" t="n">
        <v>19.01</v>
      </c>
      <c r="O439" s="10">
        <f>N439*L439</f>
        <v/>
      </c>
      <c r="P439" s="10">
        <f>M439-O439</f>
        <v/>
      </c>
      <c r="Q439" s="11" t="inlineStr">
        <is>
          <t>No</t>
        </is>
      </c>
      <c r="R439" s="11" t="n">
        <v>0</v>
      </c>
      <c r="S439" s="10">
        <f>M439-(R439*K439)</f>
        <v/>
      </c>
      <c r="T439" s="12">
        <f>VLOOKUP(E439,Dim_Product!$A$2:$Q$61,3,FALSE)</f>
        <v/>
      </c>
      <c r="U439" s="12">
        <f>VLOOKUP(E439,Dim_Product!$A$2:$Q$61,4,FALSE)</f>
        <v/>
      </c>
      <c r="V439" s="12">
        <f>VLOOKUP(D439,Dim_Customer!$A$2:$I$121,6,FALSE)</f>
        <v/>
      </c>
      <c r="W439" s="12">
        <f>VLOOKUP(G439,Dim_Channel!$A$2:$B$5,2,FALSE)</f>
        <v/>
      </c>
      <c r="X439" s="12">
        <f>VLOOKUP(H439,Dim_Promotion!$A$2:$G$11,2,FALSE)</f>
        <v/>
      </c>
    </row>
    <row r="440">
      <c r="A440" s="4" t="inlineStr">
        <is>
          <t>SL0439</t>
        </is>
      </c>
      <c r="B440" t="inlineStr">
        <is>
          <t>O010220</t>
        </is>
      </c>
      <c r="C440" t="n">
        <v>20251122</v>
      </c>
      <c r="D440" s="4" t="inlineStr">
        <is>
          <t>C060</t>
        </is>
      </c>
      <c r="E440" s="4" t="inlineStr">
        <is>
          <t>P007</t>
        </is>
      </c>
      <c r="F440" t="inlineStr">
        <is>
          <t>L</t>
        </is>
      </c>
      <c r="G440" s="4" t="inlineStr">
        <is>
          <t>CH04</t>
        </is>
      </c>
      <c r="H440" s="4" t="inlineStr">
        <is>
          <t>PR00</t>
        </is>
      </c>
      <c r="I440" s="8" t="n">
        <v>50</v>
      </c>
      <c r="J440" s="9" t="n">
        <v>0</v>
      </c>
      <c r="K440" s="10">
        <f>I440*(1-J440)</f>
        <v/>
      </c>
      <c r="L440" s="11" t="n">
        <v>2</v>
      </c>
      <c r="M440" s="10">
        <f>K440*L440</f>
        <v/>
      </c>
      <c r="N440" s="8" t="n">
        <v>22.62</v>
      </c>
      <c r="O440" s="10">
        <f>N440*L440</f>
        <v/>
      </c>
      <c r="P440" s="10">
        <f>M440-O440</f>
        <v/>
      </c>
      <c r="Q440" s="11" t="inlineStr">
        <is>
          <t>No</t>
        </is>
      </c>
      <c r="R440" s="11" t="n">
        <v>0</v>
      </c>
      <c r="S440" s="10">
        <f>M440-(R440*K440)</f>
        <v/>
      </c>
      <c r="T440" s="12">
        <f>VLOOKUP(E440,Dim_Product!$A$2:$Q$61,3,FALSE)</f>
        <v/>
      </c>
      <c r="U440" s="12">
        <f>VLOOKUP(E440,Dim_Product!$A$2:$Q$61,4,FALSE)</f>
        <v/>
      </c>
      <c r="V440" s="12">
        <f>VLOOKUP(D440,Dim_Customer!$A$2:$I$121,6,FALSE)</f>
        <v/>
      </c>
      <c r="W440" s="12">
        <f>VLOOKUP(G440,Dim_Channel!$A$2:$B$5,2,FALSE)</f>
        <v/>
      </c>
      <c r="X440" s="12">
        <f>VLOOKUP(H440,Dim_Promotion!$A$2:$G$11,2,FALSE)</f>
        <v/>
      </c>
    </row>
    <row r="441">
      <c r="A441" s="4" t="inlineStr">
        <is>
          <t>SL0440</t>
        </is>
      </c>
      <c r="B441" t="inlineStr">
        <is>
          <t>O010220</t>
        </is>
      </c>
      <c r="C441" t="n">
        <v>20250910</v>
      </c>
      <c r="D441" s="4" t="inlineStr">
        <is>
          <t>C089</t>
        </is>
      </c>
      <c r="E441" s="4" t="inlineStr">
        <is>
          <t>P044</t>
        </is>
      </c>
      <c r="F441" t="inlineStr">
        <is>
          <t>XS</t>
        </is>
      </c>
      <c r="G441" s="4" t="inlineStr">
        <is>
          <t>CH01</t>
        </is>
      </c>
      <c r="H441" s="4" t="inlineStr">
        <is>
          <t>PR00</t>
        </is>
      </c>
      <c r="I441" s="8" t="n">
        <v>79</v>
      </c>
      <c r="J441" s="9" t="n">
        <v>0</v>
      </c>
      <c r="K441" s="10">
        <f>I441*(1-J441)</f>
        <v/>
      </c>
      <c r="L441" s="11" t="n">
        <v>3</v>
      </c>
      <c r="M441" s="10">
        <f>K441*L441</f>
        <v/>
      </c>
      <c r="N441" s="8" t="n">
        <v>35.34</v>
      </c>
      <c r="O441" s="10">
        <f>N441*L441</f>
        <v/>
      </c>
      <c r="P441" s="10">
        <f>M441-O441</f>
        <v/>
      </c>
      <c r="Q441" s="11" t="inlineStr">
        <is>
          <t>No</t>
        </is>
      </c>
      <c r="R441" s="11" t="n">
        <v>0</v>
      </c>
      <c r="S441" s="10">
        <f>M441-(R441*K441)</f>
        <v/>
      </c>
      <c r="T441" s="12">
        <f>VLOOKUP(E441,Dim_Product!$A$2:$Q$61,3,FALSE)</f>
        <v/>
      </c>
      <c r="U441" s="12">
        <f>VLOOKUP(E441,Dim_Product!$A$2:$Q$61,4,FALSE)</f>
        <v/>
      </c>
      <c r="V441" s="12">
        <f>VLOOKUP(D441,Dim_Customer!$A$2:$I$121,6,FALSE)</f>
        <v/>
      </c>
      <c r="W441" s="12">
        <f>VLOOKUP(G441,Dim_Channel!$A$2:$B$5,2,FALSE)</f>
        <v/>
      </c>
      <c r="X441" s="12">
        <f>VLOOKUP(H441,Dim_Promotion!$A$2:$G$11,2,FALSE)</f>
        <v/>
      </c>
    </row>
    <row r="442">
      <c r="A442" s="4" t="inlineStr">
        <is>
          <t>SL0441</t>
        </is>
      </c>
      <c r="B442" t="inlineStr">
        <is>
          <t>O010221</t>
        </is>
      </c>
      <c r="C442" t="n">
        <v>20250801</v>
      </c>
      <c r="D442" s="4" t="inlineStr">
        <is>
          <t>C046</t>
        </is>
      </c>
      <c r="E442" s="4" t="inlineStr">
        <is>
          <t>P052</t>
        </is>
      </c>
      <c r="F442" t="inlineStr">
        <is>
          <t>S</t>
        </is>
      </c>
      <c r="G442" s="4" t="inlineStr">
        <is>
          <t>CH04</t>
        </is>
      </c>
      <c r="H442" s="4" t="inlineStr">
        <is>
          <t>PR00</t>
        </is>
      </c>
      <c r="I442" s="8" t="n">
        <v>64</v>
      </c>
      <c r="J442" s="9" t="n">
        <v>0.05</v>
      </c>
      <c r="K442" s="10">
        <f>I442*(1-J442)</f>
        <v/>
      </c>
      <c r="L442" s="11" t="n">
        <v>1</v>
      </c>
      <c r="M442" s="10">
        <f>K442*L442</f>
        <v/>
      </c>
      <c r="N442" s="8" t="n">
        <v>31.53</v>
      </c>
      <c r="O442" s="10">
        <f>N442*L442</f>
        <v/>
      </c>
      <c r="P442" s="10">
        <f>M442-O442</f>
        <v/>
      </c>
      <c r="Q442" s="11" t="inlineStr">
        <is>
          <t>No</t>
        </is>
      </c>
      <c r="R442" s="11" t="n">
        <v>0</v>
      </c>
      <c r="S442" s="10">
        <f>M442-(R442*K442)</f>
        <v/>
      </c>
      <c r="T442" s="12">
        <f>VLOOKUP(E442,Dim_Product!$A$2:$Q$61,3,FALSE)</f>
        <v/>
      </c>
      <c r="U442" s="12">
        <f>VLOOKUP(E442,Dim_Product!$A$2:$Q$61,4,FALSE)</f>
        <v/>
      </c>
      <c r="V442" s="12">
        <f>VLOOKUP(D442,Dim_Customer!$A$2:$I$121,6,FALSE)</f>
        <v/>
      </c>
      <c r="W442" s="12">
        <f>VLOOKUP(G442,Dim_Channel!$A$2:$B$5,2,FALSE)</f>
        <v/>
      </c>
      <c r="X442" s="12">
        <f>VLOOKUP(H442,Dim_Promotion!$A$2:$G$11,2,FALSE)</f>
        <v/>
      </c>
    </row>
    <row r="443">
      <c r="A443" s="4" t="inlineStr">
        <is>
          <t>SL0442</t>
        </is>
      </c>
      <c r="B443" t="inlineStr">
        <is>
          <t>O010221</t>
        </is>
      </c>
      <c r="C443" t="n">
        <v>20250409</v>
      </c>
      <c r="D443" s="4" t="inlineStr">
        <is>
          <t>C044</t>
        </is>
      </c>
      <c r="E443" s="4" t="inlineStr">
        <is>
          <t>P046</t>
        </is>
      </c>
      <c r="F443" t="inlineStr">
        <is>
          <t>L</t>
        </is>
      </c>
      <c r="G443" s="4" t="inlineStr">
        <is>
          <t>CH02</t>
        </is>
      </c>
      <c r="H443" s="4" t="inlineStr">
        <is>
          <t>PR00</t>
        </is>
      </c>
      <c r="I443" s="8" t="n">
        <v>68</v>
      </c>
      <c r="J443" s="9" t="n">
        <v>0</v>
      </c>
      <c r="K443" s="10">
        <f>I443*(1-J443)</f>
        <v/>
      </c>
      <c r="L443" s="11" t="n">
        <v>1</v>
      </c>
      <c r="M443" s="10">
        <f>K443*L443</f>
        <v/>
      </c>
      <c r="N443" s="8" t="n">
        <v>32.55</v>
      </c>
      <c r="O443" s="10">
        <f>N443*L443</f>
        <v/>
      </c>
      <c r="P443" s="10">
        <f>M443-O443</f>
        <v/>
      </c>
      <c r="Q443" s="11" t="inlineStr">
        <is>
          <t>No</t>
        </is>
      </c>
      <c r="R443" s="11" t="n">
        <v>0</v>
      </c>
      <c r="S443" s="10">
        <f>M443-(R443*K443)</f>
        <v/>
      </c>
      <c r="T443" s="12">
        <f>VLOOKUP(E443,Dim_Product!$A$2:$Q$61,3,FALSE)</f>
        <v/>
      </c>
      <c r="U443" s="12">
        <f>VLOOKUP(E443,Dim_Product!$A$2:$Q$61,4,FALSE)</f>
        <v/>
      </c>
      <c r="V443" s="12">
        <f>VLOOKUP(D443,Dim_Customer!$A$2:$I$121,6,FALSE)</f>
        <v/>
      </c>
      <c r="W443" s="12">
        <f>VLOOKUP(G443,Dim_Channel!$A$2:$B$5,2,FALSE)</f>
        <v/>
      </c>
      <c r="X443" s="12">
        <f>VLOOKUP(H443,Dim_Promotion!$A$2:$G$11,2,FALSE)</f>
        <v/>
      </c>
    </row>
    <row r="444">
      <c r="A444" s="4" t="inlineStr">
        <is>
          <t>SL0443</t>
        </is>
      </c>
      <c r="B444" t="inlineStr">
        <is>
          <t>O010222</t>
        </is>
      </c>
      <c r="C444" t="n">
        <v>20251226</v>
      </c>
      <c r="D444" s="4" t="inlineStr">
        <is>
          <t>C059</t>
        </is>
      </c>
      <c r="E444" s="4" t="inlineStr">
        <is>
          <t>P058</t>
        </is>
      </c>
      <c r="F444" t="inlineStr">
        <is>
          <t>XL</t>
        </is>
      </c>
      <c r="G444" s="4" t="inlineStr">
        <is>
          <t>CH03</t>
        </is>
      </c>
      <c r="H444" s="4" t="inlineStr">
        <is>
          <t>PR00</t>
        </is>
      </c>
      <c r="I444" s="8" t="n">
        <v>72</v>
      </c>
      <c r="J444" s="9" t="n">
        <v>0</v>
      </c>
      <c r="K444" s="10">
        <f>I444*(1-J444)</f>
        <v/>
      </c>
      <c r="L444" s="11" t="n">
        <v>2</v>
      </c>
      <c r="M444" s="10">
        <f>K444*L444</f>
        <v/>
      </c>
      <c r="N444" s="8" t="n">
        <v>35.37</v>
      </c>
      <c r="O444" s="10">
        <f>N444*L444</f>
        <v/>
      </c>
      <c r="P444" s="10">
        <f>M444-O444</f>
        <v/>
      </c>
      <c r="Q444" s="11" t="inlineStr">
        <is>
          <t>No</t>
        </is>
      </c>
      <c r="R444" s="11" t="n">
        <v>0</v>
      </c>
      <c r="S444" s="10">
        <f>M444-(R444*K444)</f>
        <v/>
      </c>
      <c r="T444" s="12">
        <f>VLOOKUP(E444,Dim_Product!$A$2:$Q$61,3,FALSE)</f>
        <v/>
      </c>
      <c r="U444" s="12">
        <f>VLOOKUP(E444,Dim_Product!$A$2:$Q$61,4,FALSE)</f>
        <v/>
      </c>
      <c r="V444" s="12">
        <f>VLOOKUP(D444,Dim_Customer!$A$2:$I$121,6,FALSE)</f>
        <v/>
      </c>
      <c r="W444" s="12">
        <f>VLOOKUP(G444,Dim_Channel!$A$2:$B$5,2,FALSE)</f>
        <v/>
      </c>
      <c r="X444" s="12">
        <f>VLOOKUP(H444,Dim_Promotion!$A$2:$G$11,2,FALSE)</f>
        <v/>
      </c>
    </row>
    <row r="445">
      <c r="A445" s="4" t="inlineStr">
        <is>
          <t>SL0444</t>
        </is>
      </c>
      <c r="B445" t="inlineStr">
        <is>
          <t>O010222</t>
        </is>
      </c>
      <c r="C445" t="n">
        <v>20250928</v>
      </c>
      <c r="D445" s="4" t="inlineStr">
        <is>
          <t>C027</t>
        </is>
      </c>
      <c r="E445" s="4" t="inlineStr">
        <is>
          <t>P054</t>
        </is>
      </c>
      <c r="F445" t="inlineStr">
        <is>
          <t>S</t>
        </is>
      </c>
      <c r="G445" s="4" t="inlineStr">
        <is>
          <t>CH02</t>
        </is>
      </c>
      <c r="H445" s="4" t="inlineStr">
        <is>
          <t>PR00</t>
        </is>
      </c>
      <c r="I445" s="8" t="n">
        <v>72</v>
      </c>
      <c r="J445" s="9" t="n">
        <v>0</v>
      </c>
      <c r="K445" s="10">
        <f>I445*(1-J445)</f>
        <v/>
      </c>
      <c r="L445" s="11" t="n">
        <v>1</v>
      </c>
      <c r="M445" s="10">
        <f>K445*L445</f>
        <v/>
      </c>
      <c r="N445" s="8" t="n">
        <v>31.06</v>
      </c>
      <c r="O445" s="10">
        <f>N445*L445</f>
        <v/>
      </c>
      <c r="P445" s="10">
        <f>M445-O445</f>
        <v/>
      </c>
      <c r="Q445" s="11" t="inlineStr">
        <is>
          <t>No</t>
        </is>
      </c>
      <c r="R445" s="11" t="n">
        <v>0</v>
      </c>
      <c r="S445" s="10">
        <f>M445-(R445*K445)</f>
        <v/>
      </c>
      <c r="T445" s="12">
        <f>VLOOKUP(E445,Dim_Product!$A$2:$Q$61,3,FALSE)</f>
        <v/>
      </c>
      <c r="U445" s="12">
        <f>VLOOKUP(E445,Dim_Product!$A$2:$Q$61,4,FALSE)</f>
        <v/>
      </c>
      <c r="V445" s="12">
        <f>VLOOKUP(D445,Dim_Customer!$A$2:$I$121,6,FALSE)</f>
        <v/>
      </c>
      <c r="W445" s="12">
        <f>VLOOKUP(G445,Dim_Channel!$A$2:$B$5,2,FALSE)</f>
        <v/>
      </c>
      <c r="X445" s="12">
        <f>VLOOKUP(H445,Dim_Promotion!$A$2:$G$11,2,FALSE)</f>
        <v/>
      </c>
    </row>
    <row r="446">
      <c r="A446" s="4" t="inlineStr">
        <is>
          <t>SL0445</t>
        </is>
      </c>
      <c r="B446" t="inlineStr">
        <is>
          <t>O010223</t>
        </is>
      </c>
      <c r="C446" t="n">
        <v>20250207</v>
      </c>
      <c r="D446" s="4" t="inlineStr">
        <is>
          <t>C057</t>
        </is>
      </c>
      <c r="E446" s="4" t="inlineStr">
        <is>
          <t>P058</t>
        </is>
      </c>
      <c r="F446" t="inlineStr">
        <is>
          <t>S</t>
        </is>
      </c>
      <c r="G446" s="4" t="inlineStr">
        <is>
          <t>CH04</t>
        </is>
      </c>
      <c r="H446" s="4" t="inlineStr">
        <is>
          <t>PR00</t>
        </is>
      </c>
      <c r="I446" s="8" t="n">
        <v>74</v>
      </c>
      <c r="J446" s="9" t="n">
        <v>0</v>
      </c>
      <c r="K446" s="10">
        <f>I446*(1-J446)</f>
        <v/>
      </c>
      <c r="L446" s="11" t="n">
        <v>1</v>
      </c>
      <c r="M446" s="10">
        <f>K446*L446</f>
        <v/>
      </c>
      <c r="N446" s="8" t="n">
        <v>36.08</v>
      </c>
      <c r="O446" s="10">
        <f>N446*L446</f>
        <v/>
      </c>
      <c r="P446" s="10">
        <f>M446-O446</f>
        <v/>
      </c>
      <c r="Q446" s="11" t="inlineStr">
        <is>
          <t>No</t>
        </is>
      </c>
      <c r="R446" s="11" t="n">
        <v>0</v>
      </c>
      <c r="S446" s="10">
        <f>M446-(R446*K446)</f>
        <v/>
      </c>
      <c r="T446" s="12">
        <f>VLOOKUP(E446,Dim_Product!$A$2:$Q$61,3,FALSE)</f>
        <v/>
      </c>
      <c r="U446" s="12">
        <f>VLOOKUP(E446,Dim_Product!$A$2:$Q$61,4,FALSE)</f>
        <v/>
      </c>
      <c r="V446" s="12">
        <f>VLOOKUP(D446,Dim_Customer!$A$2:$I$121,6,FALSE)</f>
        <v/>
      </c>
      <c r="W446" s="12">
        <f>VLOOKUP(G446,Dim_Channel!$A$2:$B$5,2,FALSE)</f>
        <v/>
      </c>
      <c r="X446" s="12">
        <f>VLOOKUP(H446,Dim_Promotion!$A$2:$G$11,2,FALSE)</f>
        <v/>
      </c>
    </row>
    <row r="447">
      <c r="A447" s="4" t="inlineStr">
        <is>
          <t>SL0446</t>
        </is>
      </c>
      <c r="B447" t="inlineStr">
        <is>
          <t>O010223</t>
        </is>
      </c>
      <c r="C447" t="n">
        <v>20250622</v>
      </c>
      <c r="D447" s="4" t="inlineStr">
        <is>
          <t>C032</t>
        </is>
      </c>
      <c r="E447" s="4" t="inlineStr">
        <is>
          <t>P008</t>
        </is>
      </c>
      <c r="F447" t="inlineStr">
        <is>
          <t>M</t>
        </is>
      </c>
      <c r="G447" s="4" t="inlineStr">
        <is>
          <t>CH02</t>
        </is>
      </c>
      <c r="H447" s="4" t="inlineStr">
        <is>
          <t>PR05</t>
        </is>
      </c>
      <c r="I447" s="8" t="n">
        <v>53</v>
      </c>
      <c r="J447" s="9" t="n">
        <v>0.2</v>
      </c>
      <c r="K447" s="10">
        <f>I447*(1-J447)</f>
        <v/>
      </c>
      <c r="L447" s="11" t="n">
        <v>2</v>
      </c>
      <c r="M447" s="10">
        <f>K447*L447</f>
        <v/>
      </c>
      <c r="N447" s="8" t="n">
        <v>23.78</v>
      </c>
      <c r="O447" s="10">
        <f>N447*L447</f>
        <v/>
      </c>
      <c r="P447" s="10">
        <f>M447-O447</f>
        <v/>
      </c>
      <c r="Q447" s="11" t="inlineStr">
        <is>
          <t>No</t>
        </is>
      </c>
      <c r="R447" s="11" t="n">
        <v>0</v>
      </c>
      <c r="S447" s="10">
        <f>M447-(R447*K447)</f>
        <v/>
      </c>
      <c r="T447" s="12">
        <f>VLOOKUP(E447,Dim_Product!$A$2:$Q$61,3,FALSE)</f>
        <v/>
      </c>
      <c r="U447" s="12">
        <f>VLOOKUP(E447,Dim_Product!$A$2:$Q$61,4,FALSE)</f>
        <v/>
      </c>
      <c r="V447" s="12">
        <f>VLOOKUP(D447,Dim_Customer!$A$2:$I$121,6,FALSE)</f>
        <v/>
      </c>
      <c r="W447" s="12">
        <f>VLOOKUP(G447,Dim_Channel!$A$2:$B$5,2,FALSE)</f>
        <v/>
      </c>
      <c r="X447" s="12">
        <f>VLOOKUP(H447,Dim_Promotion!$A$2:$G$11,2,FALSE)</f>
        <v/>
      </c>
    </row>
    <row r="448">
      <c r="A448" s="4" t="inlineStr">
        <is>
          <t>SL0447</t>
        </is>
      </c>
      <c r="B448" t="inlineStr">
        <is>
          <t>O010224</t>
        </is>
      </c>
      <c r="C448" t="n">
        <v>20250722</v>
      </c>
      <c r="D448" s="4" t="inlineStr">
        <is>
          <t>C047</t>
        </is>
      </c>
      <c r="E448" s="4" t="inlineStr">
        <is>
          <t>P057</t>
        </is>
      </c>
      <c r="F448" t="inlineStr">
        <is>
          <t>L</t>
        </is>
      </c>
      <c r="G448" s="4" t="inlineStr">
        <is>
          <t>CH04</t>
        </is>
      </c>
      <c r="H448" s="4" t="inlineStr">
        <is>
          <t>PR00</t>
        </is>
      </c>
      <c r="I448" s="8" t="n">
        <v>74</v>
      </c>
      <c r="J448" s="9" t="n">
        <v>0.08</v>
      </c>
      <c r="K448" s="10">
        <f>I448*(1-J448)</f>
        <v/>
      </c>
      <c r="L448" s="11" t="n">
        <v>1</v>
      </c>
      <c r="M448" s="10">
        <f>K448*L448</f>
        <v/>
      </c>
      <c r="N448" s="8" t="n">
        <v>35.92</v>
      </c>
      <c r="O448" s="10">
        <f>N448*L448</f>
        <v/>
      </c>
      <c r="P448" s="10">
        <f>M448-O448</f>
        <v/>
      </c>
      <c r="Q448" s="11" t="inlineStr">
        <is>
          <t>No</t>
        </is>
      </c>
      <c r="R448" s="11" t="n">
        <v>0</v>
      </c>
      <c r="S448" s="10">
        <f>M448-(R448*K448)</f>
        <v/>
      </c>
      <c r="T448" s="12">
        <f>VLOOKUP(E448,Dim_Product!$A$2:$Q$61,3,FALSE)</f>
        <v/>
      </c>
      <c r="U448" s="12">
        <f>VLOOKUP(E448,Dim_Product!$A$2:$Q$61,4,FALSE)</f>
        <v/>
      </c>
      <c r="V448" s="12">
        <f>VLOOKUP(D448,Dim_Customer!$A$2:$I$121,6,FALSE)</f>
        <v/>
      </c>
      <c r="W448" s="12">
        <f>VLOOKUP(G448,Dim_Channel!$A$2:$B$5,2,FALSE)</f>
        <v/>
      </c>
      <c r="X448" s="12">
        <f>VLOOKUP(H448,Dim_Promotion!$A$2:$G$11,2,FALSE)</f>
        <v/>
      </c>
    </row>
    <row r="449">
      <c r="A449" s="4" t="inlineStr">
        <is>
          <t>SL0448</t>
        </is>
      </c>
      <c r="B449" t="inlineStr">
        <is>
          <t>O010224</t>
        </is>
      </c>
      <c r="C449" t="n">
        <v>20250602</v>
      </c>
      <c r="D449" s="4" t="inlineStr">
        <is>
          <t>C085</t>
        </is>
      </c>
      <c r="E449" s="4" t="inlineStr">
        <is>
          <t>P055</t>
        </is>
      </c>
      <c r="F449" t="inlineStr">
        <is>
          <t>M</t>
        </is>
      </c>
      <c r="G449" s="4" t="inlineStr">
        <is>
          <t>CH04</t>
        </is>
      </c>
      <c r="H449" s="4" t="inlineStr">
        <is>
          <t>PR00</t>
        </is>
      </c>
      <c r="I449" s="8" t="n">
        <v>72</v>
      </c>
      <c r="J449" s="9" t="n">
        <v>0</v>
      </c>
      <c r="K449" s="10">
        <f>I449*(1-J449)</f>
        <v/>
      </c>
      <c r="L449" s="11" t="n">
        <v>3</v>
      </c>
      <c r="M449" s="10">
        <f>K449*L449</f>
        <v/>
      </c>
      <c r="N449" s="8" t="n">
        <v>34.18</v>
      </c>
      <c r="O449" s="10">
        <f>N449*L449</f>
        <v/>
      </c>
      <c r="P449" s="10">
        <f>M449-O449</f>
        <v/>
      </c>
      <c r="Q449" s="11" t="inlineStr">
        <is>
          <t>No</t>
        </is>
      </c>
      <c r="R449" s="11" t="n">
        <v>0</v>
      </c>
      <c r="S449" s="10">
        <f>M449-(R449*K449)</f>
        <v/>
      </c>
      <c r="T449" s="12">
        <f>VLOOKUP(E449,Dim_Product!$A$2:$Q$61,3,FALSE)</f>
        <v/>
      </c>
      <c r="U449" s="12">
        <f>VLOOKUP(E449,Dim_Product!$A$2:$Q$61,4,FALSE)</f>
        <v/>
      </c>
      <c r="V449" s="12">
        <f>VLOOKUP(D449,Dim_Customer!$A$2:$I$121,6,FALSE)</f>
        <v/>
      </c>
      <c r="W449" s="12">
        <f>VLOOKUP(G449,Dim_Channel!$A$2:$B$5,2,FALSE)</f>
        <v/>
      </c>
      <c r="X449" s="12">
        <f>VLOOKUP(H449,Dim_Promotion!$A$2:$G$11,2,FALSE)</f>
        <v/>
      </c>
    </row>
    <row r="450">
      <c r="A450" s="4" t="inlineStr">
        <is>
          <t>SL0449</t>
        </is>
      </c>
      <c r="B450" t="inlineStr">
        <is>
          <t>O010225</t>
        </is>
      </c>
      <c r="C450" t="n">
        <v>20251028</v>
      </c>
      <c r="D450" s="4" t="inlineStr">
        <is>
          <t>C039</t>
        </is>
      </c>
      <c r="E450" s="4" t="inlineStr">
        <is>
          <t>P042</t>
        </is>
      </c>
      <c r="F450" t="inlineStr">
        <is>
          <t>S</t>
        </is>
      </c>
      <c r="G450" s="4" t="inlineStr">
        <is>
          <t>CH03</t>
        </is>
      </c>
      <c r="H450" s="4" t="inlineStr">
        <is>
          <t>PR00</t>
        </is>
      </c>
      <c r="I450" s="8" t="n">
        <v>78</v>
      </c>
      <c r="J450" s="9" t="n">
        <v>0</v>
      </c>
      <c r="K450" s="10">
        <f>I450*(1-J450)</f>
        <v/>
      </c>
      <c r="L450" s="11" t="n">
        <v>3</v>
      </c>
      <c r="M450" s="10">
        <f>K450*L450</f>
        <v/>
      </c>
      <c r="N450" s="8" t="n">
        <v>37.81</v>
      </c>
      <c r="O450" s="10">
        <f>N450*L450</f>
        <v/>
      </c>
      <c r="P450" s="10">
        <f>M450-O450</f>
        <v/>
      </c>
      <c r="Q450" s="11" t="inlineStr">
        <is>
          <t>No</t>
        </is>
      </c>
      <c r="R450" s="11" t="n">
        <v>0</v>
      </c>
      <c r="S450" s="10">
        <f>M450-(R450*K450)</f>
        <v/>
      </c>
      <c r="T450" s="12">
        <f>VLOOKUP(E450,Dim_Product!$A$2:$Q$61,3,FALSE)</f>
        <v/>
      </c>
      <c r="U450" s="12">
        <f>VLOOKUP(E450,Dim_Product!$A$2:$Q$61,4,FALSE)</f>
        <v/>
      </c>
      <c r="V450" s="12">
        <f>VLOOKUP(D450,Dim_Customer!$A$2:$I$121,6,FALSE)</f>
        <v/>
      </c>
      <c r="W450" s="12">
        <f>VLOOKUP(G450,Dim_Channel!$A$2:$B$5,2,FALSE)</f>
        <v/>
      </c>
      <c r="X450" s="12">
        <f>VLOOKUP(H450,Dim_Promotion!$A$2:$G$11,2,FALSE)</f>
        <v/>
      </c>
    </row>
    <row r="451">
      <c r="A451" s="4" t="inlineStr">
        <is>
          <t>SL0450</t>
        </is>
      </c>
      <c r="B451" t="inlineStr">
        <is>
          <t>O010225</t>
        </is>
      </c>
      <c r="C451" t="n">
        <v>20250418</v>
      </c>
      <c r="D451" s="4" t="inlineStr">
        <is>
          <t>C080</t>
        </is>
      </c>
      <c r="E451" s="4" t="inlineStr">
        <is>
          <t>P046</t>
        </is>
      </c>
      <c r="F451" t="inlineStr">
        <is>
          <t>M</t>
        </is>
      </c>
      <c r="G451" s="4" t="inlineStr">
        <is>
          <t>CH04</t>
        </is>
      </c>
      <c r="H451" s="4" t="inlineStr">
        <is>
          <t>PR00</t>
        </is>
      </c>
      <c r="I451" s="8" t="n">
        <v>66</v>
      </c>
      <c r="J451" s="9" t="n">
        <v>0</v>
      </c>
      <c r="K451" s="10">
        <f>I451*(1-J451)</f>
        <v/>
      </c>
      <c r="L451" s="11" t="n">
        <v>2</v>
      </c>
      <c r="M451" s="10">
        <f>K451*L451</f>
        <v/>
      </c>
      <c r="N451" s="8" t="n">
        <v>32.51</v>
      </c>
      <c r="O451" s="10">
        <f>N451*L451</f>
        <v/>
      </c>
      <c r="P451" s="10">
        <f>M451-O451</f>
        <v/>
      </c>
      <c r="Q451" s="11" t="inlineStr">
        <is>
          <t>No</t>
        </is>
      </c>
      <c r="R451" s="11" t="n">
        <v>0</v>
      </c>
      <c r="S451" s="10">
        <f>M451-(R451*K451)</f>
        <v/>
      </c>
      <c r="T451" s="12">
        <f>VLOOKUP(E451,Dim_Product!$A$2:$Q$61,3,FALSE)</f>
        <v/>
      </c>
      <c r="U451" s="12">
        <f>VLOOKUP(E451,Dim_Product!$A$2:$Q$61,4,FALSE)</f>
        <v/>
      </c>
      <c r="V451" s="12">
        <f>VLOOKUP(D451,Dim_Customer!$A$2:$I$121,6,FALSE)</f>
        <v/>
      </c>
      <c r="W451" s="12">
        <f>VLOOKUP(G451,Dim_Channel!$A$2:$B$5,2,FALSE)</f>
        <v/>
      </c>
      <c r="X451" s="12">
        <f>VLOOKUP(H451,Dim_Promotion!$A$2:$G$11,2,FALSE)</f>
        <v/>
      </c>
    </row>
    <row r="452">
      <c r="A452" s="4" t="inlineStr">
        <is>
          <t>SL0451</t>
        </is>
      </c>
      <c r="B452" t="inlineStr">
        <is>
          <t>O010226</t>
        </is>
      </c>
      <c r="C452" t="n">
        <v>20250624</v>
      </c>
      <c r="D452" s="4" t="inlineStr">
        <is>
          <t>C095</t>
        </is>
      </c>
      <c r="E452" s="4" t="inlineStr">
        <is>
          <t>P031</t>
        </is>
      </c>
      <c r="F452" t="inlineStr">
        <is>
          <t>M</t>
        </is>
      </c>
      <c r="G452" s="4" t="inlineStr">
        <is>
          <t>CH02</t>
        </is>
      </c>
      <c r="H452" s="4" t="inlineStr">
        <is>
          <t>PR00</t>
        </is>
      </c>
      <c r="I452" s="8" t="n">
        <v>112</v>
      </c>
      <c r="J452" s="9" t="n">
        <v>0</v>
      </c>
      <c r="K452" s="10">
        <f>I452*(1-J452)</f>
        <v/>
      </c>
      <c r="L452" s="11" t="n">
        <v>1</v>
      </c>
      <c r="M452" s="10">
        <f>K452*L452</f>
        <v/>
      </c>
      <c r="N452" s="8" t="n">
        <v>56.84</v>
      </c>
      <c r="O452" s="10">
        <f>N452*L452</f>
        <v/>
      </c>
      <c r="P452" s="10">
        <f>M452-O452</f>
        <v/>
      </c>
      <c r="Q452" s="11" t="inlineStr">
        <is>
          <t>No</t>
        </is>
      </c>
      <c r="R452" s="11" t="n">
        <v>0</v>
      </c>
      <c r="S452" s="10">
        <f>M452-(R452*K452)</f>
        <v/>
      </c>
      <c r="T452" s="12">
        <f>VLOOKUP(E452,Dim_Product!$A$2:$Q$61,3,FALSE)</f>
        <v/>
      </c>
      <c r="U452" s="12">
        <f>VLOOKUP(E452,Dim_Product!$A$2:$Q$61,4,FALSE)</f>
        <v/>
      </c>
      <c r="V452" s="12">
        <f>VLOOKUP(D452,Dim_Customer!$A$2:$I$121,6,FALSE)</f>
        <v/>
      </c>
      <c r="W452" s="12">
        <f>VLOOKUP(G452,Dim_Channel!$A$2:$B$5,2,FALSE)</f>
        <v/>
      </c>
      <c r="X452" s="12">
        <f>VLOOKUP(H452,Dim_Promotion!$A$2:$G$11,2,FALSE)</f>
        <v/>
      </c>
    </row>
    <row r="453">
      <c r="A453" s="4" t="inlineStr">
        <is>
          <t>SL0452</t>
        </is>
      </c>
      <c r="B453" t="inlineStr">
        <is>
          <t>O010226</t>
        </is>
      </c>
      <c r="C453" t="n">
        <v>20250427</v>
      </c>
      <c r="D453" s="4" t="inlineStr">
        <is>
          <t>C100</t>
        </is>
      </c>
      <c r="E453" s="4" t="inlineStr">
        <is>
          <t>P017</t>
        </is>
      </c>
      <c r="F453" t="inlineStr">
        <is>
          <t>M</t>
        </is>
      </c>
      <c r="G453" s="4" t="inlineStr">
        <is>
          <t>CH03</t>
        </is>
      </c>
      <c r="H453" s="4" t="inlineStr">
        <is>
          <t>PR00</t>
        </is>
      </c>
      <c r="I453" s="8" t="n">
        <v>68</v>
      </c>
      <c r="J453" s="9" t="n">
        <v>0</v>
      </c>
      <c r="K453" s="10">
        <f>I453*(1-J453)</f>
        <v/>
      </c>
      <c r="L453" s="11" t="n">
        <v>1</v>
      </c>
      <c r="M453" s="10">
        <f>K453*L453</f>
        <v/>
      </c>
      <c r="N453" s="8" t="n">
        <v>32.04</v>
      </c>
      <c r="O453" s="10">
        <f>N453*L453</f>
        <v/>
      </c>
      <c r="P453" s="10">
        <f>M453-O453</f>
        <v/>
      </c>
      <c r="Q453" s="11" t="inlineStr">
        <is>
          <t>No</t>
        </is>
      </c>
      <c r="R453" s="11" t="n">
        <v>0</v>
      </c>
      <c r="S453" s="10">
        <f>M453-(R453*K453)</f>
        <v/>
      </c>
      <c r="T453" s="12">
        <f>VLOOKUP(E453,Dim_Product!$A$2:$Q$61,3,FALSE)</f>
        <v/>
      </c>
      <c r="U453" s="12">
        <f>VLOOKUP(E453,Dim_Product!$A$2:$Q$61,4,FALSE)</f>
        <v/>
      </c>
      <c r="V453" s="12">
        <f>VLOOKUP(D453,Dim_Customer!$A$2:$I$121,6,FALSE)</f>
        <v/>
      </c>
      <c r="W453" s="12">
        <f>VLOOKUP(G453,Dim_Channel!$A$2:$B$5,2,FALSE)</f>
        <v/>
      </c>
      <c r="X453" s="12">
        <f>VLOOKUP(H453,Dim_Promotion!$A$2:$G$11,2,FALSE)</f>
        <v/>
      </c>
    </row>
    <row r="454">
      <c r="A454" s="4" t="inlineStr">
        <is>
          <t>SL0453</t>
        </is>
      </c>
      <c r="B454" t="inlineStr">
        <is>
          <t>O010227</t>
        </is>
      </c>
      <c r="C454" t="n">
        <v>20250904</v>
      </c>
      <c r="D454" s="4" t="inlineStr">
        <is>
          <t>C058</t>
        </is>
      </c>
      <c r="E454" s="4" t="inlineStr">
        <is>
          <t>P017</t>
        </is>
      </c>
      <c r="F454" t="inlineStr">
        <is>
          <t>M</t>
        </is>
      </c>
      <c r="G454" s="4" t="inlineStr">
        <is>
          <t>CH04</t>
        </is>
      </c>
      <c r="H454" s="4" t="inlineStr">
        <is>
          <t>PR00</t>
        </is>
      </c>
      <c r="I454" s="8" t="n">
        <v>70</v>
      </c>
      <c r="J454" s="9" t="n">
        <v>0</v>
      </c>
      <c r="K454" s="10">
        <f>I454*(1-J454)</f>
        <v/>
      </c>
      <c r="L454" s="11" t="n">
        <v>1</v>
      </c>
      <c r="M454" s="10">
        <f>K454*L454</f>
        <v/>
      </c>
      <c r="N454" s="8" t="n">
        <v>33.16</v>
      </c>
      <c r="O454" s="10">
        <f>N454*L454</f>
        <v/>
      </c>
      <c r="P454" s="10">
        <f>M454-O454</f>
        <v/>
      </c>
      <c r="Q454" s="11" t="inlineStr">
        <is>
          <t>No</t>
        </is>
      </c>
      <c r="R454" s="11" t="n">
        <v>0</v>
      </c>
      <c r="S454" s="10">
        <f>M454-(R454*K454)</f>
        <v/>
      </c>
      <c r="T454" s="12">
        <f>VLOOKUP(E454,Dim_Product!$A$2:$Q$61,3,FALSE)</f>
        <v/>
      </c>
      <c r="U454" s="12">
        <f>VLOOKUP(E454,Dim_Product!$A$2:$Q$61,4,FALSE)</f>
        <v/>
      </c>
      <c r="V454" s="12">
        <f>VLOOKUP(D454,Dim_Customer!$A$2:$I$121,6,FALSE)</f>
        <v/>
      </c>
      <c r="W454" s="12">
        <f>VLOOKUP(G454,Dim_Channel!$A$2:$B$5,2,FALSE)</f>
        <v/>
      </c>
      <c r="X454" s="12">
        <f>VLOOKUP(H454,Dim_Promotion!$A$2:$G$11,2,FALSE)</f>
        <v/>
      </c>
    </row>
    <row r="455">
      <c r="A455" s="4" t="inlineStr">
        <is>
          <t>SL0454</t>
        </is>
      </c>
      <c r="B455" t="inlineStr">
        <is>
          <t>O010227</t>
        </is>
      </c>
      <c r="C455" t="n">
        <v>20251108</v>
      </c>
      <c r="D455" s="4" t="inlineStr">
        <is>
          <t>C045</t>
        </is>
      </c>
      <c r="E455" s="4" t="inlineStr">
        <is>
          <t>P017</t>
        </is>
      </c>
      <c r="F455" t="inlineStr">
        <is>
          <t>L</t>
        </is>
      </c>
      <c r="G455" s="4" t="inlineStr">
        <is>
          <t>CH02</t>
        </is>
      </c>
      <c r="H455" s="4" t="inlineStr">
        <is>
          <t>PR00</t>
        </is>
      </c>
      <c r="I455" s="8" t="n">
        <v>69</v>
      </c>
      <c r="J455" s="9" t="n">
        <v>0</v>
      </c>
      <c r="K455" s="10">
        <f>I455*(1-J455)</f>
        <v/>
      </c>
      <c r="L455" s="11" t="n">
        <v>1</v>
      </c>
      <c r="M455" s="10">
        <f>K455*L455</f>
        <v/>
      </c>
      <c r="N455" s="8" t="n">
        <v>31.84</v>
      </c>
      <c r="O455" s="10">
        <f>N455*L455</f>
        <v/>
      </c>
      <c r="P455" s="10">
        <f>M455-O455</f>
        <v/>
      </c>
      <c r="Q455" s="11" t="inlineStr">
        <is>
          <t>No</t>
        </is>
      </c>
      <c r="R455" s="11" t="n">
        <v>0</v>
      </c>
      <c r="S455" s="10">
        <f>M455-(R455*K455)</f>
        <v/>
      </c>
      <c r="T455" s="12">
        <f>VLOOKUP(E455,Dim_Product!$A$2:$Q$61,3,FALSE)</f>
        <v/>
      </c>
      <c r="U455" s="12">
        <f>VLOOKUP(E455,Dim_Product!$A$2:$Q$61,4,FALSE)</f>
        <v/>
      </c>
      <c r="V455" s="12">
        <f>VLOOKUP(D455,Dim_Customer!$A$2:$I$121,6,FALSE)</f>
        <v/>
      </c>
      <c r="W455" s="12">
        <f>VLOOKUP(G455,Dim_Channel!$A$2:$B$5,2,FALSE)</f>
        <v/>
      </c>
      <c r="X455" s="12">
        <f>VLOOKUP(H455,Dim_Promotion!$A$2:$G$11,2,FALSE)</f>
        <v/>
      </c>
    </row>
    <row r="456">
      <c r="A456" s="4" t="inlineStr">
        <is>
          <t>SL0455</t>
        </is>
      </c>
      <c r="B456" t="inlineStr">
        <is>
          <t>O010228</t>
        </is>
      </c>
      <c r="C456" t="n">
        <v>20250827</v>
      </c>
      <c r="D456" s="4" t="inlineStr">
        <is>
          <t>C100</t>
        </is>
      </c>
      <c r="E456" s="4" t="inlineStr">
        <is>
          <t>P020</t>
        </is>
      </c>
      <c r="F456" t="inlineStr">
        <is>
          <t>M</t>
        </is>
      </c>
      <c r="G456" s="4" t="inlineStr">
        <is>
          <t>CH03</t>
        </is>
      </c>
      <c r="H456" s="4" t="inlineStr">
        <is>
          <t>PR00</t>
        </is>
      </c>
      <c r="I456" s="8" t="n">
        <v>62</v>
      </c>
      <c r="J456" s="9" t="n">
        <v>0</v>
      </c>
      <c r="K456" s="10">
        <f>I456*(1-J456)</f>
        <v/>
      </c>
      <c r="L456" s="11" t="n">
        <v>1</v>
      </c>
      <c r="M456" s="10">
        <f>K456*L456</f>
        <v/>
      </c>
      <c r="N456" s="8" t="n">
        <v>29.63</v>
      </c>
      <c r="O456" s="10">
        <f>N456*L456</f>
        <v/>
      </c>
      <c r="P456" s="10">
        <f>M456-O456</f>
        <v/>
      </c>
      <c r="Q456" s="11" t="inlineStr">
        <is>
          <t>No</t>
        </is>
      </c>
      <c r="R456" s="11" t="n">
        <v>0</v>
      </c>
      <c r="S456" s="10">
        <f>M456-(R456*K456)</f>
        <v/>
      </c>
      <c r="T456" s="12">
        <f>VLOOKUP(E456,Dim_Product!$A$2:$Q$61,3,FALSE)</f>
        <v/>
      </c>
      <c r="U456" s="12">
        <f>VLOOKUP(E456,Dim_Product!$A$2:$Q$61,4,FALSE)</f>
        <v/>
      </c>
      <c r="V456" s="12">
        <f>VLOOKUP(D456,Dim_Customer!$A$2:$I$121,6,FALSE)</f>
        <v/>
      </c>
      <c r="W456" s="12">
        <f>VLOOKUP(G456,Dim_Channel!$A$2:$B$5,2,FALSE)</f>
        <v/>
      </c>
      <c r="X456" s="12">
        <f>VLOOKUP(H456,Dim_Promotion!$A$2:$G$11,2,FALSE)</f>
        <v/>
      </c>
    </row>
    <row r="457">
      <c r="A457" s="4" t="inlineStr">
        <is>
          <t>SL0456</t>
        </is>
      </c>
      <c r="B457" t="inlineStr">
        <is>
          <t>O010228</t>
        </is>
      </c>
      <c r="C457" t="n">
        <v>20250222</v>
      </c>
      <c r="D457" s="4" t="inlineStr">
        <is>
          <t>C068</t>
        </is>
      </c>
      <c r="E457" s="4" t="inlineStr">
        <is>
          <t>P023</t>
        </is>
      </c>
      <c r="F457" t="inlineStr">
        <is>
          <t>XL</t>
        </is>
      </c>
      <c r="G457" s="4" t="inlineStr">
        <is>
          <t>CH04</t>
        </is>
      </c>
      <c r="H457" s="4" t="inlineStr">
        <is>
          <t>PR00</t>
        </is>
      </c>
      <c r="I457" s="8" t="n">
        <v>57</v>
      </c>
      <c r="J457" s="9" t="n">
        <v>0</v>
      </c>
      <c r="K457" s="10">
        <f>I457*(1-J457)</f>
        <v/>
      </c>
      <c r="L457" s="11" t="n">
        <v>1</v>
      </c>
      <c r="M457" s="10">
        <f>K457*L457</f>
        <v/>
      </c>
      <c r="N457" s="8" t="n">
        <v>26.96</v>
      </c>
      <c r="O457" s="10">
        <f>N457*L457</f>
        <v/>
      </c>
      <c r="P457" s="10">
        <f>M457-O457</f>
        <v/>
      </c>
      <c r="Q457" s="11" t="inlineStr">
        <is>
          <t>No</t>
        </is>
      </c>
      <c r="R457" s="11" t="n">
        <v>0</v>
      </c>
      <c r="S457" s="10">
        <f>M457-(R457*K457)</f>
        <v/>
      </c>
      <c r="T457" s="12">
        <f>VLOOKUP(E457,Dim_Product!$A$2:$Q$61,3,FALSE)</f>
        <v/>
      </c>
      <c r="U457" s="12">
        <f>VLOOKUP(E457,Dim_Product!$A$2:$Q$61,4,FALSE)</f>
        <v/>
      </c>
      <c r="V457" s="12">
        <f>VLOOKUP(D457,Dim_Customer!$A$2:$I$121,6,FALSE)</f>
        <v/>
      </c>
      <c r="W457" s="12">
        <f>VLOOKUP(G457,Dim_Channel!$A$2:$B$5,2,FALSE)</f>
        <v/>
      </c>
      <c r="X457" s="12">
        <f>VLOOKUP(H457,Dim_Promotion!$A$2:$G$11,2,FALSE)</f>
        <v/>
      </c>
    </row>
    <row r="458">
      <c r="A458" s="4" t="inlineStr">
        <is>
          <t>SL0457</t>
        </is>
      </c>
      <c r="B458" t="inlineStr">
        <is>
          <t>O010229</t>
        </is>
      </c>
      <c r="C458" t="n">
        <v>20250606</v>
      </c>
      <c r="D458" s="4" t="inlineStr">
        <is>
          <t>C019</t>
        </is>
      </c>
      <c r="E458" s="4" t="inlineStr">
        <is>
          <t>P029</t>
        </is>
      </c>
      <c r="F458" t="inlineStr">
        <is>
          <t>M</t>
        </is>
      </c>
      <c r="G458" s="4" t="inlineStr">
        <is>
          <t>CH04</t>
        </is>
      </c>
      <c r="H458" s="4" t="inlineStr">
        <is>
          <t>PR00</t>
        </is>
      </c>
      <c r="I458" s="8" t="n">
        <v>110</v>
      </c>
      <c r="J458" s="9" t="n">
        <v>0</v>
      </c>
      <c r="K458" s="10">
        <f>I458*(1-J458)</f>
        <v/>
      </c>
      <c r="L458" s="11" t="n">
        <v>1</v>
      </c>
      <c r="M458" s="10">
        <f>K458*L458</f>
        <v/>
      </c>
      <c r="N458" s="8" t="n">
        <v>54.99</v>
      </c>
      <c r="O458" s="10">
        <f>N458*L458</f>
        <v/>
      </c>
      <c r="P458" s="10">
        <f>M458-O458</f>
        <v/>
      </c>
      <c r="Q458" s="11" t="inlineStr">
        <is>
          <t>No</t>
        </is>
      </c>
      <c r="R458" s="11" t="n">
        <v>0</v>
      </c>
      <c r="S458" s="10">
        <f>M458-(R458*K458)</f>
        <v/>
      </c>
      <c r="T458" s="12">
        <f>VLOOKUP(E458,Dim_Product!$A$2:$Q$61,3,FALSE)</f>
        <v/>
      </c>
      <c r="U458" s="12">
        <f>VLOOKUP(E458,Dim_Product!$A$2:$Q$61,4,FALSE)</f>
        <v/>
      </c>
      <c r="V458" s="12">
        <f>VLOOKUP(D458,Dim_Customer!$A$2:$I$121,6,FALSE)</f>
        <v/>
      </c>
      <c r="W458" s="12">
        <f>VLOOKUP(G458,Dim_Channel!$A$2:$B$5,2,FALSE)</f>
        <v/>
      </c>
      <c r="X458" s="12">
        <f>VLOOKUP(H458,Dim_Promotion!$A$2:$G$11,2,FALSE)</f>
        <v/>
      </c>
    </row>
    <row r="459">
      <c r="A459" s="4" t="inlineStr">
        <is>
          <t>SL0458</t>
        </is>
      </c>
      <c r="B459" t="inlineStr">
        <is>
          <t>O010229</t>
        </is>
      </c>
      <c r="C459" t="n">
        <v>20250830</v>
      </c>
      <c r="D459" s="4" t="inlineStr">
        <is>
          <t>C016</t>
        </is>
      </c>
      <c r="E459" s="4" t="inlineStr">
        <is>
          <t>P035</t>
        </is>
      </c>
      <c r="F459" t="inlineStr">
        <is>
          <t>S</t>
        </is>
      </c>
      <c r="G459" s="4" t="inlineStr">
        <is>
          <t>CH02</t>
        </is>
      </c>
      <c r="H459" s="4" t="inlineStr">
        <is>
          <t>PR00</t>
        </is>
      </c>
      <c r="I459" s="8" t="n">
        <v>88</v>
      </c>
      <c r="J459" s="9" t="n">
        <v>0</v>
      </c>
      <c r="K459" s="10">
        <f>I459*(1-J459)</f>
        <v/>
      </c>
      <c r="L459" s="11" t="n">
        <v>1</v>
      </c>
      <c r="M459" s="10">
        <f>K459*L459</f>
        <v/>
      </c>
      <c r="N459" s="8" t="n">
        <v>42.93</v>
      </c>
      <c r="O459" s="10">
        <f>N459*L459</f>
        <v/>
      </c>
      <c r="P459" s="10">
        <f>M459-O459</f>
        <v/>
      </c>
      <c r="Q459" s="11" t="inlineStr">
        <is>
          <t>No</t>
        </is>
      </c>
      <c r="R459" s="11" t="n">
        <v>0</v>
      </c>
      <c r="S459" s="10">
        <f>M459-(R459*K459)</f>
        <v/>
      </c>
      <c r="T459" s="12">
        <f>VLOOKUP(E459,Dim_Product!$A$2:$Q$61,3,FALSE)</f>
        <v/>
      </c>
      <c r="U459" s="12">
        <f>VLOOKUP(E459,Dim_Product!$A$2:$Q$61,4,FALSE)</f>
        <v/>
      </c>
      <c r="V459" s="12">
        <f>VLOOKUP(D459,Dim_Customer!$A$2:$I$121,6,FALSE)</f>
        <v/>
      </c>
      <c r="W459" s="12">
        <f>VLOOKUP(G459,Dim_Channel!$A$2:$B$5,2,FALSE)</f>
        <v/>
      </c>
      <c r="X459" s="12">
        <f>VLOOKUP(H459,Dim_Promotion!$A$2:$G$11,2,FALSE)</f>
        <v/>
      </c>
    </row>
    <row r="460">
      <c r="A460" s="4" t="inlineStr">
        <is>
          <t>SL0459</t>
        </is>
      </c>
      <c r="B460" t="inlineStr">
        <is>
          <t>O010230</t>
        </is>
      </c>
      <c r="C460" t="n">
        <v>20250501</v>
      </c>
      <c r="D460" s="4" t="inlineStr">
        <is>
          <t>C102</t>
        </is>
      </c>
      <c r="E460" s="4" t="inlineStr">
        <is>
          <t>P008</t>
        </is>
      </c>
      <c r="F460" t="inlineStr">
        <is>
          <t>M</t>
        </is>
      </c>
      <c r="G460" s="4" t="inlineStr">
        <is>
          <t>CH04</t>
        </is>
      </c>
      <c r="H460" s="4" t="inlineStr">
        <is>
          <t>PR00</t>
        </is>
      </c>
      <c r="I460" s="8" t="n">
        <v>52</v>
      </c>
      <c r="J460" s="9" t="n">
        <v>0</v>
      </c>
      <c r="K460" s="10">
        <f>I460*(1-J460)</f>
        <v/>
      </c>
      <c r="L460" s="11" t="n">
        <v>2</v>
      </c>
      <c r="M460" s="10">
        <f>K460*L460</f>
        <v/>
      </c>
      <c r="N460" s="8" t="n">
        <v>23.21</v>
      </c>
      <c r="O460" s="10">
        <f>N460*L460</f>
        <v/>
      </c>
      <c r="P460" s="10">
        <f>M460-O460</f>
        <v/>
      </c>
      <c r="Q460" s="11" t="inlineStr">
        <is>
          <t>No</t>
        </is>
      </c>
      <c r="R460" s="11" t="n">
        <v>0</v>
      </c>
      <c r="S460" s="10">
        <f>M460-(R460*K460)</f>
        <v/>
      </c>
      <c r="T460" s="12">
        <f>VLOOKUP(E460,Dim_Product!$A$2:$Q$61,3,FALSE)</f>
        <v/>
      </c>
      <c r="U460" s="12">
        <f>VLOOKUP(E460,Dim_Product!$A$2:$Q$61,4,FALSE)</f>
        <v/>
      </c>
      <c r="V460" s="12">
        <f>VLOOKUP(D460,Dim_Customer!$A$2:$I$121,6,FALSE)</f>
        <v/>
      </c>
      <c r="W460" s="12">
        <f>VLOOKUP(G460,Dim_Channel!$A$2:$B$5,2,FALSE)</f>
        <v/>
      </c>
      <c r="X460" s="12">
        <f>VLOOKUP(H460,Dim_Promotion!$A$2:$G$11,2,FALSE)</f>
        <v/>
      </c>
    </row>
    <row r="461">
      <c r="A461" s="4" t="inlineStr">
        <is>
          <t>SL0460</t>
        </is>
      </c>
      <c r="B461" t="inlineStr">
        <is>
          <t>O010230</t>
        </is>
      </c>
      <c r="C461" t="n">
        <v>20250528</v>
      </c>
      <c r="D461" s="4" t="inlineStr">
        <is>
          <t>C006</t>
        </is>
      </c>
      <c r="E461" s="4" t="inlineStr">
        <is>
          <t>P024</t>
        </is>
      </c>
      <c r="F461" t="inlineStr">
        <is>
          <t>L</t>
        </is>
      </c>
      <c r="G461" s="4" t="inlineStr">
        <is>
          <t>CH04</t>
        </is>
      </c>
      <c r="H461" s="4" t="inlineStr">
        <is>
          <t>PR00</t>
        </is>
      </c>
      <c r="I461" s="8" t="n">
        <v>62</v>
      </c>
      <c r="J461" s="9" t="n">
        <v>0</v>
      </c>
      <c r="K461" s="10">
        <f>I461*(1-J461)</f>
        <v/>
      </c>
      <c r="L461" s="11" t="n">
        <v>1</v>
      </c>
      <c r="M461" s="10">
        <f>K461*L461</f>
        <v/>
      </c>
      <c r="N461" s="8" t="n">
        <v>26.68</v>
      </c>
      <c r="O461" s="10">
        <f>N461*L461</f>
        <v/>
      </c>
      <c r="P461" s="10">
        <f>M461-O461</f>
        <v/>
      </c>
      <c r="Q461" s="11" t="inlineStr">
        <is>
          <t>No</t>
        </is>
      </c>
      <c r="R461" s="11" t="n">
        <v>0</v>
      </c>
      <c r="S461" s="10">
        <f>M461-(R461*K461)</f>
        <v/>
      </c>
      <c r="T461" s="12">
        <f>VLOOKUP(E461,Dim_Product!$A$2:$Q$61,3,FALSE)</f>
        <v/>
      </c>
      <c r="U461" s="12">
        <f>VLOOKUP(E461,Dim_Product!$A$2:$Q$61,4,FALSE)</f>
        <v/>
      </c>
      <c r="V461" s="12">
        <f>VLOOKUP(D461,Dim_Customer!$A$2:$I$121,6,FALSE)</f>
        <v/>
      </c>
      <c r="W461" s="12">
        <f>VLOOKUP(G461,Dim_Channel!$A$2:$B$5,2,FALSE)</f>
        <v/>
      </c>
      <c r="X461" s="12">
        <f>VLOOKUP(H461,Dim_Promotion!$A$2:$G$11,2,FALSE)</f>
        <v/>
      </c>
    </row>
    <row r="462">
      <c r="A462" s="4" t="inlineStr">
        <is>
          <t>SL0461</t>
        </is>
      </c>
      <c r="B462" t="inlineStr">
        <is>
          <t>O010231</t>
        </is>
      </c>
      <c r="C462" t="n">
        <v>20251022</v>
      </c>
      <c r="D462" s="4" t="inlineStr">
        <is>
          <t>C058</t>
        </is>
      </c>
      <c r="E462" s="4" t="inlineStr">
        <is>
          <t>P008</t>
        </is>
      </c>
      <c r="F462" t="inlineStr">
        <is>
          <t>S</t>
        </is>
      </c>
      <c r="G462" s="4" t="inlineStr">
        <is>
          <t>CH02</t>
        </is>
      </c>
      <c r="H462" s="4" t="inlineStr">
        <is>
          <t>PR00</t>
        </is>
      </c>
      <c r="I462" s="8" t="n">
        <v>53</v>
      </c>
      <c r="J462" s="9" t="n">
        <v>0</v>
      </c>
      <c r="K462" s="10">
        <f>I462*(1-J462)</f>
        <v/>
      </c>
      <c r="L462" s="11" t="n">
        <v>1</v>
      </c>
      <c r="M462" s="10">
        <f>K462*L462</f>
        <v/>
      </c>
      <c r="N462" s="8" t="n">
        <v>23.09</v>
      </c>
      <c r="O462" s="10">
        <f>N462*L462</f>
        <v/>
      </c>
      <c r="P462" s="10">
        <f>M462-O462</f>
        <v/>
      </c>
      <c r="Q462" s="11" t="inlineStr">
        <is>
          <t>No</t>
        </is>
      </c>
      <c r="R462" s="11" t="n">
        <v>0</v>
      </c>
      <c r="S462" s="10">
        <f>M462-(R462*K462)</f>
        <v/>
      </c>
      <c r="T462" s="12">
        <f>VLOOKUP(E462,Dim_Product!$A$2:$Q$61,3,FALSE)</f>
        <v/>
      </c>
      <c r="U462" s="12">
        <f>VLOOKUP(E462,Dim_Product!$A$2:$Q$61,4,FALSE)</f>
        <v/>
      </c>
      <c r="V462" s="12">
        <f>VLOOKUP(D462,Dim_Customer!$A$2:$I$121,6,FALSE)</f>
        <v/>
      </c>
      <c r="W462" s="12">
        <f>VLOOKUP(G462,Dim_Channel!$A$2:$B$5,2,FALSE)</f>
        <v/>
      </c>
      <c r="X462" s="12">
        <f>VLOOKUP(H462,Dim_Promotion!$A$2:$G$11,2,FALSE)</f>
        <v/>
      </c>
    </row>
    <row r="463">
      <c r="A463" s="4" t="inlineStr">
        <is>
          <t>SL0462</t>
        </is>
      </c>
      <c r="B463" t="inlineStr">
        <is>
          <t>O010231</t>
        </is>
      </c>
      <c r="C463" t="n">
        <v>20251229</v>
      </c>
      <c r="D463" s="4" t="inlineStr">
        <is>
          <t>C057</t>
        </is>
      </c>
      <c r="E463" s="4" t="inlineStr">
        <is>
          <t>P043</t>
        </is>
      </c>
      <c r="F463" t="inlineStr">
        <is>
          <t>L</t>
        </is>
      </c>
      <c r="G463" s="4" t="inlineStr">
        <is>
          <t>CH04</t>
        </is>
      </c>
      <c r="H463" s="4" t="inlineStr">
        <is>
          <t>PR00</t>
        </is>
      </c>
      <c r="I463" s="8" t="n">
        <v>80</v>
      </c>
      <c r="J463" s="9" t="n">
        <v>0</v>
      </c>
      <c r="K463" s="10">
        <f>I463*(1-J463)</f>
        <v/>
      </c>
      <c r="L463" s="11" t="n">
        <v>1</v>
      </c>
      <c r="M463" s="10">
        <f>K463*L463</f>
        <v/>
      </c>
      <c r="N463" s="8" t="n">
        <v>37.52</v>
      </c>
      <c r="O463" s="10">
        <f>N463*L463</f>
        <v/>
      </c>
      <c r="P463" s="10">
        <f>M463-O463</f>
        <v/>
      </c>
      <c r="Q463" s="11" t="inlineStr">
        <is>
          <t>No</t>
        </is>
      </c>
      <c r="R463" s="11" t="n">
        <v>0</v>
      </c>
      <c r="S463" s="10">
        <f>M463-(R463*K463)</f>
        <v/>
      </c>
      <c r="T463" s="12">
        <f>VLOOKUP(E463,Dim_Product!$A$2:$Q$61,3,FALSE)</f>
        <v/>
      </c>
      <c r="U463" s="12">
        <f>VLOOKUP(E463,Dim_Product!$A$2:$Q$61,4,FALSE)</f>
        <v/>
      </c>
      <c r="V463" s="12">
        <f>VLOOKUP(D463,Dim_Customer!$A$2:$I$121,6,FALSE)</f>
        <v/>
      </c>
      <c r="W463" s="12">
        <f>VLOOKUP(G463,Dim_Channel!$A$2:$B$5,2,FALSE)</f>
        <v/>
      </c>
      <c r="X463" s="12">
        <f>VLOOKUP(H463,Dim_Promotion!$A$2:$G$11,2,FALSE)</f>
        <v/>
      </c>
    </row>
    <row r="464">
      <c r="A464" s="4" t="inlineStr">
        <is>
          <t>SL0463</t>
        </is>
      </c>
      <c r="B464" t="inlineStr">
        <is>
          <t>O010232</t>
        </is>
      </c>
      <c r="C464" t="n">
        <v>20250320</v>
      </c>
      <c r="D464" s="4" t="inlineStr">
        <is>
          <t>C070</t>
        </is>
      </c>
      <c r="E464" s="4" t="inlineStr">
        <is>
          <t>P034</t>
        </is>
      </c>
      <c r="F464" t="inlineStr">
        <is>
          <t>L</t>
        </is>
      </c>
      <c r="G464" s="4" t="inlineStr">
        <is>
          <t>CH02</t>
        </is>
      </c>
      <c r="H464" s="4" t="inlineStr">
        <is>
          <t>PR00</t>
        </is>
      </c>
      <c r="I464" s="8" t="n">
        <v>88</v>
      </c>
      <c r="J464" s="9" t="n">
        <v>0</v>
      </c>
      <c r="K464" s="10">
        <f>I464*(1-J464)</f>
        <v/>
      </c>
      <c r="L464" s="11" t="n">
        <v>1</v>
      </c>
      <c r="M464" s="10">
        <f>K464*L464</f>
        <v/>
      </c>
      <c r="N464" s="8" t="n">
        <v>45.59</v>
      </c>
      <c r="O464" s="10">
        <f>N464*L464</f>
        <v/>
      </c>
      <c r="P464" s="10">
        <f>M464-O464</f>
        <v/>
      </c>
      <c r="Q464" s="11" t="inlineStr">
        <is>
          <t>No</t>
        </is>
      </c>
      <c r="R464" s="11" t="n">
        <v>0</v>
      </c>
      <c r="S464" s="10">
        <f>M464-(R464*K464)</f>
        <v/>
      </c>
      <c r="T464" s="12">
        <f>VLOOKUP(E464,Dim_Product!$A$2:$Q$61,3,FALSE)</f>
        <v/>
      </c>
      <c r="U464" s="12">
        <f>VLOOKUP(E464,Dim_Product!$A$2:$Q$61,4,FALSE)</f>
        <v/>
      </c>
      <c r="V464" s="12">
        <f>VLOOKUP(D464,Dim_Customer!$A$2:$I$121,6,FALSE)</f>
        <v/>
      </c>
      <c r="W464" s="12">
        <f>VLOOKUP(G464,Dim_Channel!$A$2:$B$5,2,FALSE)</f>
        <v/>
      </c>
      <c r="X464" s="12">
        <f>VLOOKUP(H464,Dim_Promotion!$A$2:$G$11,2,FALSE)</f>
        <v/>
      </c>
    </row>
    <row r="465">
      <c r="A465" s="4" t="inlineStr">
        <is>
          <t>SL0464</t>
        </is>
      </c>
      <c r="B465" t="inlineStr">
        <is>
          <t>O010232</t>
        </is>
      </c>
      <c r="C465" t="n">
        <v>20250126</v>
      </c>
      <c r="D465" s="4" t="inlineStr">
        <is>
          <t>C027</t>
        </is>
      </c>
      <c r="E465" s="4" t="inlineStr">
        <is>
          <t>P014</t>
        </is>
      </c>
      <c r="F465" t="inlineStr">
        <is>
          <t>XL</t>
        </is>
      </c>
      <c r="G465" s="4" t="inlineStr">
        <is>
          <t>CH02</t>
        </is>
      </c>
      <c r="H465" s="4" t="inlineStr">
        <is>
          <t>PR00</t>
        </is>
      </c>
      <c r="I465" s="8" t="n">
        <v>62</v>
      </c>
      <c r="J465" s="9" t="n">
        <v>0</v>
      </c>
      <c r="K465" s="10">
        <f>I465*(1-J465)</f>
        <v/>
      </c>
      <c r="L465" s="11" t="n">
        <v>1</v>
      </c>
      <c r="M465" s="10">
        <f>K465*L465</f>
        <v/>
      </c>
      <c r="N465" s="8" t="n">
        <v>27.41</v>
      </c>
      <c r="O465" s="10">
        <f>N465*L465</f>
        <v/>
      </c>
      <c r="P465" s="10">
        <f>M465-O465</f>
        <v/>
      </c>
      <c r="Q465" s="11" t="inlineStr">
        <is>
          <t>No</t>
        </is>
      </c>
      <c r="R465" s="11" t="n">
        <v>0</v>
      </c>
      <c r="S465" s="10">
        <f>M465-(R465*K465)</f>
        <v/>
      </c>
      <c r="T465" s="12">
        <f>VLOOKUP(E465,Dim_Product!$A$2:$Q$61,3,FALSE)</f>
        <v/>
      </c>
      <c r="U465" s="12">
        <f>VLOOKUP(E465,Dim_Product!$A$2:$Q$61,4,FALSE)</f>
        <v/>
      </c>
      <c r="V465" s="12">
        <f>VLOOKUP(D465,Dim_Customer!$A$2:$I$121,6,FALSE)</f>
        <v/>
      </c>
      <c r="W465" s="12">
        <f>VLOOKUP(G465,Dim_Channel!$A$2:$B$5,2,FALSE)</f>
        <v/>
      </c>
      <c r="X465" s="12">
        <f>VLOOKUP(H465,Dim_Promotion!$A$2:$G$11,2,FALSE)</f>
        <v/>
      </c>
    </row>
    <row r="466">
      <c r="A466" s="4" t="inlineStr">
        <is>
          <t>SL0465</t>
        </is>
      </c>
      <c r="B466" t="inlineStr">
        <is>
          <t>O010233</t>
        </is>
      </c>
      <c r="C466" t="n">
        <v>20251211</v>
      </c>
      <c r="D466" s="4" t="inlineStr">
        <is>
          <t>C056</t>
        </is>
      </c>
      <c r="E466" s="4" t="inlineStr">
        <is>
          <t>P010</t>
        </is>
      </c>
      <c r="F466" t="inlineStr">
        <is>
          <t>L</t>
        </is>
      </c>
      <c r="G466" s="4" t="inlineStr">
        <is>
          <t>CH02</t>
        </is>
      </c>
      <c r="H466" s="4" t="inlineStr">
        <is>
          <t>PR00</t>
        </is>
      </c>
      <c r="I466" s="8" t="n">
        <v>46</v>
      </c>
      <c r="J466" s="9" t="n">
        <v>0</v>
      </c>
      <c r="K466" s="10">
        <f>I466*(1-J466)</f>
        <v/>
      </c>
      <c r="L466" s="11" t="n">
        <v>1</v>
      </c>
      <c r="M466" s="10">
        <f>K466*L466</f>
        <v/>
      </c>
      <c r="N466" s="8" t="n">
        <v>19.94</v>
      </c>
      <c r="O466" s="10">
        <f>N466*L466</f>
        <v/>
      </c>
      <c r="P466" s="10">
        <f>M466-O466</f>
        <v/>
      </c>
      <c r="Q466" s="11" t="inlineStr">
        <is>
          <t>No</t>
        </is>
      </c>
      <c r="R466" s="11" t="n">
        <v>0</v>
      </c>
      <c r="S466" s="10">
        <f>M466-(R466*K466)</f>
        <v/>
      </c>
      <c r="T466" s="12">
        <f>VLOOKUP(E466,Dim_Product!$A$2:$Q$61,3,FALSE)</f>
        <v/>
      </c>
      <c r="U466" s="12">
        <f>VLOOKUP(E466,Dim_Product!$A$2:$Q$61,4,FALSE)</f>
        <v/>
      </c>
      <c r="V466" s="12">
        <f>VLOOKUP(D466,Dim_Customer!$A$2:$I$121,6,FALSE)</f>
        <v/>
      </c>
      <c r="W466" s="12">
        <f>VLOOKUP(G466,Dim_Channel!$A$2:$B$5,2,FALSE)</f>
        <v/>
      </c>
      <c r="X466" s="12">
        <f>VLOOKUP(H466,Dim_Promotion!$A$2:$G$11,2,FALSE)</f>
        <v/>
      </c>
    </row>
    <row r="467">
      <c r="A467" s="4" t="inlineStr">
        <is>
          <t>SL0466</t>
        </is>
      </c>
      <c r="B467" t="inlineStr">
        <is>
          <t>O010233</t>
        </is>
      </c>
      <c r="C467" t="n">
        <v>20251005</v>
      </c>
      <c r="D467" s="4" t="inlineStr">
        <is>
          <t>C040</t>
        </is>
      </c>
      <c r="E467" s="4" t="inlineStr">
        <is>
          <t>P057</t>
        </is>
      </c>
      <c r="F467" t="inlineStr">
        <is>
          <t>S</t>
        </is>
      </c>
      <c r="G467" s="4" t="inlineStr">
        <is>
          <t>CH04</t>
        </is>
      </c>
      <c r="H467" s="4" t="inlineStr">
        <is>
          <t>PR00</t>
        </is>
      </c>
      <c r="I467" s="8" t="n">
        <v>74</v>
      </c>
      <c r="J467" s="9" t="n">
        <v>0</v>
      </c>
      <c r="K467" s="10">
        <f>I467*(1-J467)</f>
        <v/>
      </c>
      <c r="L467" s="11" t="n">
        <v>1</v>
      </c>
      <c r="M467" s="10">
        <f>K467*L467</f>
        <v/>
      </c>
      <c r="N467" s="8" t="n">
        <v>34.97</v>
      </c>
      <c r="O467" s="10">
        <f>N467*L467</f>
        <v/>
      </c>
      <c r="P467" s="10">
        <f>M467-O467</f>
        <v/>
      </c>
      <c r="Q467" s="11" t="inlineStr">
        <is>
          <t>No</t>
        </is>
      </c>
      <c r="R467" s="11" t="n">
        <v>0</v>
      </c>
      <c r="S467" s="10">
        <f>M467-(R467*K467)</f>
        <v/>
      </c>
      <c r="T467" s="12">
        <f>VLOOKUP(E467,Dim_Product!$A$2:$Q$61,3,FALSE)</f>
        <v/>
      </c>
      <c r="U467" s="12">
        <f>VLOOKUP(E467,Dim_Product!$A$2:$Q$61,4,FALSE)</f>
        <v/>
      </c>
      <c r="V467" s="12">
        <f>VLOOKUP(D467,Dim_Customer!$A$2:$I$121,6,FALSE)</f>
        <v/>
      </c>
      <c r="W467" s="12">
        <f>VLOOKUP(G467,Dim_Channel!$A$2:$B$5,2,FALSE)</f>
        <v/>
      </c>
      <c r="X467" s="12">
        <f>VLOOKUP(H467,Dim_Promotion!$A$2:$G$11,2,FALSE)</f>
        <v/>
      </c>
    </row>
    <row r="468">
      <c r="A468" s="4" t="inlineStr">
        <is>
          <t>SL0467</t>
        </is>
      </c>
      <c r="B468" t="inlineStr">
        <is>
          <t>O010234</t>
        </is>
      </c>
      <c r="C468" t="n">
        <v>20250513</v>
      </c>
      <c r="D468" s="4" t="inlineStr">
        <is>
          <t>C106</t>
        </is>
      </c>
      <c r="E468" s="4" t="inlineStr">
        <is>
          <t>P053</t>
        </is>
      </c>
      <c r="F468" t="inlineStr">
        <is>
          <t>S</t>
        </is>
      </c>
      <c r="G468" s="4" t="inlineStr">
        <is>
          <t>CH04</t>
        </is>
      </c>
      <c r="H468" s="4" t="inlineStr">
        <is>
          <t>PR00</t>
        </is>
      </c>
      <c r="I468" s="8" t="n">
        <v>76</v>
      </c>
      <c r="J468" s="9" t="n">
        <v>0</v>
      </c>
      <c r="K468" s="10">
        <f>I468*(1-J468)</f>
        <v/>
      </c>
      <c r="L468" s="11" t="n">
        <v>1</v>
      </c>
      <c r="M468" s="10">
        <f>K468*L468</f>
        <v/>
      </c>
      <c r="N468" s="8" t="n">
        <v>33.55</v>
      </c>
      <c r="O468" s="10">
        <f>N468*L468</f>
        <v/>
      </c>
      <c r="P468" s="10">
        <f>M468-O468</f>
        <v/>
      </c>
      <c r="Q468" s="11" t="inlineStr">
        <is>
          <t>Yes</t>
        </is>
      </c>
      <c r="R468" s="11" t="n">
        <v>1</v>
      </c>
      <c r="S468" s="10">
        <f>M468-(R468*K468)</f>
        <v/>
      </c>
      <c r="T468" s="12">
        <f>VLOOKUP(E468,Dim_Product!$A$2:$Q$61,3,FALSE)</f>
        <v/>
      </c>
      <c r="U468" s="12">
        <f>VLOOKUP(E468,Dim_Product!$A$2:$Q$61,4,FALSE)</f>
        <v/>
      </c>
      <c r="V468" s="12">
        <f>VLOOKUP(D468,Dim_Customer!$A$2:$I$121,6,FALSE)</f>
        <v/>
      </c>
      <c r="W468" s="12">
        <f>VLOOKUP(G468,Dim_Channel!$A$2:$B$5,2,FALSE)</f>
        <v/>
      </c>
      <c r="X468" s="12">
        <f>VLOOKUP(H468,Dim_Promotion!$A$2:$G$11,2,FALSE)</f>
        <v/>
      </c>
    </row>
    <row r="469">
      <c r="A469" s="4" t="inlineStr">
        <is>
          <t>SL0468</t>
        </is>
      </c>
      <c r="B469" t="inlineStr">
        <is>
          <t>O010234</t>
        </is>
      </c>
      <c r="C469" t="n">
        <v>20250803</v>
      </c>
      <c r="D469" s="4" t="inlineStr">
        <is>
          <t>C062</t>
        </is>
      </c>
      <c r="E469" s="4" t="inlineStr">
        <is>
          <t>P002</t>
        </is>
      </c>
      <c r="F469" t="inlineStr">
        <is>
          <t>XL</t>
        </is>
      </c>
      <c r="G469" s="4" t="inlineStr">
        <is>
          <t>CH01</t>
        </is>
      </c>
      <c r="H469" s="4" t="inlineStr">
        <is>
          <t>PR00</t>
        </is>
      </c>
      <c r="I469" s="8" t="n">
        <v>38</v>
      </c>
      <c r="J469" s="9" t="n">
        <v>0</v>
      </c>
      <c r="K469" s="10">
        <f>I469*(1-J469)</f>
        <v/>
      </c>
      <c r="L469" s="11" t="n">
        <v>1</v>
      </c>
      <c r="M469" s="10">
        <f>K469*L469</f>
        <v/>
      </c>
      <c r="N469" s="8" t="n">
        <v>17.23</v>
      </c>
      <c r="O469" s="10">
        <f>N469*L469</f>
        <v/>
      </c>
      <c r="P469" s="10">
        <f>M469-O469</f>
        <v/>
      </c>
      <c r="Q469" s="11" t="inlineStr">
        <is>
          <t>No</t>
        </is>
      </c>
      <c r="R469" s="11" t="n">
        <v>0</v>
      </c>
      <c r="S469" s="10">
        <f>M469-(R469*K469)</f>
        <v/>
      </c>
      <c r="T469" s="12">
        <f>VLOOKUP(E469,Dim_Product!$A$2:$Q$61,3,FALSE)</f>
        <v/>
      </c>
      <c r="U469" s="12">
        <f>VLOOKUP(E469,Dim_Product!$A$2:$Q$61,4,FALSE)</f>
        <v/>
      </c>
      <c r="V469" s="12">
        <f>VLOOKUP(D469,Dim_Customer!$A$2:$I$121,6,FALSE)</f>
        <v/>
      </c>
      <c r="W469" s="12">
        <f>VLOOKUP(G469,Dim_Channel!$A$2:$B$5,2,FALSE)</f>
        <v/>
      </c>
      <c r="X469" s="12">
        <f>VLOOKUP(H469,Dim_Promotion!$A$2:$G$11,2,FALSE)</f>
        <v/>
      </c>
    </row>
    <row r="470">
      <c r="A470" s="4" t="inlineStr">
        <is>
          <t>SL0469</t>
        </is>
      </c>
      <c r="B470" t="inlineStr">
        <is>
          <t>O010235</t>
        </is>
      </c>
      <c r="C470" t="n">
        <v>20250514</v>
      </c>
      <c r="D470" s="4" t="inlineStr">
        <is>
          <t>C058</t>
        </is>
      </c>
      <c r="E470" s="4" t="inlineStr">
        <is>
          <t>P005</t>
        </is>
      </c>
      <c r="F470" t="inlineStr">
        <is>
          <t>M</t>
        </is>
      </c>
      <c r="G470" s="4" t="inlineStr">
        <is>
          <t>CH04</t>
        </is>
      </c>
      <c r="H470" s="4" t="inlineStr">
        <is>
          <t>PR00</t>
        </is>
      </c>
      <c r="I470" s="8" t="n">
        <v>52</v>
      </c>
      <c r="J470" s="9" t="n">
        <v>0</v>
      </c>
      <c r="K470" s="10">
        <f>I470*(1-J470)</f>
        <v/>
      </c>
      <c r="L470" s="11" t="n">
        <v>1</v>
      </c>
      <c r="M470" s="10">
        <f>K470*L470</f>
        <v/>
      </c>
      <c r="N470" s="8" t="n">
        <v>20.11</v>
      </c>
      <c r="O470" s="10">
        <f>N470*L470</f>
        <v/>
      </c>
      <c r="P470" s="10">
        <f>M470-O470</f>
        <v/>
      </c>
      <c r="Q470" s="11" t="inlineStr">
        <is>
          <t>No</t>
        </is>
      </c>
      <c r="R470" s="11" t="n">
        <v>0</v>
      </c>
      <c r="S470" s="10">
        <f>M470-(R470*K470)</f>
        <v/>
      </c>
      <c r="T470" s="12">
        <f>VLOOKUP(E470,Dim_Product!$A$2:$Q$61,3,FALSE)</f>
        <v/>
      </c>
      <c r="U470" s="12">
        <f>VLOOKUP(E470,Dim_Product!$A$2:$Q$61,4,FALSE)</f>
        <v/>
      </c>
      <c r="V470" s="12">
        <f>VLOOKUP(D470,Dim_Customer!$A$2:$I$121,6,FALSE)</f>
        <v/>
      </c>
      <c r="W470" s="12">
        <f>VLOOKUP(G470,Dim_Channel!$A$2:$B$5,2,FALSE)</f>
        <v/>
      </c>
      <c r="X470" s="12">
        <f>VLOOKUP(H470,Dim_Promotion!$A$2:$G$11,2,FALSE)</f>
        <v/>
      </c>
    </row>
    <row r="471">
      <c r="A471" s="4" t="inlineStr">
        <is>
          <t>SL0470</t>
        </is>
      </c>
      <c r="B471" t="inlineStr">
        <is>
          <t>O010235</t>
        </is>
      </c>
      <c r="C471" t="n">
        <v>20250601</v>
      </c>
      <c r="D471" s="4" t="inlineStr">
        <is>
          <t>C105</t>
        </is>
      </c>
      <c r="E471" s="4" t="inlineStr">
        <is>
          <t>P049</t>
        </is>
      </c>
      <c r="F471" t="inlineStr">
        <is>
          <t>M</t>
        </is>
      </c>
      <c r="G471" s="4" t="inlineStr">
        <is>
          <t>CH02</t>
        </is>
      </c>
      <c r="H471" s="4" t="inlineStr">
        <is>
          <t>PR00</t>
        </is>
      </c>
      <c r="I471" s="8" t="n">
        <v>72</v>
      </c>
      <c r="J471" s="9" t="n">
        <v>0</v>
      </c>
      <c r="K471" s="10">
        <f>I471*(1-J471)</f>
        <v/>
      </c>
      <c r="L471" s="11" t="n">
        <v>1</v>
      </c>
      <c r="M471" s="10">
        <f>K471*L471</f>
        <v/>
      </c>
      <c r="N471" s="8" t="n">
        <v>28.7</v>
      </c>
      <c r="O471" s="10">
        <f>N471*L471</f>
        <v/>
      </c>
      <c r="P471" s="10">
        <f>M471-O471</f>
        <v/>
      </c>
      <c r="Q471" s="11" t="inlineStr">
        <is>
          <t>No</t>
        </is>
      </c>
      <c r="R471" s="11" t="n">
        <v>0</v>
      </c>
      <c r="S471" s="10">
        <f>M471-(R471*K471)</f>
        <v/>
      </c>
      <c r="T471" s="12">
        <f>VLOOKUP(E471,Dim_Product!$A$2:$Q$61,3,FALSE)</f>
        <v/>
      </c>
      <c r="U471" s="12">
        <f>VLOOKUP(E471,Dim_Product!$A$2:$Q$61,4,FALSE)</f>
        <v/>
      </c>
      <c r="V471" s="12">
        <f>VLOOKUP(D471,Dim_Customer!$A$2:$I$121,6,FALSE)</f>
        <v/>
      </c>
      <c r="W471" s="12">
        <f>VLOOKUP(G471,Dim_Channel!$A$2:$B$5,2,FALSE)</f>
        <v/>
      </c>
      <c r="X471" s="12">
        <f>VLOOKUP(H471,Dim_Promotion!$A$2:$G$11,2,FALSE)</f>
        <v/>
      </c>
    </row>
    <row r="472">
      <c r="A472" s="4" t="inlineStr">
        <is>
          <t>SL0471</t>
        </is>
      </c>
      <c r="B472" t="inlineStr">
        <is>
          <t>O010236</t>
        </is>
      </c>
      <c r="C472" t="n">
        <v>20250203</v>
      </c>
      <c r="D472" s="4" t="inlineStr">
        <is>
          <t>C051</t>
        </is>
      </c>
      <c r="E472" s="4" t="inlineStr">
        <is>
          <t>P052</t>
        </is>
      </c>
      <c r="F472" t="inlineStr">
        <is>
          <t>L</t>
        </is>
      </c>
      <c r="G472" s="4" t="inlineStr">
        <is>
          <t>CH03</t>
        </is>
      </c>
      <c r="H472" s="4" t="inlineStr">
        <is>
          <t>PR00</t>
        </is>
      </c>
      <c r="I472" s="8" t="n">
        <v>64</v>
      </c>
      <c r="J472" s="9" t="n">
        <v>0</v>
      </c>
      <c r="K472" s="10">
        <f>I472*(1-J472)</f>
        <v/>
      </c>
      <c r="L472" s="11" t="n">
        <v>1</v>
      </c>
      <c r="M472" s="10">
        <f>K472*L472</f>
        <v/>
      </c>
      <c r="N472" s="8" t="n">
        <v>32.2</v>
      </c>
      <c r="O472" s="10">
        <f>N472*L472</f>
        <v/>
      </c>
      <c r="P472" s="10">
        <f>M472-O472</f>
        <v/>
      </c>
      <c r="Q472" s="11" t="inlineStr">
        <is>
          <t>No</t>
        </is>
      </c>
      <c r="R472" s="11" t="n">
        <v>0</v>
      </c>
      <c r="S472" s="10">
        <f>M472-(R472*K472)</f>
        <v/>
      </c>
      <c r="T472" s="12">
        <f>VLOOKUP(E472,Dim_Product!$A$2:$Q$61,3,FALSE)</f>
        <v/>
      </c>
      <c r="U472" s="12">
        <f>VLOOKUP(E472,Dim_Product!$A$2:$Q$61,4,FALSE)</f>
        <v/>
      </c>
      <c r="V472" s="12">
        <f>VLOOKUP(D472,Dim_Customer!$A$2:$I$121,6,FALSE)</f>
        <v/>
      </c>
      <c r="W472" s="12">
        <f>VLOOKUP(G472,Dim_Channel!$A$2:$B$5,2,FALSE)</f>
        <v/>
      </c>
      <c r="X472" s="12">
        <f>VLOOKUP(H472,Dim_Promotion!$A$2:$G$11,2,FALSE)</f>
        <v/>
      </c>
    </row>
    <row r="473">
      <c r="A473" s="4" t="inlineStr">
        <is>
          <t>SL0472</t>
        </is>
      </c>
      <c r="B473" t="inlineStr">
        <is>
          <t>O010236</t>
        </is>
      </c>
      <c r="C473" t="n">
        <v>20250422</v>
      </c>
      <c r="D473" s="4" t="inlineStr">
        <is>
          <t>C042</t>
        </is>
      </c>
      <c r="E473" s="4" t="inlineStr">
        <is>
          <t>P019</t>
        </is>
      </c>
      <c r="F473" t="inlineStr">
        <is>
          <t>M</t>
        </is>
      </c>
      <c r="G473" s="4" t="inlineStr">
        <is>
          <t>CH01</t>
        </is>
      </c>
      <c r="H473" s="4" t="inlineStr">
        <is>
          <t>PR00</t>
        </is>
      </c>
      <c r="I473" s="8" t="n">
        <v>62</v>
      </c>
      <c r="J473" s="9" t="n">
        <v>0</v>
      </c>
      <c r="K473" s="10">
        <f>I473*(1-J473)</f>
        <v/>
      </c>
      <c r="L473" s="11" t="n">
        <v>1</v>
      </c>
      <c r="M473" s="10">
        <f>K473*L473</f>
        <v/>
      </c>
      <c r="N473" s="8" t="n">
        <v>31.37</v>
      </c>
      <c r="O473" s="10">
        <f>N473*L473</f>
        <v/>
      </c>
      <c r="P473" s="10">
        <f>M473-O473</f>
        <v/>
      </c>
      <c r="Q473" s="11" t="inlineStr">
        <is>
          <t>Yes</t>
        </is>
      </c>
      <c r="R473" s="11" t="n">
        <v>1</v>
      </c>
      <c r="S473" s="10">
        <f>M473-(R473*K473)</f>
        <v/>
      </c>
      <c r="T473" s="12">
        <f>VLOOKUP(E473,Dim_Product!$A$2:$Q$61,3,FALSE)</f>
        <v/>
      </c>
      <c r="U473" s="12">
        <f>VLOOKUP(E473,Dim_Product!$A$2:$Q$61,4,FALSE)</f>
        <v/>
      </c>
      <c r="V473" s="12">
        <f>VLOOKUP(D473,Dim_Customer!$A$2:$I$121,6,FALSE)</f>
        <v/>
      </c>
      <c r="W473" s="12">
        <f>VLOOKUP(G473,Dim_Channel!$A$2:$B$5,2,FALSE)</f>
        <v/>
      </c>
      <c r="X473" s="12">
        <f>VLOOKUP(H473,Dim_Promotion!$A$2:$G$11,2,FALSE)</f>
        <v/>
      </c>
    </row>
    <row r="474">
      <c r="A474" s="4" t="inlineStr">
        <is>
          <t>SL0473</t>
        </is>
      </c>
      <c r="B474" t="inlineStr">
        <is>
          <t>O010237</t>
        </is>
      </c>
      <c r="C474" t="n">
        <v>20250629</v>
      </c>
      <c r="D474" s="4" t="inlineStr">
        <is>
          <t>C090</t>
        </is>
      </c>
      <c r="E474" s="4" t="inlineStr">
        <is>
          <t>P038</t>
        </is>
      </c>
      <c r="F474" t="inlineStr">
        <is>
          <t>XS</t>
        </is>
      </c>
      <c r="G474" s="4" t="inlineStr">
        <is>
          <t>CH04</t>
        </is>
      </c>
      <c r="H474" s="4" t="inlineStr">
        <is>
          <t>PR05</t>
        </is>
      </c>
      <c r="I474" s="8" t="n">
        <v>72</v>
      </c>
      <c r="J474" s="9" t="n">
        <v>0.2</v>
      </c>
      <c r="K474" s="10">
        <f>I474*(1-J474)</f>
        <v/>
      </c>
      <c r="L474" s="11" t="n">
        <v>1</v>
      </c>
      <c r="M474" s="10">
        <f>K474*L474</f>
        <v/>
      </c>
      <c r="N474" s="8" t="n">
        <v>33.95</v>
      </c>
      <c r="O474" s="10">
        <f>N474*L474</f>
        <v/>
      </c>
      <c r="P474" s="10">
        <f>M474-O474</f>
        <v/>
      </c>
      <c r="Q474" s="11" t="inlineStr">
        <is>
          <t>No</t>
        </is>
      </c>
      <c r="R474" s="11" t="n">
        <v>0</v>
      </c>
      <c r="S474" s="10">
        <f>M474-(R474*K474)</f>
        <v/>
      </c>
      <c r="T474" s="12">
        <f>VLOOKUP(E474,Dim_Product!$A$2:$Q$61,3,FALSE)</f>
        <v/>
      </c>
      <c r="U474" s="12">
        <f>VLOOKUP(E474,Dim_Product!$A$2:$Q$61,4,FALSE)</f>
        <v/>
      </c>
      <c r="V474" s="12">
        <f>VLOOKUP(D474,Dim_Customer!$A$2:$I$121,6,FALSE)</f>
        <v/>
      </c>
      <c r="W474" s="12">
        <f>VLOOKUP(G474,Dim_Channel!$A$2:$B$5,2,FALSE)</f>
        <v/>
      </c>
      <c r="X474" s="12">
        <f>VLOOKUP(H474,Dim_Promotion!$A$2:$G$11,2,FALSE)</f>
        <v/>
      </c>
    </row>
    <row r="475">
      <c r="A475" s="4" t="inlineStr">
        <is>
          <t>SL0474</t>
        </is>
      </c>
      <c r="B475" t="inlineStr">
        <is>
          <t>O010237</t>
        </is>
      </c>
      <c r="C475" t="n">
        <v>20250606</v>
      </c>
      <c r="D475" s="4" t="inlineStr">
        <is>
          <t>C108</t>
        </is>
      </c>
      <c r="E475" s="4" t="inlineStr">
        <is>
          <t>P045</t>
        </is>
      </c>
      <c r="F475" t="inlineStr">
        <is>
          <t>XS</t>
        </is>
      </c>
      <c r="G475" s="4" t="inlineStr">
        <is>
          <t>CH01</t>
        </is>
      </c>
      <c r="H475" s="4" t="inlineStr">
        <is>
          <t>PR00</t>
        </is>
      </c>
      <c r="I475" s="8" t="n">
        <v>66</v>
      </c>
      <c r="J475" s="9" t="n">
        <v>0</v>
      </c>
      <c r="K475" s="10">
        <f>I475*(1-J475)</f>
        <v/>
      </c>
      <c r="L475" s="11" t="n">
        <v>2</v>
      </c>
      <c r="M475" s="10">
        <f>K475*L475</f>
        <v/>
      </c>
      <c r="N475" s="8" t="n">
        <v>33.84</v>
      </c>
      <c r="O475" s="10">
        <f>N475*L475</f>
        <v/>
      </c>
      <c r="P475" s="10">
        <f>M475-O475</f>
        <v/>
      </c>
      <c r="Q475" s="11" t="inlineStr">
        <is>
          <t>No</t>
        </is>
      </c>
      <c r="R475" s="11" t="n">
        <v>0</v>
      </c>
      <c r="S475" s="10">
        <f>M475-(R475*K475)</f>
        <v/>
      </c>
      <c r="T475" s="12">
        <f>VLOOKUP(E475,Dim_Product!$A$2:$Q$61,3,FALSE)</f>
        <v/>
      </c>
      <c r="U475" s="12">
        <f>VLOOKUP(E475,Dim_Product!$A$2:$Q$61,4,FALSE)</f>
        <v/>
      </c>
      <c r="V475" s="12">
        <f>VLOOKUP(D475,Dim_Customer!$A$2:$I$121,6,FALSE)</f>
        <v/>
      </c>
      <c r="W475" s="12">
        <f>VLOOKUP(G475,Dim_Channel!$A$2:$B$5,2,FALSE)</f>
        <v/>
      </c>
      <c r="X475" s="12">
        <f>VLOOKUP(H475,Dim_Promotion!$A$2:$G$11,2,FALSE)</f>
        <v/>
      </c>
    </row>
    <row r="476">
      <c r="A476" s="4" t="inlineStr">
        <is>
          <t>SL0475</t>
        </is>
      </c>
      <c r="B476" t="inlineStr">
        <is>
          <t>O010238</t>
        </is>
      </c>
      <c r="C476" t="n">
        <v>20251007</v>
      </c>
      <c r="D476" s="4" t="inlineStr">
        <is>
          <t>C012</t>
        </is>
      </c>
      <c r="E476" s="4" t="inlineStr">
        <is>
          <t>P048</t>
        </is>
      </c>
      <c r="F476" t="inlineStr">
        <is>
          <t>L</t>
        </is>
      </c>
      <c r="G476" s="4" t="inlineStr">
        <is>
          <t>CH01</t>
        </is>
      </c>
      <c r="H476" s="4" t="inlineStr">
        <is>
          <t>PR00</t>
        </is>
      </c>
      <c r="I476" s="8" t="n">
        <v>66</v>
      </c>
      <c r="J476" s="9" t="n">
        <v>0</v>
      </c>
      <c r="K476" s="10">
        <f>I476*(1-J476)</f>
        <v/>
      </c>
      <c r="L476" s="11" t="n">
        <v>1</v>
      </c>
      <c r="M476" s="10">
        <f>K476*L476</f>
        <v/>
      </c>
      <c r="N476" s="8" t="n">
        <v>34.13</v>
      </c>
      <c r="O476" s="10">
        <f>N476*L476</f>
        <v/>
      </c>
      <c r="P476" s="10">
        <f>M476-O476</f>
        <v/>
      </c>
      <c r="Q476" s="11" t="inlineStr">
        <is>
          <t>No</t>
        </is>
      </c>
      <c r="R476" s="11" t="n">
        <v>0</v>
      </c>
      <c r="S476" s="10">
        <f>M476-(R476*K476)</f>
        <v/>
      </c>
      <c r="T476" s="12">
        <f>VLOOKUP(E476,Dim_Product!$A$2:$Q$61,3,FALSE)</f>
        <v/>
      </c>
      <c r="U476" s="12">
        <f>VLOOKUP(E476,Dim_Product!$A$2:$Q$61,4,FALSE)</f>
        <v/>
      </c>
      <c r="V476" s="12">
        <f>VLOOKUP(D476,Dim_Customer!$A$2:$I$121,6,FALSE)</f>
        <v/>
      </c>
      <c r="W476" s="12">
        <f>VLOOKUP(G476,Dim_Channel!$A$2:$B$5,2,FALSE)</f>
        <v/>
      </c>
      <c r="X476" s="12">
        <f>VLOOKUP(H476,Dim_Promotion!$A$2:$G$11,2,FALSE)</f>
        <v/>
      </c>
    </row>
    <row r="477">
      <c r="A477" s="4" t="inlineStr">
        <is>
          <t>SL0476</t>
        </is>
      </c>
      <c r="B477" t="inlineStr">
        <is>
          <t>O010238</t>
        </is>
      </c>
      <c r="C477" t="n">
        <v>20250407</v>
      </c>
      <c r="D477" s="4" t="inlineStr">
        <is>
          <t>C106</t>
        </is>
      </c>
      <c r="E477" s="4" t="inlineStr">
        <is>
          <t>P037</t>
        </is>
      </c>
      <c r="F477" t="inlineStr">
        <is>
          <t>S</t>
        </is>
      </c>
      <c r="G477" s="4" t="inlineStr">
        <is>
          <t>CH04</t>
        </is>
      </c>
      <c r="H477" s="4" t="inlineStr">
        <is>
          <t>PR00</t>
        </is>
      </c>
      <c r="I477" s="8" t="n">
        <v>74</v>
      </c>
      <c r="J477" s="9" t="n">
        <v>0</v>
      </c>
      <c r="K477" s="10">
        <f>I477*(1-J477)</f>
        <v/>
      </c>
      <c r="L477" s="11" t="n">
        <v>1</v>
      </c>
      <c r="M477" s="10">
        <f>K477*L477</f>
        <v/>
      </c>
      <c r="N477" s="8" t="n">
        <v>33.53</v>
      </c>
      <c r="O477" s="10">
        <f>N477*L477</f>
        <v/>
      </c>
      <c r="P477" s="10">
        <f>M477-O477</f>
        <v/>
      </c>
      <c r="Q477" s="11" t="inlineStr">
        <is>
          <t>No</t>
        </is>
      </c>
      <c r="R477" s="11" t="n">
        <v>0</v>
      </c>
      <c r="S477" s="10">
        <f>M477-(R477*K477)</f>
        <v/>
      </c>
      <c r="T477" s="12">
        <f>VLOOKUP(E477,Dim_Product!$A$2:$Q$61,3,FALSE)</f>
        <v/>
      </c>
      <c r="U477" s="12">
        <f>VLOOKUP(E477,Dim_Product!$A$2:$Q$61,4,FALSE)</f>
        <v/>
      </c>
      <c r="V477" s="12">
        <f>VLOOKUP(D477,Dim_Customer!$A$2:$I$121,6,FALSE)</f>
        <v/>
      </c>
      <c r="W477" s="12">
        <f>VLOOKUP(G477,Dim_Channel!$A$2:$B$5,2,FALSE)</f>
        <v/>
      </c>
      <c r="X477" s="12">
        <f>VLOOKUP(H477,Dim_Promotion!$A$2:$G$11,2,FALSE)</f>
        <v/>
      </c>
    </row>
    <row r="478">
      <c r="A478" s="4" t="inlineStr">
        <is>
          <t>SL0477</t>
        </is>
      </c>
      <c r="B478" t="inlineStr">
        <is>
          <t>O010239</t>
        </is>
      </c>
      <c r="C478" t="n">
        <v>20250824</v>
      </c>
      <c r="D478" s="4" t="inlineStr">
        <is>
          <t>C009</t>
        </is>
      </c>
      <c r="E478" s="4" t="inlineStr">
        <is>
          <t>P007</t>
        </is>
      </c>
      <c r="F478" t="inlineStr">
        <is>
          <t>XL</t>
        </is>
      </c>
      <c r="G478" s="4" t="inlineStr">
        <is>
          <t>CH04</t>
        </is>
      </c>
      <c r="H478" s="4" t="inlineStr">
        <is>
          <t>PR00</t>
        </is>
      </c>
      <c r="I478" s="8" t="n">
        <v>48</v>
      </c>
      <c r="J478" s="9" t="n">
        <v>0</v>
      </c>
      <c r="K478" s="10">
        <f>I478*(1-J478)</f>
        <v/>
      </c>
      <c r="L478" s="11" t="n">
        <v>4</v>
      </c>
      <c r="M478" s="10">
        <f>K478*L478</f>
        <v/>
      </c>
      <c r="N478" s="8" t="n">
        <v>22.47</v>
      </c>
      <c r="O478" s="10">
        <f>N478*L478</f>
        <v/>
      </c>
      <c r="P478" s="10">
        <f>M478-O478</f>
        <v/>
      </c>
      <c r="Q478" s="11" t="inlineStr">
        <is>
          <t>No</t>
        </is>
      </c>
      <c r="R478" s="11" t="n">
        <v>0</v>
      </c>
      <c r="S478" s="10">
        <f>M478-(R478*K478)</f>
        <v/>
      </c>
      <c r="T478" s="12">
        <f>VLOOKUP(E478,Dim_Product!$A$2:$Q$61,3,FALSE)</f>
        <v/>
      </c>
      <c r="U478" s="12">
        <f>VLOOKUP(E478,Dim_Product!$A$2:$Q$61,4,FALSE)</f>
        <v/>
      </c>
      <c r="V478" s="12">
        <f>VLOOKUP(D478,Dim_Customer!$A$2:$I$121,6,FALSE)</f>
        <v/>
      </c>
      <c r="W478" s="12">
        <f>VLOOKUP(G478,Dim_Channel!$A$2:$B$5,2,FALSE)</f>
        <v/>
      </c>
      <c r="X478" s="12">
        <f>VLOOKUP(H478,Dim_Promotion!$A$2:$G$11,2,FALSE)</f>
        <v/>
      </c>
    </row>
    <row r="479">
      <c r="A479" s="4" t="inlineStr">
        <is>
          <t>SL0478</t>
        </is>
      </c>
      <c r="B479" t="inlineStr">
        <is>
          <t>O010239</t>
        </is>
      </c>
      <c r="C479" t="n">
        <v>20250418</v>
      </c>
      <c r="D479" s="4" t="inlineStr">
        <is>
          <t>C114</t>
        </is>
      </c>
      <c r="E479" s="4" t="inlineStr">
        <is>
          <t>P038</t>
        </is>
      </c>
      <c r="F479" t="inlineStr">
        <is>
          <t>XS</t>
        </is>
      </c>
      <c r="G479" s="4" t="inlineStr">
        <is>
          <t>CH04</t>
        </is>
      </c>
      <c r="H479" s="4" t="inlineStr">
        <is>
          <t>PR00</t>
        </is>
      </c>
      <c r="I479" s="8" t="n">
        <v>74</v>
      </c>
      <c r="J479" s="9" t="n">
        <v>0</v>
      </c>
      <c r="K479" s="10">
        <f>I479*(1-J479)</f>
        <v/>
      </c>
      <c r="L479" s="11" t="n">
        <v>1</v>
      </c>
      <c r="M479" s="10">
        <f>K479*L479</f>
        <v/>
      </c>
      <c r="N479" s="8" t="n">
        <v>33.37</v>
      </c>
      <c r="O479" s="10">
        <f>N479*L479</f>
        <v/>
      </c>
      <c r="P479" s="10">
        <f>M479-O479</f>
        <v/>
      </c>
      <c r="Q479" s="11" t="inlineStr">
        <is>
          <t>No</t>
        </is>
      </c>
      <c r="R479" s="11" t="n">
        <v>0</v>
      </c>
      <c r="S479" s="10">
        <f>M479-(R479*K479)</f>
        <v/>
      </c>
      <c r="T479" s="12">
        <f>VLOOKUP(E479,Dim_Product!$A$2:$Q$61,3,FALSE)</f>
        <v/>
      </c>
      <c r="U479" s="12">
        <f>VLOOKUP(E479,Dim_Product!$A$2:$Q$61,4,FALSE)</f>
        <v/>
      </c>
      <c r="V479" s="12">
        <f>VLOOKUP(D479,Dim_Customer!$A$2:$I$121,6,FALSE)</f>
        <v/>
      </c>
      <c r="W479" s="12">
        <f>VLOOKUP(G479,Dim_Channel!$A$2:$B$5,2,FALSE)</f>
        <v/>
      </c>
      <c r="X479" s="12">
        <f>VLOOKUP(H479,Dim_Promotion!$A$2:$G$11,2,FALSE)</f>
        <v/>
      </c>
    </row>
    <row r="480">
      <c r="A480" s="4" t="inlineStr">
        <is>
          <t>SL0479</t>
        </is>
      </c>
      <c r="B480" t="inlineStr">
        <is>
          <t>O010240</t>
        </is>
      </c>
      <c r="C480" t="n">
        <v>20250702</v>
      </c>
      <c r="D480" s="4" t="inlineStr">
        <is>
          <t>C114</t>
        </is>
      </c>
      <c r="E480" s="4" t="inlineStr">
        <is>
          <t>P042</t>
        </is>
      </c>
      <c r="F480" t="inlineStr">
        <is>
          <t>L</t>
        </is>
      </c>
      <c r="G480" s="4" t="inlineStr">
        <is>
          <t>CH02</t>
        </is>
      </c>
      <c r="H480" s="4" t="inlineStr">
        <is>
          <t>PR00</t>
        </is>
      </c>
      <c r="I480" s="8" t="n">
        <v>77</v>
      </c>
      <c r="J480" s="9" t="n">
        <v>0</v>
      </c>
      <c r="K480" s="10">
        <f>I480*(1-J480)</f>
        <v/>
      </c>
      <c r="L480" s="11" t="n">
        <v>1</v>
      </c>
      <c r="M480" s="10">
        <f>K480*L480</f>
        <v/>
      </c>
      <c r="N480" s="8" t="n">
        <v>36.44</v>
      </c>
      <c r="O480" s="10">
        <f>N480*L480</f>
        <v/>
      </c>
      <c r="P480" s="10">
        <f>M480-O480</f>
        <v/>
      </c>
      <c r="Q480" s="11" t="inlineStr">
        <is>
          <t>No</t>
        </is>
      </c>
      <c r="R480" s="11" t="n">
        <v>0</v>
      </c>
      <c r="S480" s="10">
        <f>M480-(R480*K480)</f>
        <v/>
      </c>
      <c r="T480" s="12">
        <f>VLOOKUP(E480,Dim_Product!$A$2:$Q$61,3,FALSE)</f>
        <v/>
      </c>
      <c r="U480" s="12">
        <f>VLOOKUP(E480,Dim_Product!$A$2:$Q$61,4,FALSE)</f>
        <v/>
      </c>
      <c r="V480" s="12">
        <f>VLOOKUP(D480,Dim_Customer!$A$2:$I$121,6,FALSE)</f>
        <v/>
      </c>
      <c r="W480" s="12">
        <f>VLOOKUP(G480,Dim_Channel!$A$2:$B$5,2,FALSE)</f>
        <v/>
      </c>
      <c r="X480" s="12">
        <f>VLOOKUP(H480,Dim_Promotion!$A$2:$G$11,2,FALSE)</f>
        <v/>
      </c>
    </row>
    <row r="481">
      <c r="A481" s="4" t="inlineStr">
        <is>
          <t>SL0480</t>
        </is>
      </c>
      <c r="B481" t="inlineStr">
        <is>
          <t>O010240</t>
        </is>
      </c>
      <c r="C481" t="n">
        <v>20250124</v>
      </c>
      <c r="D481" s="4" t="inlineStr">
        <is>
          <t>C029</t>
        </is>
      </c>
      <c r="E481" s="4" t="inlineStr">
        <is>
          <t>P059</t>
        </is>
      </c>
      <c r="F481" t="inlineStr">
        <is>
          <t>S</t>
        </is>
      </c>
      <c r="G481" s="4" t="inlineStr">
        <is>
          <t>CH01</t>
        </is>
      </c>
      <c r="H481" s="4" t="inlineStr">
        <is>
          <t>PR00</t>
        </is>
      </c>
      <c r="I481" s="8" t="n">
        <v>72</v>
      </c>
      <c r="J481" s="9" t="n">
        <v>0</v>
      </c>
      <c r="K481" s="10">
        <f>I481*(1-J481)</f>
        <v/>
      </c>
      <c r="L481" s="11" t="n">
        <v>1</v>
      </c>
      <c r="M481" s="10">
        <f>K481*L481</f>
        <v/>
      </c>
      <c r="N481" s="8" t="n">
        <v>34.2</v>
      </c>
      <c r="O481" s="10">
        <f>N481*L481</f>
        <v/>
      </c>
      <c r="P481" s="10">
        <f>M481-O481</f>
        <v/>
      </c>
      <c r="Q481" s="11" t="inlineStr">
        <is>
          <t>Yes</t>
        </is>
      </c>
      <c r="R481" s="11" t="n">
        <v>1</v>
      </c>
      <c r="S481" s="10">
        <f>M481-(R481*K481)</f>
        <v/>
      </c>
      <c r="T481" s="12">
        <f>VLOOKUP(E481,Dim_Product!$A$2:$Q$61,3,FALSE)</f>
        <v/>
      </c>
      <c r="U481" s="12">
        <f>VLOOKUP(E481,Dim_Product!$A$2:$Q$61,4,FALSE)</f>
        <v/>
      </c>
      <c r="V481" s="12">
        <f>VLOOKUP(D481,Dim_Customer!$A$2:$I$121,6,FALSE)</f>
        <v/>
      </c>
      <c r="W481" s="12">
        <f>VLOOKUP(G481,Dim_Channel!$A$2:$B$5,2,FALSE)</f>
        <v/>
      </c>
      <c r="X481" s="12">
        <f>VLOOKUP(H481,Dim_Promotion!$A$2:$G$11,2,FALSE)</f>
        <v/>
      </c>
    </row>
    <row r="482">
      <c r="A482" s="4" t="inlineStr">
        <is>
          <t>SL0481</t>
        </is>
      </c>
      <c r="B482" t="inlineStr">
        <is>
          <t>O010241</t>
        </is>
      </c>
      <c r="C482" t="n">
        <v>20251108</v>
      </c>
      <c r="D482" s="4" t="inlineStr">
        <is>
          <t>C014</t>
        </is>
      </c>
      <c r="E482" s="4" t="inlineStr">
        <is>
          <t>P049</t>
        </is>
      </c>
      <c r="F482" t="inlineStr">
        <is>
          <t>L</t>
        </is>
      </c>
      <c r="G482" s="4" t="inlineStr">
        <is>
          <t>CH02</t>
        </is>
      </c>
      <c r="H482" s="4" t="inlineStr">
        <is>
          <t>PR00</t>
        </is>
      </c>
      <c r="I482" s="8" t="n">
        <v>72</v>
      </c>
      <c r="J482" s="9" t="n">
        <v>0</v>
      </c>
      <c r="K482" s="10">
        <f>I482*(1-J482)</f>
        <v/>
      </c>
      <c r="L482" s="11" t="n">
        <v>1</v>
      </c>
      <c r="M482" s="10">
        <f>K482*L482</f>
        <v/>
      </c>
      <c r="N482" s="8" t="n">
        <v>29.75</v>
      </c>
      <c r="O482" s="10">
        <f>N482*L482</f>
        <v/>
      </c>
      <c r="P482" s="10">
        <f>M482-O482</f>
        <v/>
      </c>
      <c r="Q482" s="11" t="inlineStr">
        <is>
          <t>No</t>
        </is>
      </c>
      <c r="R482" s="11" t="n">
        <v>0</v>
      </c>
      <c r="S482" s="10">
        <f>M482-(R482*K482)</f>
        <v/>
      </c>
      <c r="T482" s="12">
        <f>VLOOKUP(E482,Dim_Product!$A$2:$Q$61,3,FALSE)</f>
        <v/>
      </c>
      <c r="U482" s="12">
        <f>VLOOKUP(E482,Dim_Product!$A$2:$Q$61,4,FALSE)</f>
        <v/>
      </c>
      <c r="V482" s="12">
        <f>VLOOKUP(D482,Dim_Customer!$A$2:$I$121,6,FALSE)</f>
        <v/>
      </c>
      <c r="W482" s="12">
        <f>VLOOKUP(G482,Dim_Channel!$A$2:$B$5,2,FALSE)</f>
        <v/>
      </c>
      <c r="X482" s="12">
        <f>VLOOKUP(H482,Dim_Promotion!$A$2:$G$11,2,FALSE)</f>
        <v/>
      </c>
    </row>
    <row r="483">
      <c r="A483" s="4" t="inlineStr">
        <is>
          <t>SL0482</t>
        </is>
      </c>
      <c r="B483" t="inlineStr">
        <is>
          <t>O010241</t>
        </is>
      </c>
      <c r="C483" t="n">
        <v>20250803</v>
      </c>
      <c r="D483" s="4" t="inlineStr">
        <is>
          <t>C008</t>
        </is>
      </c>
      <c r="E483" s="4" t="inlineStr">
        <is>
          <t>P055</t>
        </is>
      </c>
      <c r="F483" t="inlineStr">
        <is>
          <t>L</t>
        </is>
      </c>
      <c r="G483" s="4" t="inlineStr">
        <is>
          <t>CH03</t>
        </is>
      </c>
      <c r="H483" s="4" t="inlineStr">
        <is>
          <t>PR00</t>
        </is>
      </c>
      <c r="I483" s="8" t="n">
        <v>68</v>
      </c>
      <c r="J483" s="9" t="n">
        <v>0</v>
      </c>
      <c r="K483" s="10">
        <f>I483*(1-J483)</f>
        <v/>
      </c>
      <c r="L483" s="11" t="n">
        <v>2</v>
      </c>
      <c r="M483" s="10">
        <f>K483*L483</f>
        <v/>
      </c>
      <c r="N483" s="8" t="n">
        <v>34.22</v>
      </c>
      <c r="O483" s="10">
        <f>N483*L483</f>
        <v/>
      </c>
      <c r="P483" s="10">
        <f>M483-O483</f>
        <v/>
      </c>
      <c r="Q483" s="11" t="inlineStr">
        <is>
          <t>No</t>
        </is>
      </c>
      <c r="R483" s="11" t="n">
        <v>0</v>
      </c>
      <c r="S483" s="10">
        <f>M483-(R483*K483)</f>
        <v/>
      </c>
      <c r="T483" s="12">
        <f>VLOOKUP(E483,Dim_Product!$A$2:$Q$61,3,FALSE)</f>
        <v/>
      </c>
      <c r="U483" s="12">
        <f>VLOOKUP(E483,Dim_Product!$A$2:$Q$61,4,FALSE)</f>
        <v/>
      </c>
      <c r="V483" s="12">
        <f>VLOOKUP(D483,Dim_Customer!$A$2:$I$121,6,FALSE)</f>
        <v/>
      </c>
      <c r="W483" s="12">
        <f>VLOOKUP(G483,Dim_Channel!$A$2:$B$5,2,FALSE)</f>
        <v/>
      </c>
      <c r="X483" s="12">
        <f>VLOOKUP(H483,Dim_Promotion!$A$2:$G$11,2,FALSE)</f>
        <v/>
      </c>
    </row>
    <row r="484">
      <c r="A484" s="4" t="inlineStr">
        <is>
          <t>SL0483</t>
        </is>
      </c>
      <c r="B484" t="inlineStr">
        <is>
          <t>O010242</t>
        </is>
      </c>
      <c r="C484" t="n">
        <v>20250903</v>
      </c>
      <c r="D484" s="4" t="inlineStr">
        <is>
          <t>C014</t>
        </is>
      </c>
      <c r="E484" s="4" t="inlineStr">
        <is>
          <t>P040</t>
        </is>
      </c>
      <c r="F484" t="inlineStr">
        <is>
          <t>S</t>
        </is>
      </c>
      <c r="G484" s="4" t="inlineStr">
        <is>
          <t>CH03</t>
        </is>
      </c>
      <c r="H484" s="4" t="inlineStr">
        <is>
          <t>PR00</t>
        </is>
      </c>
      <c r="I484" s="8" t="n">
        <v>71</v>
      </c>
      <c r="J484" s="9" t="n">
        <v>0</v>
      </c>
      <c r="K484" s="10">
        <f>I484*(1-J484)</f>
        <v/>
      </c>
      <c r="L484" s="11" t="n">
        <v>1</v>
      </c>
      <c r="M484" s="10">
        <f>K484*L484</f>
        <v/>
      </c>
      <c r="N484" s="8" t="n">
        <v>34.54</v>
      </c>
      <c r="O484" s="10">
        <f>N484*L484</f>
        <v/>
      </c>
      <c r="P484" s="10">
        <f>M484-O484</f>
        <v/>
      </c>
      <c r="Q484" s="11" t="inlineStr">
        <is>
          <t>No</t>
        </is>
      </c>
      <c r="R484" s="11" t="n">
        <v>0</v>
      </c>
      <c r="S484" s="10">
        <f>M484-(R484*K484)</f>
        <v/>
      </c>
      <c r="T484" s="12">
        <f>VLOOKUP(E484,Dim_Product!$A$2:$Q$61,3,FALSE)</f>
        <v/>
      </c>
      <c r="U484" s="12">
        <f>VLOOKUP(E484,Dim_Product!$A$2:$Q$61,4,FALSE)</f>
        <v/>
      </c>
      <c r="V484" s="12">
        <f>VLOOKUP(D484,Dim_Customer!$A$2:$I$121,6,FALSE)</f>
        <v/>
      </c>
      <c r="W484" s="12">
        <f>VLOOKUP(G484,Dim_Channel!$A$2:$B$5,2,FALSE)</f>
        <v/>
      </c>
      <c r="X484" s="12">
        <f>VLOOKUP(H484,Dim_Promotion!$A$2:$G$11,2,FALSE)</f>
        <v/>
      </c>
    </row>
    <row r="485">
      <c r="A485" s="4" t="inlineStr">
        <is>
          <t>SL0484</t>
        </is>
      </c>
      <c r="B485" t="inlineStr">
        <is>
          <t>O010242</t>
        </is>
      </c>
      <c r="C485" t="n">
        <v>20250113</v>
      </c>
      <c r="D485" s="4" t="inlineStr">
        <is>
          <t>C060</t>
        </is>
      </c>
      <c r="E485" s="4" t="inlineStr">
        <is>
          <t>P036</t>
        </is>
      </c>
      <c r="F485" t="inlineStr">
        <is>
          <t>XXL</t>
        </is>
      </c>
      <c r="G485" s="4" t="inlineStr">
        <is>
          <t>CH03</t>
        </is>
      </c>
      <c r="H485" s="4" t="inlineStr">
        <is>
          <t>PR00</t>
        </is>
      </c>
      <c r="I485" s="8" t="n">
        <v>88</v>
      </c>
      <c r="J485" s="9" t="n">
        <v>0</v>
      </c>
      <c r="K485" s="10">
        <f>I485*(1-J485)</f>
        <v/>
      </c>
      <c r="L485" s="11" t="n">
        <v>2</v>
      </c>
      <c r="M485" s="10">
        <f>K485*L485</f>
        <v/>
      </c>
      <c r="N485" s="8" t="n">
        <v>41.19</v>
      </c>
      <c r="O485" s="10">
        <f>N485*L485</f>
        <v/>
      </c>
      <c r="P485" s="10">
        <f>M485-O485</f>
        <v/>
      </c>
      <c r="Q485" s="11" t="inlineStr">
        <is>
          <t>No</t>
        </is>
      </c>
      <c r="R485" s="11" t="n">
        <v>0</v>
      </c>
      <c r="S485" s="10">
        <f>M485-(R485*K485)</f>
        <v/>
      </c>
      <c r="T485" s="12">
        <f>VLOOKUP(E485,Dim_Product!$A$2:$Q$61,3,FALSE)</f>
        <v/>
      </c>
      <c r="U485" s="12">
        <f>VLOOKUP(E485,Dim_Product!$A$2:$Q$61,4,FALSE)</f>
        <v/>
      </c>
      <c r="V485" s="12">
        <f>VLOOKUP(D485,Dim_Customer!$A$2:$I$121,6,FALSE)</f>
        <v/>
      </c>
      <c r="W485" s="12">
        <f>VLOOKUP(G485,Dim_Channel!$A$2:$B$5,2,FALSE)</f>
        <v/>
      </c>
      <c r="X485" s="12">
        <f>VLOOKUP(H485,Dim_Promotion!$A$2:$G$11,2,FALSE)</f>
        <v/>
      </c>
    </row>
    <row r="486">
      <c r="A486" s="4" t="inlineStr">
        <is>
          <t>SL0485</t>
        </is>
      </c>
      <c r="B486" t="inlineStr">
        <is>
          <t>O010243</t>
        </is>
      </c>
      <c r="C486" t="n">
        <v>20250827</v>
      </c>
      <c r="D486" s="4" t="inlineStr">
        <is>
          <t>C025</t>
        </is>
      </c>
      <c r="E486" s="4" t="inlineStr">
        <is>
          <t>P054</t>
        </is>
      </c>
      <c r="F486" t="inlineStr">
        <is>
          <t>M</t>
        </is>
      </c>
      <c r="G486" s="4" t="inlineStr">
        <is>
          <t>CH01</t>
        </is>
      </c>
      <c r="H486" s="4" t="inlineStr">
        <is>
          <t>PR00</t>
        </is>
      </c>
      <c r="I486" s="8" t="n">
        <v>74</v>
      </c>
      <c r="J486" s="9" t="n">
        <v>0</v>
      </c>
      <c r="K486" s="10">
        <f>I486*(1-J486)</f>
        <v/>
      </c>
      <c r="L486" s="11" t="n">
        <v>1</v>
      </c>
      <c r="M486" s="10">
        <f>K486*L486</f>
        <v/>
      </c>
      <c r="N486" s="8" t="n">
        <v>31.86</v>
      </c>
      <c r="O486" s="10">
        <f>N486*L486</f>
        <v/>
      </c>
      <c r="P486" s="10">
        <f>M486-O486</f>
        <v/>
      </c>
      <c r="Q486" s="11" t="inlineStr">
        <is>
          <t>Yes</t>
        </is>
      </c>
      <c r="R486" s="11" t="n">
        <v>1</v>
      </c>
      <c r="S486" s="10">
        <f>M486-(R486*K486)</f>
        <v/>
      </c>
      <c r="T486" s="12">
        <f>VLOOKUP(E486,Dim_Product!$A$2:$Q$61,3,FALSE)</f>
        <v/>
      </c>
      <c r="U486" s="12">
        <f>VLOOKUP(E486,Dim_Product!$A$2:$Q$61,4,FALSE)</f>
        <v/>
      </c>
      <c r="V486" s="12">
        <f>VLOOKUP(D486,Dim_Customer!$A$2:$I$121,6,FALSE)</f>
        <v/>
      </c>
      <c r="W486" s="12">
        <f>VLOOKUP(G486,Dim_Channel!$A$2:$B$5,2,FALSE)</f>
        <v/>
      </c>
      <c r="X486" s="12">
        <f>VLOOKUP(H486,Dim_Promotion!$A$2:$G$11,2,FALSE)</f>
        <v/>
      </c>
    </row>
    <row r="487">
      <c r="A487" s="4" t="inlineStr">
        <is>
          <t>SL0486</t>
        </is>
      </c>
      <c r="B487" t="inlineStr">
        <is>
          <t>O010243</t>
        </is>
      </c>
      <c r="C487" t="n">
        <v>20250817</v>
      </c>
      <c r="D487" s="4" t="inlineStr">
        <is>
          <t>C084</t>
        </is>
      </c>
      <c r="E487" s="4" t="inlineStr">
        <is>
          <t>P044</t>
        </is>
      </c>
      <c r="F487" t="inlineStr">
        <is>
          <t>L</t>
        </is>
      </c>
      <c r="G487" s="4" t="inlineStr">
        <is>
          <t>CH03</t>
        </is>
      </c>
      <c r="H487" s="4" t="inlineStr">
        <is>
          <t>PR00</t>
        </is>
      </c>
      <c r="I487" s="8" t="n">
        <v>78</v>
      </c>
      <c r="J487" s="9" t="n">
        <v>0</v>
      </c>
      <c r="K487" s="10">
        <f>I487*(1-J487)</f>
        <v/>
      </c>
      <c r="L487" s="11" t="n">
        <v>1</v>
      </c>
      <c r="M487" s="10">
        <f>K487*L487</f>
        <v/>
      </c>
      <c r="N487" s="8" t="n">
        <v>34.91</v>
      </c>
      <c r="O487" s="10">
        <f>N487*L487</f>
        <v/>
      </c>
      <c r="P487" s="10">
        <f>M487-O487</f>
        <v/>
      </c>
      <c r="Q487" s="11" t="inlineStr">
        <is>
          <t>No</t>
        </is>
      </c>
      <c r="R487" s="11" t="n">
        <v>0</v>
      </c>
      <c r="S487" s="10">
        <f>M487-(R487*K487)</f>
        <v/>
      </c>
      <c r="T487" s="12">
        <f>VLOOKUP(E487,Dim_Product!$A$2:$Q$61,3,FALSE)</f>
        <v/>
      </c>
      <c r="U487" s="12">
        <f>VLOOKUP(E487,Dim_Product!$A$2:$Q$61,4,FALSE)</f>
        <v/>
      </c>
      <c r="V487" s="12">
        <f>VLOOKUP(D487,Dim_Customer!$A$2:$I$121,6,FALSE)</f>
        <v/>
      </c>
      <c r="W487" s="12">
        <f>VLOOKUP(G487,Dim_Channel!$A$2:$B$5,2,FALSE)</f>
        <v/>
      </c>
      <c r="X487" s="12">
        <f>VLOOKUP(H487,Dim_Promotion!$A$2:$G$11,2,FALSE)</f>
        <v/>
      </c>
    </row>
    <row r="488">
      <c r="A488" s="4" t="inlineStr">
        <is>
          <t>SL0487</t>
        </is>
      </c>
      <c r="B488" t="inlineStr">
        <is>
          <t>O010244</t>
        </is>
      </c>
      <c r="C488" t="n">
        <v>20250722</v>
      </c>
      <c r="D488" s="4" t="inlineStr">
        <is>
          <t>C087</t>
        </is>
      </c>
      <c r="E488" s="4" t="inlineStr">
        <is>
          <t>P008</t>
        </is>
      </c>
      <c r="F488" t="inlineStr">
        <is>
          <t>XL</t>
        </is>
      </c>
      <c r="G488" s="4" t="inlineStr">
        <is>
          <t>CH02</t>
        </is>
      </c>
      <c r="H488" s="4" t="inlineStr">
        <is>
          <t>PR00</t>
        </is>
      </c>
      <c r="I488" s="8" t="n">
        <v>52</v>
      </c>
      <c r="J488" s="9" t="n">
        <v>0</v>
      </c>
      <c r="K488" s="10">
        <f>I488*(1-J488)</f>
        <v/>
      </c>
      <c r="L488" s="11" t="n">
        <v>1</v>
      </c>
      <c r="M488" s="10">
        <f>K488*L488</f>
        <v/>
      </c>
      <c r="N488" s="8" t="n">
        <v>22.82</v>
      </c>
      <c r="O488" s="10">
        <f>N488*L488</f>
        <v/>
      </c>
      <c r="P488" s="10">
        <f>M488-O488</f>
        <v/>
      </c>
      <c r="Q488" s="11" t="inlineStr">
        <is>
          <t>No</t>
        </is>
      </c>
      <c r="R488" s="11" t="n">
        <v>0</v>
      </c>
      <c r="S488" s="10">
        <f>M488-(R488*K488)</f>
        <v/>
      </c>
      <c r="T488" s="12">
        <f>VLOOKUP(E488,Dim_Product!$A$2:$Q$61,3,FALSE)</f>
        <v/>
      </c>
      <c r="U488" s="12">
        <f>VLOOKUP(E488,Dim_Product!$A$2:$Q$61,4,FALSE)</f>
        <v/>
      </c>
      <c r="V488" s="12">
        <f>VLOOKUP(D488,Dim_Customer!$A$2:$I$121,6,FALSE)</f>
        <v/>
      </c>
      <c r="W488" s="12">
        <f>VLOOKUP(G488,Dim_Channel!$A$2:$B$5,2,FALSE)</f>
        <v/>
      </c>
      <c r="X488" s="12">
        <f>VLOOKUP(H488,Dim_Promotion!$A$2:$G$11,2,FALSE)</f>
        <v/>
      </c>
    </row>
    <row r="489">
      <c r="A489" s="4" t="inlineStr">
        <is>
          <t>SL0488</t>
        </is>
      </c>
      <c r="B489" t="inlineStr">
        <is>
          <t>O010244</t>
        </is>
      </c>
      <c r="C489" t="n">
        <v>20251111</v>
      </c>
      <c r="D489" s="4" t="inlineStr">
        <is>
          <t>C025</t>
        </is>
      </c>
      <c r="E489" s="4" t="inlineStr">
        <is>
          <t>P059</t>
        </is>
      </c>
      <c r="F489" t="inlineStr">
        <is>
          <t>M</t>
        </is>
      </c>
      <c r="G489" s="4" t="inlineStr">
        <is>
          <t>CH02</t>
        </is>
      </c>
      <c r="H489" s="4" t="inlineStr">
        <is>
          <t>PR00</t>
        </is>
      </c>
      <c r="I489" s="8" t="n">
        <v>76</v>
      </c>
      <c r="J489" s="9" t="n">
        <v>0</v>
      </c>
      <c r="K489" s="10">
        <f>I489*(1-J489)</f>
        <v/>
      </c>
      <c r="L489" s="11" t="n">
        <v>1</v>
      </c>
      <c r="M489" s="10">
        <f>K489*L489</f>
        <v/>
      </c>
      <c r="N489" s="8" t="n">
        <v>33.99</v>
      </c>
      <c r="O489" s="10">
        <f>N489*L489</f>
        <v/>
      </c>
      <c r="P489" s="10">
        <f>M489-O489</f>
        <v/>
      </c>
      <c r="Q489" s="11" t="inlineStr">
        <is>
          <t>No</t>
        </is>
      </c>
      <c r="R489" s="11" t="n">
        <v>0</v>
      </c>
      <c r="S489" s="10">
        <f>M489-(R489*K489)</f>
        <v/>
      </c>
      <c r="T489" s="12">
        <f>VLOOKUP(E489,Dim_Product!$A$2:$Q$61,3,FALSE)</f>
        <v/>
      </c>
      <c r="U489" s="12">
        <f>VLOOKUP(E489,Dim_Product!$A$2:$Q$61,4,FALSE)</f>
        <v/>
      </c>
      <c r="V489" s="12">
        <f>VLOOKUP(D489,Dim_Customer!$A$2:$I$121,6,FALSE)</f>
        <v/>
      </c>
      <c r="W489" s="12">
        <f>VLOOKUP(G489,Dim_Channel!$A$2:$B$5,2,FALSE)</f>
        <v/>
      </c>
      <c r="X489" s="12">
        <f>VLOOKUP(H489,Dim_Promotion!$A$2:$G$11,2,FALSE)</f>
        <v/>
      </c>
    </row>
    <row r="490">
      <c r="A490" s="4" t="inlineStr">
        <is>
          <t>SL0489</t>
        </is>
      </c>
      <c r="B490" t="inlineStr">
        <is>
          <t>O010245</t>
        </is>
      </c>
      <c r="C490" t="n">
        <v>20251130</v>
      </c>
      <c r="D490" s="4" t="inlineStr">
        <is>
          <t>C006</t>
        </is>
      </c>
      <c r="E490" s="4" t="inlineStr">
        <is>
          <t>P028</t>
        </is>
      </c>
      <c r="F490" t="inlineStr">
        <is>
          <t>L</t>
        </is>
      </c>
      <c r="G490" s="4" t="inlineStr">
        <is>
          <t>CH03</t>
        </is>
      </c>
      <c r="H490" s="4" t="inlineStr">
        <is>
          <t>PR00</t>
        </is>
      </c>
      <c r="I490" s="8" t="n">
        <v>97</v>
      </c>
      <c r="J490" s="9" t="n">
        <v>0</v>
      </c>
      <c r="K490" s="10">
        <f>I490*(1-J490)</f>
        <v/>
      </c>
      <c r="L490" s="11" t="n">
        <v>1</v>
      </c>
      <c r="M490" s="10">
        <f>K490*L490</f>
        <v/>
      </c>
      <c r="N490" s="8" t="n">
        <v>49.16</v>
      </c>
      <c r="O490" s="10">
        <f>N490*L490</f>
        <v/>
      </c>
      <c r="P490" s="10">
        <f>M490-O490</f>
        <v/>
      </c>
      <c r="Q490" s="11" t="inlineStr">
        <is>
          <t>No</t>
        </is>
      </c>
      <c r="R490" s="11" t="n">
        <v>0</v>
      </c>
      <c r="S490" s="10">
        <f>M490-(R490*K490)</f>
        <v/>
      </c>
      <c r="T490" s="12">
        <f>VLOOKUP(E490,Dim_Product!$A$2:$Q$61,3,FALSE)</f>
        <v/>
      </c>
      <c r="U490" s="12">
        <f>VLOOKUP(E490,Dim_Product!$A$2:$Q$61,4,FALSE)</f>
        <v/>
      </c>
      <c r="V490" s="12">
        <f>VLOOKUP(D490,Dim_Customer!$A$2:$I$121,6,FALSE)</f>
        <v/>
      </c>
      <c r="W490" s="12">
        <f>VLOOKUP(G490,Dim_Channel!$A$2:$B$5,2,FALSE)</f>
        <v/>
      </c>
      <c r="X490" s="12">
        <f>VLOOKUP(H490,Dim_Promotion!$A$2:$G$11,2,FALSE)</f>
        <v/>
      </c>
    </row>
    <row r="491">
      <c r="A491" s="4" t="inlineStr">
        <is>
          <t>SL0490</t>
        </is>
      </c>
      <c r="B491" t="inlineStr">
        <is>
          <t>O010245</t>
        </is>
      </c>
      <c r="C491" t="n">
        <v>20250524</v>
      </c>
      <c r="D491" s="4" t="inlineStr">
        <is>
          <t>C049</t>
        </is>
      </c>
      <c r="E491" s="4" t="inlineStr">
        <is>
          <t>P011</t>
        </is>
      </c>
      <c r="F491" t="inlineStr">
        <is>
          <t>XL</t>
        </is>
      </c>
      <c r="G491" s="4" t="inlineStr">
        <is>
          <t>CH01</t>
        </is>
      </c>
      <c r="H491" s="4" t="inlineStr">
        <is>
          <t>PR00</t>
        </is>
      </c>
      <c r="I491" s="8" t="n">
        <v>46</v>
      </c>
      <c r="J491" s="9" t="n">
        <v>0.05</v>
      </c>
      <c r="K491" s="10">
        <f>I491*(1-J491)</f>
        <v/>
      </c>
      <c r="L491" s="11" t="n">
        <v>1</v>
      </c>
      <c r="M491" s="10">
        <f>K491*L491</f>
        <v/>
      </c>
      <c r="N491" s="8" t="n">
        <v>19.83</v>
      </c>
      <c r="O491" s="10">
        <f>N491*L491</f>
        <v/>
      </c>
      <c r="P491" s="10">
        <f>M491-O491</f>
        <v/>
      </c>
      <c r="Q491" s="11" t="inlineStr">
        <is>
          <t>No</t>
        </is>
      </c>
      <c r="R491" s="11" t="n">
        <v>0</v>
      </c>
      <c r="S491" s="10">
        <f>M491-(R491*K491)</f>
        <v/>
      </c>
      <c r="T491" s="12">
        <f>VLOOKUP(E491,Dim_Product!$A$2:$Q$61,3,FALSE)</f>
        <v/>
      </c>
      <c r="U491" s="12">
        <f>VLOOKUP(E491,Dim_Product!$A$2:$Q$61,4,FALSE)</f>
        <v/>
      </c>
      <c r="V491" s="12">
        <f>VLOOKUP(D491,Dim_Customer!$A$2:$I$121,6,FALSE)</f>
        <v/>
      </c>
      <c r="W491" s="12">
        <f>VLOOKUP(G491,Dim_Channel!$A$2:$B$5,2,FALSE)</f>
        <v/>
      </c>
      <c r="X491" s="12">
        <f>VLOOKUP(H491,Dim_Promotion!$A$2:$G$11,2,FALSE)</f>
        <v/>
      </c>
    </row>
    <row r="492">
      <c r="A492" s="4" t="inlineStr">
        <is>
          <t>SL0491</t>
        </is>
      </c>
      <c r="B492" t="inlineStr">
        <is>
          <t>O010246</t>
        </is>
      </c>
      <c r="C492" t="n">
        <v>20251002</v>
      </c>
      <c r="D492" s="4" t="inlineStr">
        <is>
          <t>C004</t>
        </is>
      </c>
      <c r="E492" s="4" t="inlineStr">
        <is>
          <t>P011</t>
        </is>
      </c>
      <c r="F492" t="inlineStr">
        <is>
          <t>M</t>
        </is>
      </c>
      <c r="G492" s="4" t="inlineStr">
        <is>
          <t>CH02</t>
        </is>
      </c>
      <c r="H492" s="4" t="inlineStr">
        <is>
          <t>PR00</t>
        </is>
      </c>
      <c r="I492" s="8" t="n">
        <v>48</v>
      </c>
      <c r="J492" s="9" t="n">
        <v>0</v>
      </c>
      <c r="K492" s="10">
        <f>I492*(1-J492)</f>
        <v/>
      </c>
      <c r="L492" s="11" t="n">
        <v>1</v>
      </c>
      <c r="M492" s="10">
        <f>K492*L492</f>
        <v/>
      </c>
      <c r="N492" s="8" t="n">
        <v>19.84</v>
      </c>
      <c r="O492" s="10">
        <f>N492*L492</f>
        <v/>
      </c>
      <c r="P492" s="10">
        <f>M492-O492</f>
        <v/>
      </c>
      <c r="Q492" s="11" t="inlineStr">
        <is>
          <t>No</t>
        </is>
      </c>
      <c r="R492" s="11" t="n">
        <v>0</v>
      </c>
      <c r="S492" s="10">
        <f>M492-(R492*K492)</f>
        <v/>
      </c>
      <c r="T492" s="12">
        <f>VLOOKUP(E492,Dim_Product!$A$2:$Q$61,3,FALSE)</f>
        <v/>
      </c>
      <c r="U492" s="12">
        <f>VLOOKUP(E492,Dim_Product!$A$2:$Q$61,4,FALSE)</f>
        <v/>
      </c>
      <c r="V492" s="12">
        <f>VLOOKUP(D492,Dim_Customer!$A$2:$I$121,6,FALSE)</f>
        <v/>
      </c>
      <c r="W492" s="12">
        <f>VLOOKUP(G492,Dim_Channel!$A$2:$B$5,2,FALSE)</f>
        <v/>
      </c>
      <c r="X492" s="12">
        <f>VLOOKUP(H492,Dim_Promotion!$A$2:$G$11,2,FALSE)</f>
        <v/>
      </c>
    </row>
    <row r="493">
      <c r="A493" s="4" t="inlineStr">
        <is>
          <t>SL0492</t>
        </is>
      </c>
      <c r="B493" t="inlineStr">
        <is>
          <t>O010246</t>
        </is>
      </c>
      <c r="C493" t="n">
        <v>20250404</v>
      </c>
      <c r="D493" s="4" t="inlineStr">
        <is>
          <t>C003</t>
        </is>
      </c>
      <c r="E493" s="4" t="inlineStr">
        <is>
          <t>P049</t>
        </is>
      </c>
      <c r="F493" t="inlineStr">
        <is>
          <t>L</t>
        </is>
      </c>
      <c r="G493" s="4" t="inlineStr">
        <is>
          <t>CH04</t>
        </is>
      </c>
      <c r="H493" s="4" t="inlineStr">
        <is>
          <t>PR00</t>
        </is>
      </c>
      <c r="I493" s="8" t="n">
        <v>71</v>
      </c>
      <c r="J493" s="9" t="n">
        <v>0</v>
      </c>
      <c r="K493" s="10">
        <f>I493*(1-J493)</f>
        <v/>
      </c>
      <c r="L493" s="11" t="n">
        <v>1</v>
      </c>
      <c r="M493" s="10">
        <f>K493*L493</f>
        <v/>
      </c>
      <c r="N493" s="8" t="n">
        <v>29.83</v>
      </c>
      <c r="O493" s="10">
        <f>N493*L493</f>
        <v/>
      </c>
      <c r="P493" s="10">
        <f>M493-O493</f>
        <v/>
      </c>
      <c r="Q493" s="11" t="inlineStr">
        <is>
          <t>No</t>
        </is>
      </c>
      <c r="R493" s="11" t="n">
        <v>0</v>
      </c>
      <c r="S493" s="10">
        <f>M493-(R493*K493)</f>
        <v/>
      </c>
      <c r="T493" s="12">
        <f>VLOOKUP(E493,Dim_Product!$A$2:$Q$61,3,FALSE)</f>
        <v/>
      </c>
      <c r="U493" s="12">
        <f>VLOOKUP(E493,Dim_Product!$A$2:$Q$61,4,FALSE)</f>
        <v/>
      </c>
      <c r="V493" s="12">
        <f>VLOOKUP(D493,Dim_Customer!$A$2:$I$121,6,FALSE)</f>
        <v/>
      </c>
      <c r="W493" s="12">
        <f>VLOOKUP(G493,Dim_Channel!$A$2:$B$5,2,FALSE)</f>
        <v/>
      </c>
      <c r="X493" s="12">
        <f>VLOOKUP(H493,Dim_Promotion!$A$2:$G$11,2,FALSE)</f>
        <v/>
      </c>
    </row>
    <row r="494">
      <c r="A494" s="4" t="inlineStr">
        <is>
          <t>SL0493</t>
        </is>
      </c>
      <c r="B494" t="inlineStr">
        <is>
          <t>O010247</t>
        </is>
      </c>
      <c r="C494" t="n">
        <v>20251226</v>
      </c>
      <c r="D494" s="4" t="inlineStr">
        <is>
          <t>C080</t>
        </is>
      </c>
      <c r="E494" s="4" t="inlineStr">
        <is>
          <t>P052</t>
        </is>
      </c>
      <c r="F494" t="inlineStr">
        <is>
          <t>S</t>
        </is>
      </c>
      <c r="G494" s="4" t="inlineStr">
        <is>
          <t>CH01</t>
        </is>
      </c>
      <c r="H494" s="4" t="inlineStr">
        <is>
          <t>PR00</t>
        </is>
      </c>
      <c r="I494" s="8" t="n">
        <v>64</v>
      </c>
      <c r="J494" s="9" t="n">
        <v>0</v>
      </c>
      <c r="K494" s="10">
        <f>I494*(1-J494)</f>
        <v/>
      </c>
      <c r="L494" s="11" t="n">
        <v>1</v>
      </c>
      <c r="M494" s="10">
        <f>K494*L494</f>
        <v/>
      </c>
      <c r="N494" s="8" t="n">
        <v>31.67</v>
      </c>
      <c r="O494" s="10">
        <f>N494*L494</f>
        <v/>
      </c>
      <c r="P494" s="10">
        <f>M494-O494</f>
        <v/>
      </c>
      <c r="Q494" s="11" t="inlineStr">
        <is>
          <t>No</t>
        </is>
      </c>
      <c r="R494" s="11" t="n">
        <v>0</v>
      </c>
      <c r="S494" s="10">
        <f>M494-(R494*K494)</f>
        <v/>
      </c>
      <c r="T494" s="12">
        <f>VLOOKUP(E494,Dim_Product!$A$2:$Q$61,3,FALSE)</f>
        <v/>
      </c>
      <c r="U494" s="12">
        <f>VLOOKUP(E494,Dim_Product!$A$2:$Q$61,4,FALSE)</f>
        <v/>
      </c>
      <c r="V494" s="12">
        <f>VLOOKUP(D494,Dim_Customer!$A$2:$I$121,6,FALSE)</f>
        <v/>
      </c>
      <c r="W494" s="12">
        <f>VLOOKUP(G494,Dim_Channel!$A$2:$B$5,2,FALSE)</f>
        <v/>
      </c>
      <c r="X494" s="12">
        <f>VLOOKUP(H494,Dim_Promotion!$A$2:$G$11,2,FALSE)</f>
        <v/>
      </c>
    </row>
    <row r="495">
      <c r="A495" s="4" t="inlineStr">
        <is>
          <t>SL0494</t>
        </is>
      </c>
      <c r="B495" t="inlineStr">
        <is>
          <t>O010247</t>
        </is>
      </c>
      <c r="C495" t="n">
        <v>20250621</v>
      </c>
      <c r="D495" s="4" t="inlineStr">
        <is>
          <t>C032</t>
        </is>
      </c>
      <c r="E495" s="4" t="inlineStr">
        <is>
          <t>P016</t>
        </is>
      </c>
      <c r="F495" t="inlineStr">
        <is>
          <t>M</t>
        </is>
      </c>
      <c r="G495" s="4" t="inlineStr">
        <is>
          <t>CH04</t>
        </is>
      </c>
      <c r="H495" s="4" t="inlineStr">
        <is>
          <t>PR00</t>
        </is>
      </c>
      <c r="I495" s="8" t="n">
        <v>60</v>
      </c>
      <c r="J495" s="9" t="n">
        <v>0</v>
      </c>
      <c r="K495" s="10">
        <f>I495*(1-J495)</f>
        <v/>
      </c>
      <c r="L495" s="11" t="n">
        <v>3</v>
      </c>
      <c r="M495" s="10">
        <f>K495*L495</f>
        <v/>
      </c>
      <c r="N495" s="8" t="n">
        <v>27.9</v>
      </c>
      <c r="O495" s="10">
        <f>N495*L495</f>
        <v/>
      </c>
      <c r="P495" s="10">
        <f>M495-O495</f>
        <v/>
      </c>
      <c r="Q495" s="11" t="inlineStr">
        <is>
          <t>No</t>
        </is>
      </c>
      <c r="R495" s="11" t="n">
        <v>0</v>
      </c>
      <c r="S495" s="10">
        <f>M495-(R495*K495)</f>
        <v/>
      </c>
      <c r="T495" s="12">
        <f>VLOOKUP(E495,Dim_Product!$A$2:$Q$61,3,FALSE)</f>
        <v/>
      </c>
      <c r="U495" s="12">
        <f>VLOOKUP(E495,Dim_Product!$A$2:$Q$61,4,FALSE)</f>
        <v/>
      </c>
      <c r="V495" s="12">
        <f>VLOOKUP(D495,Dim_Customer!$A$2:$I$121,6,FALSE)</f>
        <v/>
      </c>
      <c r="W495" s="12">
        <f>VLOOKUP(G495,Dim_Channel!$A$2:$B$5,2,FALSE)</f>
        <v/>
      </c>
      <c r="X495" s="12">
        <f>VLOOKUP(H495,Dim_Promotion!$A$2:$G$11,2,FALSE)</f>
        <v/>
      </c>
    </row>
    <row r="496">
      <c r="A496" s="4" t="inlineStr">
        <is>
          <t>SL0495</t>
        </is>
      </c>
      <c r="B496" t="inlineStr">
        <is>
          <t>O010248</t>
        </is>
      </c>
      <c r="C496" t="n">
        <v>20250216</v>
      </c>
      <c r="D496" s="4" t="inlineStr">
        <is>
          <t>C102</t>
        </is>
      </c>
      <c r="E496" s="4" t="inlineStr">
        <is>
          <t>P039</t>
        </is>
      </c>
      <c r="F496" t="inlineStr">
        <is>
          <t>M</t>
        </is>
      </c>
      <c r="G496" s="4" t="inlineStr">
        <is>
          <t>CH03</t>
        </is>
      </c>
      <c r="H496" s="4" t="inlineStr">
        <is>
          <t>PR02</t>
        </is>
      </c>
      <c r="I496" s="8" t="n">
        <v>76</v>
      </c>
      <c r="J496" s="9" t="n">
        <v>0.15</v>
      </c>
      <c r="K496" s="10">
        <f>I496*(1-J496)</f>
        <v/>
      </c>
      <c r="L496" s="11" t="n">
        <v>1</v>
      </c>
      <c r="M496" s="10">
        <f>K496*L496</f>
        <v/>
      </c>
      <c r="N496" s="8" t="n">
        <v>36.4</v>
      </c>
      <c r="O496" s="10">
        <f>N496*L496</f>
        <v/>
      </c>
      <c r="P496" s="10">
        <f>M496-O496</f>
        <v/>
      </c>
      <c r="Q496" s="11" t="inlineStr">
        <is>
          <t>No</t>
        </is>
      </c>
      <c r="R496" s="11" t="n">
        <v>0</v>
      </c>
      <c r="S496" s="10">
        <f>M496-(R496*K496)</f>
        <v/>
      </c>
      <c r="T496" s="12">
        <f>VLOOKUP(E496,Dim_Product!$A$2:$Q$61,3,FALSE)</f>
        <v/>
      </c>
      <c r="U496" s="12">
        <f>VLOOKUP(E496,Dim_Product!$A$2:$Q$61,4,FALSE)</f>
        <v/>
      </c>
      <c r="V496" s="12">
        <f>VLOOKUP(D496,Dim_Customer!$A$2:$I$121,6,FALSE)</f>
        <v/>
      </c>
      <c r="W496" s="12">
        <f>VLOOKUP(G496,Dim_Channel!$A$2:$B$5,2,FALSE)</f>
        <v/>
      </c>
      <c r="X496" s="12">
        <f>VLOOKUP(H496,Dim_Promotion!$A$2:$G$11,2,FALSE)</f>
        <v/>
      </c>
    </row>
    <row r="497">
      <c r="A497" s="4" t="inlineStr">
        <is>
          <t>SL0496</t>
        </is>
      </c>
      <c r="B497" t="inlineStr">
        <is>
          <t>O010248</t>
        </is>
      </c>
      <c r="C497" t="n">
        <v>20251017</v>
      </c>
      <c r="D497" s="4" t="inlineStr">
        <is>
          <t>C089</t>
        </is>
      </c>
      <c r="E497" s="4" t="inlineStr">
        <is>
          <t>P027</t>
        </is>
      </c>
      <c r="F497" t="inlineStr">
        <is>
          <t>L</t>
        </is>
      </c>
      <c r="G497" s="4" t="inlineStr">
        <is>
          <t>CH03</t>
        </is>
      </c>
      <c r="H497" s="4" t="inlineStr">
        <is>
          <t>PR00</t>
        </is>
      </c>
      <c r="I497" s="8" t="n">
        <v>93</v>
      </c>
      <c r="J497" s="9" t="n">
        <v>0</v>
      </c>
      <c r="K497" s="10">
        <f>I497*(1-J497)</f>
        <v/>
      </c>
      <c r="L497" s="11" t="n">
        <v>1</v>
      </c>
      <c r="M497" s="10">
        <f>K497*L497</f>
        <v/>
      </c>
      <c r="N497" s="8" t="n">
        <v>44.65</v>
      </c>
      <c r="O497" s="10">
        <f>N497*L497</f>
        <v/>
      </c>
      <c r="P497" s="10">
        <f>M497-O497</f>
        <v/>
      </c>
      <c r="Q497" s="11" t="inlineStr">
        <is>
          <t>No</t>
        </is>
      </c>
      <c r="R497" s="11" t="n">
        <v>0</v>
      </c>
      <c r="S497" s="10">
        <f>M497-(R497*K497)</f>
        <v/>
      </c>
      <c r="T497" s="12">
        <f>VLOOKUP(E497,Dim_Product!$A$2:$Q$61,3,FALSE)</f>
        <v/>
      </c>
      <c r="U497" s="12">
        <f>VLOOKUP(E497,Dim_Product!$A$2:$Q$61,4,FALSE)</f>
        <v/>
      </c>
      <c r="V497" s="12">
        <f>VLOOKUP(D497,Dim_Customer!$A$2:$I$121,6,FALSE)</f>
        <v/>
      </c>
      <c r="W497" s="12">
        <f>VLOOKUP(G497,Dim_Channel!$A$2:$B$5,2,FALSE)</f>
        <v/>
      </c>
      <c r="X497" s="12">
        <f>VLOOKUP(H497,Dim_Promotion!$A$2:$G$11,2,FALSE)</f>
        <v/>
      </c>
    </row>
    <row r="498">
      <c r="A498" s="4" t="inlineStr">
        <is>
          <t>SL0497</t>
        </is>
      </c>
      <c r="B498" t="inlineStr">
        <is>
          <t>O010249</t>
        </is>
      </c>
      <c r="C498" t="n">
        <v>20250610</v>
      </c>
      <c r="D498" s="4" t="inlineStr">
        <is>
          <t>C055</t>
        </is>
      </c>
      <c r="E498" s="4" t="inlineStr">
        <is>
          <t>P056</t>
        </is>
      </c>
      <c r="F498" t="inlineStr">
        <is>
          <t>M</t>
        </is>
      </c>
      <c r="G498" s="4" t="inlineStr">
        <is>
          <t>CH01</t>
        </is>
      </c>
      <c r="H498" s="4" t="inlineStr">
        <is>
          <t>PR00</t>
        </is>
      </c>
      <c r="I498" s="8" t="n">
        <v>68</v>
      </c>
      <c r="J498" s="9" t="n">
        <v>0</v>
      </c>
      <c r="K498" s="10">
        <f>I498*(1-J498)</f>
        <v/>
      </c>
      <c r="L498" s="11" t="n">
        <v>1</v>
      </c>
      <c r="M498" s="10">
        <f>K498*L498</f>
        <v/>
      </c>
      <c r="N498" s="8" t="n">
        <v>32.42</v>
      </c>
      <c r="O498" s="10">
        <f>N498*L498</f>
        <v/>
      </c>
      <c r="P498" s="10">
        <f>M498-O498</f>
        <v/>
      </c>
      <c r="Q498" s="11" t="inlineStr">
        <is>
          <t>No</t>
        </is>
      </c>
      <c r="R498" s="11" t="n">
        <v>0</v>
      </c>
      <c r="S498" s="10">
        <f>M498-(R498*K498)</f>
        <v/>
      </c>
      <c r="T498" s="12">
        <f>VLOOKUP(E498,Dim_Product!$A$2:$Q$61,3,FALSE)</f>
        <v/>
      </c>
      <c r="U498" s="12">
        <f>VLOOKUP(E498,Dim_Product!$A$2:$Q$61,4,FALSE)</f>
        <v/>
      </c>
      <c r="V498" s="12">
        <f>VLOOKUP(D498,Dim_Customer!$A$2:$I$121,6,FALSE)</f>
        <v/>
      </c>
      <c r="W498" s="12">
        <f>VLOOKUP(G498,Dim_Channel!$A$2:$B$5,2,FALSE)</f>
        <v/>
      </c>
      <c r="X498" s="12">
        <f>VLOOKUP(H498,Dim_Promotion!$A$2:$G$11,2,FALSE)</f>
        <v/>
      </c>
    </row>
    <row r="499">
      <c r="A499" s="4" t="inlineStr">
        <is>
          <t>SL0498</t>
        </is>
      </c>
      <c r="B499" t="inlineStr">
        <is>
          <t>O010249</t>
        </is>
      </c>
      <c r="C499" t="n">
        <v>20250515</v>
      </c>
      <c r="D499" s="4" t="inlineStr">
        <is>
          <t>C060</t>
        </is>
      </c>
      <c r="E499" s="4" t="inlineStr">
        <is>
          <t>P024</t>
        </is>
      </c>
      <c r="F499" t="inlineStr">
        <is>
          <t>L</t>
        </is>
      </c>
      <c r="G499" s="4" t="inlineStr">
        <is>
          <t>CH01</t>
        </is>
      </c>
      <c r="H499" s="4" t="inlineStr">
        <is>
          <t>PR00</t>
        </is>
      </c>
      <c r="I499" s="8" t="n">
        <v>60</v>
      </c>
      <c r="J499" s="9" t="n">
        <v>0</v>
      </c>
      <c r="K499" s="10">
        <f>I499*(1-J499)</f>
        <v/>
      </c>
      <c r="L499" s="11" t="n">
        <v>1</v>
      </c>
      <c r="M499" s="10">
        <f>K499*L499</f>
        <v/>
      </c>
      <c r="N499" s="8" t="n">
        <v>27.04</v>
      </c>
      <c r="O499" s="10">
        <f>N499*L499</f>
        <v/>
      </c>
      <c r="P499" s="10">
        <f>M499-O499</f>
        <v/>
      </c>
      <c r="Q499" s="11" t="inlineStr">
        <is>
          <t>No</t>
        </is>
      </c>
      <c r="R499" s="11" t="n">
        <v>0</v>
      </c>
      <c r="S499" s="10">
        <f>M499-(R499*K499)</f>
        <v/>
      </c>
      <c r="T499" s="12">
        <f>VLOOKUP(E499,Dim_Product!$A$2:$Q$61,3,FALSE)</f>
        <v/>
      </c>
      <c r="U499" s="12">
        <f>VLOOKUP(E499,Dim_Product!$A$2:$Q$61,4,FALSE)</f>
        <v/>
      </c>
      <c r="V499" s="12">
        <f>VLOOKUP(D499,Dim_Customer!$A$2:$I$121,6,FALSE)</f>
        <v/>
      </c>
      <c r="W499" s="12">
        <f>VLOOKUP(G499,Dim_Channel!$A$2:$B$5,2,FALSE)</f>
        <v/>
      </c>
      <c r="X499" s="12">
        <f>VLOOKUP(H499,Dim_Promotion!$A$2:$G$11,2,FALSE)</f>
        <v/>
      </c>
    </row>
    <row r="500">
      <c r="A500" s="4" t="inlineStr">
        <is>
          <t>SL0499</t>
        </is>
      </c>
      <c r="B500" t="inlineStr">
        <is>
          <t>O010250</t>
        </is>
      </c>
      <c r="C500" t="n">
        <v>20251117</v>
      </c>
      <c r="D500" s="4" t="inlineStr">
        <is>
          <t>C070</t>
        </is>
      </c>
      <c r="E500" s="4" t="inlineStr">
        <is>
          <t>P055</t>
        </is>
      </c>
      <c r="F500" t="inlineStr">
        <is>
          <t>XS</t>
        </is>
      </c>
      <c r="G500" s="4" t="inlineStr">
        <is>
          <t>CH01</t>
        </is>
      </c>
      <c r="H500" s="4" t="inlineStr">
        <is>
          <t>PR00</t>
        </is>
      </c>
      <c r="I500" s="8" t="n">
        <v>70</v>
      </c>
      <c r="J500" s="9" t="n">
        <v>0</v>
      </c>
      <c r="K500" s="10">
        <f>I500*(1-J500)</f>
        <v/>
      </c>
      <c r="L500" s="11" t="n">
        <v>1</v>
      </c>
      <c r="M500" s="10">
        <f>K500*L500</f>
        <v/>
      </c>
      <c r="N500" s="8" t="n">
        <v>34.84</v>
      </c>
      <c r="O500" s="10">
        <f>N500*L500</f>
        <v/>
      </c>
      <c r="P500" s="10">
        <f>M500-O500</f>
        <v/>
      </c>
      <c r="Q500" s="11" t="inlineStr">
        <is>
          <t>No</t>
        </is>
      </c>
      <c r="R500" s="11" t="n">
        <v>0</v>
      </c>
      <c r="S500" s="10">
        <f>M500-(R500*K500)</f>
        <v/>
      </c>
      <c r="T500" s="12">
        <f>VLOOKUP(E500,Dim_Product!$A$2:$Q$61,3,FALSE)</f>
        <v/>
      </c>
      <c r="U500" s="12">
        <f>VLOOKUP(E500,Dim_Product!$A$2:$Q$61,4,FALSE)</f>
        <v/>
      </c>
      <c r="V500" s="12">
        <f>VLOOKUP(D500,Dim_Customer!$A$2:$I$121,6,FALSE)</f>
        <v/>
      </c>
      <c r="W500" s="12">
        <f>VLOOKUP(G500,Dim_Channel!$A$2:$B$5,2,FALSE)</f>
        <v/>
      </c>
      <c r="X500" s="12">
        <f>VLOOKUP(H500,Dim_Promotion!$A$2:$G$11,2,FALSE)</f>
        <v/>
      </c>
    </row>
    <row r="501">
      <c r="A501" s="4" t="inlineStr">
        <is>
          <t>SL0500</t>
        </is>
      </c>
      <c r="B501" t="inlineStr">
        <is>
          <t>O010250</t>
        </is>
      </c>
      <c r="C501" t="n">
        <v>20251107</v>
      </c>
      <c r="D501" s="4" t="inlineStr">
        <is>
          <t>C091</t>
        </is>
      </c>
      <c r="E501" s="4" t="inlineStr">
        <is>
          <t>P035</t>
        </is>
      </c>
      <c r="F501" t="inlineStr">
        <is>
          <t>XL</t>
        </is>
      </c>
      <c r="G501" s="4" t="inlineStr">
        <is>
          <t>CH03</t>
        </is>
      </c>
      <c r="H501" s="4" t="inlineStr">
        <is>
          <t>PR00</t>
        </is>
      </c>
      <c r="I501" s="8" t="n">
        <v>88</v>
      </c>
      <c r="J501" s="9" t="n">
        <v>0</v>
      </c>
      <c r="K501" s="10">
        <f>I501*(1-J501)</f>
        <v/>
      </c>
      <c r="L501" s="11" t="n">
        <v>1</v>
      </c>
      <c r="M501" s="10">
        <f>K501*L501</f>
        <v/>
      </c>
      <c r="N501" s="8" t="n">
        <v>42.91</v>
      </c>
      <c r="O501" s="10">
        <f>N501*L501</f>
        <v/>
      </c>
      <c r="P501" s="10">
        <f>M501-O501</f>
        <v/>
      </c>
      <c r="Q501" s="11" t="inlineStr">
        <is>
          <t>No</t>
        </is>
      </c>
      <c r="R501" s="11" t="n">
        <v>0</v>
      </c>
      <c r="S501" s="10">
        <f>M501-(R501*K501)</f>
        <v/>
      </c>
      <c r="T501" s="12">
        <f>VLOOKUP(E501,Dim_Product!$A$2:$Q$61,3,FALSE)</f>
        <v/>
      </c>
      <c r="U501" s="12">
        <f>VLOOKUP(E501,Dim_Product!$A$2:$Q$61,4,FALSE)</f>
        <v/>
      </c>
      <c r="V501" s="12">
        <f>VLOOKUP(D501,Dim_Customer!$A$2:$I$121,6,FALSE)</f>
        <v/>
      </c>
      <c r="W501" s="12">
        <f>VLOOKUP(G501,Dim_Channel!$A$2:$B$5,2,FALSE)</f>
        <v/>
      </c>
      <c r="X501" s="12">
        <f>VLOOKUP(H501,Dim_Promotion!$A$2:$G$11,2,FALSE)</f>
        <v/>
      </c>
    </row>
    <row r="502">
      <c r="A502" s="4" t="inlineStr">
        <is>
          <t>SL0501</t>
        </is>
      </c>
      <c r="B502" t="inlineStr">
        <is>
          <t>O010251</t>
        </is>
      </c>
      <c r="C502" t="n">
        <v>20251113</v>
      </c>
      <c r="D502" s="4" t="inlineStr">
        <is>
          <t>C052</t>
        </is>
      </c>
      <c r="E502" s="4" t="inlineStr">
        <is>
          <t>P001</t>
        </is>
      </c>
      <c r="F502" t="inlineStr">
        <is>
          <t>XL</t>
        </is>
      </c>
      <c r="G502" s="4" t="inlineStr">
        <is>
          <t>CH04</t>
        </is>
      </c>
      <c r="H502" s="4" t="inlineStr">
        <is>
          <t>PR00</t>
        </is>
      </c>
      <c r="I502" s="8" t="n">
        <v>40</v>
      </c>
      <c r="J502" s="9" t="n">
        <v>0</v>
      </c>
      <c r="K502" s="10">
        <f>I502*(1-J502)</f>
        <v/>
      </c>
      <c r="L502" s="11" t="n">
        <v>1</v>
      </c>
      <c r="M502" s="10">
        <f>K502*L502</f>
        <v/>
      </c>
      <c r="N502" s="8" t="n">
        <v>17.19</v>
      </c>
      <c r="O502" s="10">
        <f>N502*L502</f>
        <v/>
      </c>
      <c r="P502" s="10">
        <f>M502-O502</f>
        <v/>
      </c>
      <c r="Q502" s="11" t="inlineStr">
        <is>
          <t>No</t>
        </is>
      </c>
      <c r="R502" s="11" t="n">
        <v>0</v>
      </c>
      <c r="S502" s="10">
        <f>M502-(R502*K502)</f>
        <v/>
      </c>
      <c r="T502" s="12">
        <f>VLOOKUP(E502,Dim_Product!$A$2:$Q$61,3,FALSE)</f>
        <v/>
      </c>
      <c r="U502" s="12">
        <f>VLOOKUP(E502,Dim_Product!$A$2:$Q$61,4,FALSE)</f>
        <v/>
      </c>
      <c r="V502" s="12">
        <f>VLOOKUP(D502,Dim_Customer!$A$2:$I$121,6,FALSE)</f>
        <v/>
      </c>
      <c r="W502" s="12">
        <f>VLOOKUP(G502,Dim_Channel!$A$2:$B$5,2,FALSE)</f>
        <v/>
      </c>
      <c r="X502" s="12">
        <f>VLOOKUP(H502,Dim_Promotion!$A$2:$G$11,2,FALSE)</f>
        <v/>
      </c>
    </row>
    <row r="503">
      <c r="A503" s="4" t="inlineStr">
        <is>
          <t>SL0502</t>
        </is>
      </c>
      <c r="B503" t="inlineStr">
        <is>
          <t>O010251</t>
        </is>
      </c>
      <c r="C503" t="n">
        <v>20251024</v>
      </c>
      <c r="D503" s="4" t="inlineStr">
        <is>
          <t>C105</t>
        </is>
      </c>
      <c r="E503" s="4" t="inlineStr">
        <is>
          <t>P026</t>
        </is>
      </c>
      <c r="F503" t="inlineStr">
        <is>
          <t>M</t>
        </is>
      </c>
      <c r="G503" s="4" t="inlineStr">
        <is>
          <t>CH01</t>
        </is>
      </c>
      <c r="H503" s="4" t="inlineStr">
        <is>
          <t>PR00</t>
        </is>
      </c>
      <c r="I503" s="8" t="n">
        <v>93</v>
      </c>
      <c r="J503" s="9" t="n">
        <v>0</v>
      </c>
      <c r="K503" s="10">
        <f>I503*(1-J503)</f>
        <v/>
      </c>
      <c r="L503" s="11" t="n">
        <v>1</v>
      </c>
      <c r="M503" s="10">
        <f>K503*L503</f>
        <v/>
      </c>
      <c r="N503" s="8" t="n">
        <v>46.4</v>
      </c>
      <c r="O503" s="10">
        <f>N503*L503</f>
        <v/>
      </c>
      <c r="P503" s="10">
        <f>M503-O503</f>
        <v/>
      </c>
      <c r="Q503" s="11" t="inlineStr">
        <is>
          <t>Yes</t>
        </is>
      </c>
      <c r="R503" s="11" t="n">
        <v>1</v>
      </c>
      <c r="S503" s="10">
        <f>M503-(R503*K503)</f>
        <v/>
      </c>
      <c r="T503" s="12">
        <f>VLOOKUP(E503,Dim_Product!$A$2:$Q$61,3,FALSE)</f>
        <v/>
      </c>
      <c r="U503" s="12">
        <f>VLOOKUP(E503,Dim_Product!$A$2:$Q$61,4,FALSE)</f>
        <v/>
      </c>
      <c r="V503" s="12">
        <f>VLOOKUP(D503,Dim_Customer!$A$2:$I$121,6,FALSE)</f>
        <v/>
      </c>
      <c r="W503" s="12">
        <f>VLOOKUP(G503,Dim_Channel!$A$2:$B$5,2,FALSE)</f>
        <v/>
      </c>
      <c r="X503" s="12">
        <f>VLOOKUP(H503,Dim_Promotion!$A$2:$G$11,2,FALSE)</f>
        <v/>
      </c>
    </row>
    <row r="504">
      <c r="A504" s="4" t="inlineStr">
        <is>
          <t>SL0503</t>
        </is>
      </c>
      <c r="B504" t="inlineStr">
        <is>
          <t>O010252</t>
        </is>
      </c>
      <c r="C504" t="n">
        <v>20250805</v>
      </c>
      <c r="D504" s="4" t="inlineStr">
        <is>
          <t>C040</t>
        </is>
      </c>
      <c r="E504" s="4" t="inlineStr">
        <is>
          <t>P057</t>
        </is>
      </c>
      <c r="F504" t="inlineStr">
        <is>
          <t>XL</t>
        </is>
      </c>
      <c r="G504" s="4" t="inlineStr">
        <is>
          <t>CH04</t>
        </is>
      </c>
      <c r="H504" s="4" t="inlineStr">
        <is>
          <t>PR00</t>
        </is>
      </c>
      <c r="I504" s="8" t="n">
        <v>75</v>
      </c>
      <c r="J504" s="9" t="n">
        <v>0</v>
      </c>
      <c r="K504" s="10">
        <f>I504*(1-J504)</f>
        <v/>
      </c>
      <c r="L504" s="11" t="n">
        <v>2</v>
      </c>
      <c r="M504" s="10">
        <f>K504*L504</f>
        <v/>
      </c>
      <c r="N504" s="8" t="n">
        <v>35.75</v>
      </c>
      <c r="O504" s="10">
        <f>N504*L504</f>
        <v/>
      </c>
      <c r="P504" s="10">
        <f>M504-O504</f>
        <v/>
      </c>
      <c r="Q504" s="11" t="inlineStr">
        <is>
          <t>No</t>
        </is>
      </c>
      <c r="R504" s="11" t="n">
        <v>0</v>
      </c>
      <c r="S504" s="10">
        <f>M504-(R504*K504)</f>
        <v/>
      </c>
      <c r="T504" s="12">
        <f>VLOOKUP(E504,Dim_Product!$A$2:$Q$61,3,FALSE)</f>
        <v/>
      </c>
      <c r="U504" s="12">
        <f>VLOOKUP(E504,Dim_Product!$A$2:$Q$61,4,FALSE)</f>
        <v/>
      </c>
      <c r="V504" s="12">
        <f>VLOOKUP(D504,Dim_Customer!$A$2:$I$121,6,FALSE)</f>
        <v/>
      </c>
      <c r="W504" s="12">
        <f>VLOOKUP(G504,Dim_Channel!$A$2:$B$5,2,FALSE)</f>
        <v/>
      </c>
      <c r="X504" s="12">
        <f>VLOOKUP(H504,Dim_Promotion!$A$2:$G$11,2,FALSE)</f>
        <v/>
      </c>
    </row>
    <row r="505">
      <c r="A505" s="4" t="inlineStr">
        <is>
          <t>SL0504</t>
        </is>
      </c>
      <c r="B505" t="inlineStr">
        <is>
          <t>O010252</t>
        </is>
      </c>
      <c r="C505" t="n">
        <v>20250819</v>
      </c>
      <c r="D505" s="4" t="inlineStr">
        <is>
          <t>C101</t>
        </is>
      </c>
      <c r="E505" s="4" t="inlineStr">
        <is>
          <t>P002</t>
        </is>
      </c>
      <c r="F505" t="inlineStr">
        <is>
          <t>XL</t>
        </is>
      </c>
      <c r="G505" s="4" t="inlineStr">
        <is>
          <t>CH04</t>
        </is>
      </c>
      <c r="H505" s="4" t="inlineStr">
        <is>
          <t>PR00</t>
        </is>
      </c>
      <c r="I505" s="8" t="n">
        <v>42</v>
      </c>
      <c r="J505" s="9" t="n">
        <v>0</v>
      </c>
      <c r="K505" s="10">
        <f>I505*(1-J505)</f>
        <v/>
      </c>
      <c r="L505" s="11" t="n">
        <v>1</v>
      </c>
      <c r="M505" s="10">
        <f>K505*L505</f>
        <v/>
      </c>
      <c r="N505" s="8" t="n">
        <v>17.06</v>
      </c>
      <c r="O505" s="10">
        <f>N505*L505</f>
        <v/>
      </c>
      <c r="P505" s="10">
        <f>M505-O505</f>
        <v/>
      </c>
      <c r="Q505" s="11" t="inlineStr">
        <is>
          <t>No</t>
        </is>
      </c>
      <c r="R505" s="11" t="n">
        <v>0</v>
      </c>
      <c r="S505" s="10">
        <f>M505-(R505*K505)</f>
        <v/>
      </c>
      <c r="T505" s="12">
        <f>VLOOKUP(E505,Dim_Product!$A$2:$Q$61,3,FALSE)</f>
        <v/>
      </c>
      <c r="U505" s="12">
        <f>VLOOKUP(E505,Dim_Product!$A$2:$Q$61,4,FALSE)</f>
        <v/>
      </c>
      <c r="V505" s="12">
        <f>VLOOKUP(D505,Dim_Customer!$A$2:$I$121,6,FALSE)</f>
        <v/>
      </c>
      <c r="W505" s="12">
        <f>VLOOKUP(G505,Dim_Channel!$A$2:$B$5,2,FALSE)</f>
        <v/>
      </c>
      <c r="X505" s="12">
        <f>VLOOKUP(H505,Dim_Promotion!$A$2:$G$11,2,FALSE)</f>
        <v/>
      </c>
    </row>
    <row r="506">
      <c r="A506" s="4" t="inlineStr">
        <is>
          <t>SL0505</t>
        </is>
      </c>
      <c r="B506" t="inlineStr">
        <is>
          <t>O010253</t>
        </is>
      </c>
      <c r="C506" t="n">
        <v>20251203</v>
      </c>
      <c r="D506" s="4" t="inlineStr">
        <is>
          <t>C069</t>
        </is>
      </c>
      <c r="E506" s="4" t="inlineStr">
        <is>
          <t>P022</t>
        </is>
      </c>
      <c r="F506" t="inlineStr">
        <is>
          <t>M</t>
        </is>
      </c>
      <c r="G506" s="4" t="inlineStr">
        <is>
          <t>CH04</t>
        </is>
      </c>
      <c r="H506" s="4" t="inlineStr">
        <is>
          <t>PR00</t>
        </is>
      </c>
      <c r="I506" s="8" t="n">
        <v>60</v>
      </c>
      <c r="J506" s="9" t="n">
        <v>0</v>
      </c>
      <c r="K506" s="10">
        <f>I506*(1-J506)</f>
        <v/>
      </c>
      <c r="L506" s="11" t="n">
        <v>1</v>
      </c>
      <c r="M506" s="10">
        <f>K506*L506</f>
        <v/>
      </c>
      <c r="N506" s="8" t="n">
        <v>26.34</v>
      </c>
      <c r="O506" s="10">
        <f>N506*L506</f>
        <v/>
      </c>
      <c r="P506" s="10">
        <f>M506-O506</f>
        <v/>
      </c>
      <c r="Q506" s="11" t="inlineStr">
        <is>
          <t>Yes</t>
        </is>
      </c>
      <c r="R506" s="11" t="n">
        <v>1</v>
      </c>
      <c r="S506" s="10">
        <f>M506-(R506*K506)</f>
        <v/>
      </c>
      <c r="T506" s="12">
        <f>VLOOKUP(E506,Dim_Product!$A$2:$Q$61,3,FALSE)</f>
        <v/>
      </c>
      <c r="U506" s="12">
        <f>VLOOKUP(E506,Dim_Product!$A$2:$Q$61,4,FALSE)</f>
        <v/>
      </c>
      <c r="V506" s="12">
        <f>VLOOKUP(D506,Dim_Customer!$A$2:$I$121,6,FALSE)</f>
        <v/>
      </c>
      <c r="W506" s="12">
        <f>VLOOKUP(G506,Dim_Channel!$A$2:$B$5,2,FALSE)</f>
        <v/>
      </c>
      <c r="X506" s="12">
        <f>VLOOKUP(H506,Dim_Promotion!$A$2:$G$11,2,FALSE)</f>
        <v/>
      </c>
    </row>
    <row r="507">
      <c r="A507" s="4" t="inlineStr">
        <is>
          <t>SL0506</t>
        </is>
      </c>
      <c r="B507" t="inlineStr">
        <is>
          <t>O010253</t>
        </is>
      </c>
      <c r="C507" t="n">
        <v>20250107</v>
      </c>
      <c r="D507" s="4" t="inlineStr">
        <is>
          <t>C009</t>
        </is>
      </c>
      <c r="E507" s="4" t="inlineStr">
        <is>
          <t>P054</t>
        </is>
      </c>
      <c r="F507" t="inlineStr">
        <is>
          <t>S</t>
        </is>
      </c>
      <c r="G507" s="4" t="inlineStr">
        <is>
          <t>CH02</t>
        </is>
      </c>
      <c r="H507" s="4" t="inlineStr">
        <is>
          <t>PR00</t>
        </is>
      </c>
      <c r="I507" s="8" t="n">
        <v>75</v>
      </c>
      <c r="J507" s="9" t="n">
        <v>0</v>
      </c>
      <c r="K507" s="10">
        <f>I507*(1-J507)</f>
        <v/>
      </c>
      <c r="L507" s="11" t="n">
        <v>1</v>
      </c>
      <c r="M507" s="10">
        <f>K507*L507</f>
        <v/>
      </c>
      <c r="N507" s="8" t="n">
        <v>31.34</v>
      </c>
      <c r="O507" s="10">
        <f>N507*L507</f>
        <v/>
      </c>
      <c r="P507" s="10">
        <f>M507-O507</f>
        <v/>
      </c>
      <c r="Q507" s="11" t="inlineStr">
        <is>
          <t>No</t>
        </is>
      </c>
      <c r="R507" s="11" t="n">
        <v>0</v>
      </c>
      <c r="S507" s="10">
        <f>M507-(R507*K507)</f>
        <v/>
      </c>
      <c r="T507" s="12">
        <f>VLOOKUP(E507,Dim_Product!$A$2:$Q$61,3,FALSE)</f>
        <v/>
      </c>
      <c r="U507" s="12">
        <f>VLOOKUP(E507,Dim_Product!$A$2:$Q$61,4,FALSE)</f>
        <v/>
      </c>
      <c r="V507" s="12">
        <f>VLOOKUP(D507,Dim_Customer!$A$2:$I$121,6,FALSE)</f>
        <v/>
      </c>
      <c r="W507" s="12">
        <f>VLOOKUP(G507,Dim_Channel!$A$2:$B$5,2,FALSE)</f>
        <v/>
      </c>
      <c r="X507" s="12">
        <f>VLOOKUP(H507,Dim_Promotion!$A$2:$G$11,2,FALSE)</f>
        <v/>
      </c>
    </row>
    <row r="508">
      <c r="A508" s="4" t="inlineStr">
        <is>
          <t>SL0507</t>
        </is>
      </c>
      <c r="B508" t="inlineStr">
        <is>
          <t>O010254</t>
        </is>
      </c>
      <c r="C508" t="n">
        <v>20251114</v>
      </c>
      <c r="D508" s="4" t="inlineStr">
        <is>
          <t>C051</t>
        </is>
      </c>
      <c r="E508" s="4" t="inlineStr">
        <is>
          <t>P009</t>
        </is>
      </c>
      <c r="F508" t="inlineStr">
        <is>
          <t>L</t>
        </is>
      </c>
      <c r="G508" s="4" t="inlineStr">
        <is>
          <t>CH01</t>
        </is>
      </c>
      <c r="H508" s="4" t="inlineStr">
        <is>
          <t>PR00</t>
        </is>
      </c>
      <c r="I508" s="8" t="n">
        <v>48</v>
      </c>
      <c r="J508" s="9" t="n">
        <v>0</v>
      </c>
      <c r="K508" s="10">
        <f>I508*(1-J508)</f>
        <v/>
      </c>
      <c r="L508" s="11" t="n">
        <v>1</v>
      </c>
      <c r="M508" s="10">
        <f>K508*L508</f>
        <v/>
      </c>
      <c r="N508" s="8" t="n">
        <v>18.85</v>
      </c>
      <c r="O508" s="10">
        <f>N508*L508</f>
        <v/>
      </c>
      <c r="P508" s="10">
        <f>M508-O508</f>
        <v/>
      </c>
      <c r="Q508" s="11" t="inlineStr">
        <is>
          <t>No</t>
        </is>
      </c>
      <c r="R508" s="11" t="n">
        <v>0</v>
      </c>
      <c r="S508" s="10">
        <f>M508-(R508*K508)</f>
        <v/>
      </c>
      <c r="T508" s="12">
        <f>VLOOKUP(E508,Dim_Product!$A$2:$Q$61,3,FALSE)</f>
        <v/>
      </c>
      <c r="U508" s="12">
        <f>VLOOKUP(E508,Dim_Product!$A$2:$Q$61,4,FALSE)</f>
        <v/>
      </c>
      <c r="V508" s="12">
        <f>VLOOKUP(D508,Dim_Customer!$A$2:$I$121,6,FALSE)</f>
        <v/>
      </c>
      <c r="W508" s="12">
        <f>VLOOKUP(G508,Dim_Channel!$A$2:$B$5,2,FALSE)</f>
        <v/>
      </c>
      <c r="X508" s="12">
        <f>VLOOKUP(H508,Dim_Promotion!$A$2:$G$11,2,FALSE)</f>
        <v/>
      </c>
    </row>
    <row r="509">
      <c r="A509" s="4" t="inlineStr">
        <is>
          <t>SL0508</t>
        </is>
      </c>
      <c r="B509" t="inlineStr">
        <is>
          <t>O010254</t>
        </is>
      </c>
      <c r="C509" t="n">
        <v>20251016</v>
      </c>
      <c r="D509" s="4" t="inlineStr">
        <is>
          <t>C021</t>
        </is>
      </c>
      <c r="E509" s="4" t="inlineStr">
        <is>
          <t>P034</t>
        </is>
      </c>
      <c r="F509" t="inlineStr">
        <is>
          <t>L</t>
        </is>
      </c>
      <c r="G509" s="4" t="inlineStr">
        <is>
          <t>CH01</t>
        </is>
      </c>
      <c r="H509" s="4" t="inlineStr">
        <is>
          <t>PR00</t>
        </is>
      </c>
      <c r="I509" s="8" t="n">
        <v>88</v>
      </c>
      <c r="J509" s="9" t="n">
        <v>0</v>
      </c>
      <c r="K509" s="10">
        <f>I509*(1-J509)</f>
        <v/>
      </c>
      <c r="L509" s="11" t="n">
        <v>2</v>
      </c>
      <c r="M509" s="10">
        <f>K509*L509</f>
        <v/>
      </c>
      <c r="N509" s="8" t="n">
        <v>44.72</v>
      </c>
      <c r="O509" s="10">
        <f>N509*L509</f>
        <v/>
      </c>
      <c r="P509" s="10">
        <f>M509-O509</f>
        <v/>
      </c>
      <c r="Q509" s="11" t="inlineStr">
        <is>
          <t>No</t>
        </is>
      </c>
      <c r="R509" s="11" t="n">
        <v>0</v>
      </c>
      <c r="S509" s="10">
        <f>M509-(R509*K509)</f>
        <v/>
      </c>
      <c r="T509" s="12">
        <f>VLOOKUP(E509,Dim_Product!$A$2:$Q$61,3,FALSE)</f>
        <v/>
      </c>
      <c r="U509" s="12">
        <f>VLOOKUP(E509,Dim_Product!$A$2:$Q$61,4,FALSE)</f>
        <v/>
      </c>
      <c r="V509" s="12">
        <f>VLOOKUP(D509,Dim_Customer!$A$2:$I$121,6,FALSE)</f>
        <v/>
      </c>
      <c r="W509" s="12">
        <f>VLOOKUP(G509,Dim_Channel!$A$2:$B$5,2,FALSE)</f>
        <v/>
      </c>
      <c r="X509" s="12">
        <f>VLOOKUP(H509,Dim_Promotion!$A$2:$G$11,2,FALSE)</f>
        <v/>
      </c>
    </row>
    <row r="510">
      <c r="A510" s="4" t="inlineStr">
        <is>
          <t>SL0509</t>
        </is>
      </c>
      <c r="B510" t="inlineStr">
        <is>
          <t>O010255</t>
        </is>
      </c>
      <c r="C510" t="n">
        <v>20250519</v>
      </c>
      <c r="D510" s="4" t="inlineStr">
        <is>
          <t>C113</t>
        </is>
      </c>
      <c r="E510" s="4" t="inlineStr">
        <is>
          <t>P028</t>
        </is>
      </c>
      <c r="F510" t="inlineStr">
        <is>
          <t>S</t>
        </is>
      </c>
      <c r="G510" s="4" t="inlineStr">
        <is>
          <t>CH01</t>
        </is>
      </c>
      <c r="H510" s="4" t="inlineStr">
        <is>
          <t>PR00</t>
        </is>
      </c>
      <c r="I510" s="8" t="n">
        <v>97</v>
      </c>
      <c r="J510" s="9" t="n">
        <v>0</v>
      </c>
      <c r="K510" s="10">
        <f>I510*(1-J510)</f>
        <v/>
      </c>
      <c r="L510" s="11" t="n">
        <v>1</v>
      </c>
      <c r="M510" s="10">
        <f>K510*L510</f>
        <v/>
      </c>
      <c r="N510" s="8" t="n">
        <v>49.09</v>
      </c>
      <c r="O510" s="10">
        <f>N510*L510</f>
        <v/>
      </c>
      <c r="P510" s="10">
        <f>M510-O510</f>
        <v/>
      </c>
      <c r="Q510" s="11" t="inlineStr">
        <is>
          <t>No</t>
        </is>
      </c>
      <c r="R510" s="11" t="n">
        <v>0</v>
      </c>
      <c r="S510" s="10">
        <f>M510-(R510*K510)</f>
        <v/>
      </c>
      <c r="T510" s="12">
        <f>VLOOKUP(E510,Dim_Product!$A$2:$Q$61,3,FALSE)</f>
        <v/>
      </c>
      <c r="U510" s="12">
        <f>VLOOKUP(E510,Dim_Product!$A$2:$Q$61,4,FALSE)</f>
        <v/>
      </c>
      <c r="V510" s="12">
        <f>VLOOKUP(D510,Dim_Customer!$A$2:$I$121,6,FALSE)</f>
        <v/>
      </c>
      <c r="W510" s="12">
        <f>VLOOKUP(G510,Dim_Channel!$A$2:$B$5,2,FALSE)</f>
        <v/>
      </c>
      <c r="X510" s="12">
        <f>VLOOKUP(H510,Dim_Promotion!$A$2:$G$11,2,FALSE)</f>
        <v/>
      </c>
    </row>
    <row r="511">
      <c r="A511" s="4" t="inlineStr">
        <is>
          <t>SL0510</t>
        </is>
      </c>
      <c r="B511" t="inlineStr">
        <is>
          <t>O010255</t>
        </is>
      </c>
      <c r="C511" t="n">
        <v>20250826</v>
      </c>
      <c r="D511" s="4" t="inlineStr">
        <is>
          <t>C109</t>
        </is>
      </c>
      <c r="E511" s="4" t="inlineStr">
        <is>
          <t>P010</t>
        </is>
      </c>
      <c r="F511" t="inlineStr">
        <is>
          <t>XL</t>
        </is>
      </c>
      <c r="G511" s="4" t="inlineStr">
        <is>
          <t>CH03</t>
        </is>
      </c>
      <c r="H511" s="4" t="inlineStr">
        <is>
          <t>PR00</t>
        </is>
      </c>
      <c r="I511" s="8" t="n">
        <v>48</v>
      </c>
      <c r="J511" s="9" t="n">
        <v>0</v>
      </c>
      <c r="K511" s="10">
        <f>I511*(1-J511)</f>
        <v/>
      </c>
      <c r="L511" s="11" t="n">
        <v>1</v>
      </c>
      <c r="M511" s="10">
        <f>K511*L511</f>
        <v/>
      </c>
      <c r="N511" s="8" t="n">
        <v>19.71</v>
      </c>
      <c r="O511" s="10">
        <f>N511*L511</f>
        <v/>
      </c>
      <c r="P511" s="10">
        <f>M511-O511</f>
        <v/>
      </c>
      <c r="Q511" s="11" t="inlineStr">
        <is>
          <t>No</t>
        </is>
      </c>
      <c r="R511" s="11" t="n">
        <v>0</v>
      </c>
      <c r="S511" s="10">
        <f>M511-(R511*K511)</f>
        <v/>
      </c>
      <c r="T511" s="12">
        <f>VLOOKUP(E511,Dim_Product!$A$2:$Q$61,3,FALSE)</f>
        <v/>
      </c>
      <c r="U511" s="12">
        <f>VLOOKUP(E511,Dim_Product!$A$2:$Q$61,4,FALSE)</f>
        <v/>
      </c>
      <c r="V511" s="12">
        <f>VLOOKUP(D511,Dim_Customer!$A$2:$I$121,6,FALSE)</f>
        <v/>
      </c>
      <c r="W511" s="12">
        <f>VLOOKUP(G511,Dim_Channel!$A$2:$B$5,2,FALSE)</f>
        <v/>
      </c>
      <c r="X511" s="12">
        <f>VLOOKUP(H511,Dim_Promotion!$A$2:$G$11,2,FALSE)</f>
        <v/>
      </c>
    </row>
    <row r="512">
      <c r="A512" s="4" t="inlineStr">
        <is>
          <t>SL0511</t>
        </is>
      </c>
      <c r="B512" t="inlineStr">
        <is>
          <t>O010256</t>
        </is>
      </c>
      <c r="C512" t="n">
        <v>20250129</v>
      </c>
      <c r="D512" s="4" t="inlineStr">
        <is>
          <t>C112</t>
        </is>
      </c>
      <c r="E512" s="4" t="inlineStr">
        <is>
          <t>P031</t>
        </is>
      </c>
      <c r="F512" t="inlineStr">
        <is>
          <t>XS</t>
        </is>
      </c>
      <c r="G512" s="4" t="inlineStr">
        <is>
          <t>CH03</t>
        </is>
      </c>
      <c r="H512" s="4" t="inlineStr">
        <is>
          <t>PR00</t>
        </is>
      </c>
      <c r="I512" s="8" t="n">
        <v>113</v>
      </c>
      <c r="J512" s="9" t="n">
        <v>0</v>
      </c>
      <c r="K512" s="10">
        <f>I512*(1-J512)</f>
        <v/>
      </c>
      <c r="L512" s="11" t="n">
        <v>1</v>
      </c>
      <c r="M512" s="10">
        <f>K512*L512</f>
        <v/>
      </c>
      <c r="N512" s="8" t="n">
        <v>56.41</v>
      </c>
      <c r="O512" s="10">
        <f>N512*L512</f>
        <v/>
      </c>
      <c r="P512" s="10">
        <f>M512-O512</f>
        <v/>
      </c>
      <c r="Q512" s="11" t="inlineStr">
        <is>
          <t>No</t>
        </is>
      </c>
      <c r="R512" s="11" t="n">
        <v>0</v>
      </c>
      <c r="S512" s="10">
        <f>M512-(R512*K512)</f>
        <v/>
      </c>
      <c r="T512" s="12">
        <f>VLOOKUP(E512,Dim_Product!$A$2:$Q$61,3,FALSE)</f>
        <v/>
      </c>
      <c r="U512" s="12">
        <f>VLOOKUP(E512,Dim_Product!$A$2:$Q$61,4,FALSE)</f>
        <v/>
      </c>
      <c r="V512" s="12">
        <f>VLOOKUP(D512,Dim_Customer!$A$2:$I$121,6,FALSE)</f>
        <v/>
      </c>
      <c r="W512" s="12">
        <f>VLOOKUP(G512,Dim_Channel!$A$2:$B$5,2,FALSE)</f>
        <v/>
      </c>
      <c r="X512" s="12">
        <f>VLOOKUP(H512,Dim_Promotion!$A$2:$G$11,2,FALSE)</f>
        <v/>
      </c>
    </row>
    <row r="513">
      <c r="A513" s="4" t="inlineStr">
        <is>
          <t>SL0512</t>
        </is>
      </c>
      <c r="B513" t="inlineStr">
        <is>
          <t>O010256</t>
        </is>
      </c>
      <c r="C513" t="n">
        <v>20250625</v>
      </c>
      <c r="D513" s="4" t="inlineStr">
        <is>
          <t>C014</t>
        </is>
      </c>
      <c r="E513" s="4" t="inlineStr">
        <is>
          <t>P023</t>
        </is>
      </c>
      <c r="F513" t="inlineStr">
        <is>
          <t>M</t>
        </is>
      </c>
      <c r="G513" s="4" t="inlineStr">
        <is>
          <t>CH01</t>
        </is>
      </c>
      <c r="H513" s="4" t="inlineStr">
        <is>
          <t>PR00</t>
        </is>
      </c>
      <c r="I513" s="8" t="n">
        <v>57</v>
      </c>
      <c r="J513" s="9" t="n">
        <v>0</v>
      </c>
      <c r="K513" s="10">
        <f>I513*(1-J513)</f>
        <v/>
      </c>
      <c r="L513" s="11" t="n">
        <v>1</v>
      </c>
      <c r="M513" s="10">
        <f>K513*L513</f>
        <v/>
      </c>
      <c r="N513" s="8" t="n">
        <v>26.64</v>
      </c>
      <c r="O513" s="10">
        <f>N513*L513</f>
        <v/>
      </c>
      <c r="P513" s="10">
        <f>M513-O513</f>
        <v/>
      </c>
      <c r="Q513" s="11" t="inlineStr">
        <is>
          <t>No</t>
        </is>
      </c>
      <c r="R513" s="11" t="n">
        <v>0</v>
      </c>
      <c r="S513" s="10">
        <f>M513-(R513*K513)</f>
        <v/>
      </c>
      <c r="T513" s="12">
        <f>VLOOKUP(E513,Dim_Product!$A$2:$Q$61,3,FALSE)</f>
        <v/>
      </c>
      <c r="U513" s="12">
        <f>VLOOKUP(E513,Dim_Product!$A$2:$Q$61,4,FALSE)</f>
        <v/>
      </c>
      <c r="V513" s="12">
        <f>VLOOKUP(D513,Dim_Customer!$A$2:$I$121,6,FALSE)</f>
        <v/>
      </c>
      <c r="W513" s="12">
        <f>VLOOKUP(G513,Dim_Channel!$A$2:$B$5,2,FALSE)</f>
        <v/>
      </c>
      <c r="X513" s="12">
        <f>VLOOKUP(H513,Dim_Promotion!$A$2:$G$11,2,FALSE)</f>
        <v/>
      </c>
    </row>
    <row r="514">
      <c r="A514" s="4" t="inlineStr">
        <is>
          <t>SL0513</t>
        </is>
      </c>
      <c r="B514" t="inlineStr">
        <is>
          <t>O010257</t>
        </is>
      </c>
      <c r="C514" t="n">
        <v>20250601</v>
      </c>
      <c r="D514" s="4" t="inlineStr">
        <is>
          <t>C033</t>
        </is>
      </c>
      <c r="E514" s="4" t="inlineStr">
        <is>
          <t>P006</t>
        </is>
      </c>
      <c r="F514" t="inlineStr">
        <is>
          <t>M</t>
        </is>
      </c>
      <c r="G514" s="4" t="inlineStr">
        <is>
          <t>CH03</t>
        </is>
      </c>
      <c r="H514" s="4" t="inlineStr">
        <is>
          <t>PR00</t>
        </is>
      </c>
      <c r="I514" s="8" t="n">
        <v>44</v>
      </c>
      <c r="J514" s="9" t="n">
        <v>0</v>
      </c>
      <c r="K514" s="10">
        <f>I514*(1-J514)</f>
        <v/>
      </c>
      <c r="L514" s="11" t="n">
        <v>1</v>
      </c>
      <c r="M514" s="10">
        <f>K514*L514</f>
        <v/>
      </c>
      <c r="N514" s="8" t="n">
        <v>21.41</v>
      </c>
      <c r="O514" s="10">
        <f>N514*L514</f>
        <v/>
      </c>
      <c r="P514" s="10">
        <f>M514-O514</f>
        <v/>
      </c>
      <c r="Q514" s="11" t="inlineStr">
        <is>
          <t>No</t>
        </is>
      </c>
      <c r="R514" s="11" t="n">
        <v>0</v>
      </c>
      <c r="S514" s="10">
        <f>M514-(R514*K514)</f>
        <v/>
      </c>
      <c r="T514" s="12">
        <f>VLOOKUP(E514,Dim_Product!$A$2:$Q$61,3,FALSE)</f>
        <v/>
      </c>
      <c r="U514" s="12">
        <f>VLOOKUP(E514,Dim_Product!$A$2:$Q$61,4,FALSE)</f>
        <v/>
      </c>
      <c r="V514" s="12">
        <f>VLOOKUP(D514,Dim_Customer!$A$2:$I$121,6,FALSE)</f>
        <v/>
      </c>
      <c r="W514" s="12">
        <f>VLOOKUP(G514,Dim_Channel!$A$2:$B$5,2,FALSE)</f>
        <v/>
      </c>
      <c r="X514" s="12">
        <f>VLOOKUP(H514,Dim_Promotion!$A$2:$G$11,2,FALSE)</f>
        <v/>
      </c>
    </row>
    <row r="515">
      <c r="A515" s="4" t="inlineStr">
        <is>
          <t>SL0514</t>
        </is>
      </c>
      <c r="B515" t="inlineStr">
        <is>
          <t>O010257</t>
        </is>
      </c>
      <c r="C515" t="n">
        <v>20250616</v>
      </c>
      <c r="D515" s="4" t="inlineStr">
        <is>
          <t>C106</t>
        </is>
      </c>
      <c r="E515" s="4" t="inlineStr">
        <is>
          <t>P016</t>
        </is>
      </c>
      <c r="F515" t="inlineStr">
        <is>
          <t>XL</t>
        </is>
      </c>
      <c r="G515" s="4" t="inlineStr">
        <is>
          <t>CH04</t>
        </is>
      </c>
      <c r="H515" s="4" t="inlineStr">
        <is>
          <t>PR00</t>
        </is>
      </c>
      <c r="I515" s="8" t="n">
        <v>59</v>
      </c>
      <c r="J515" s="9" t="n">
        <v>0</v>
      </c>
      <c r="K515" s="10">
        <f>I515*(1-J515)</f>
        <v/>
      </c>
      <c r="L515" s="11" t="n">
        <v>1</v>
      </c>
      <c r="M515" s="10">
        <f>K515*L515</f>
        <v/>
      </c>
      <c r="N515" s="8" t="n">
        <v>27.55</v>
      </c>
      <c r="O515" s="10">
        <f>N515*L515</f>
        <v/>
      </c>
      <c r="P515" s="10">
        <f>M515-O515</f>
        <v/>
      </c>
      <c r="Q515" s="11" t="inlineStr">
        <is>
          <t>Yes</t>
        </is>
      </c>
      <c r="R515" s="11" t="n">
        <v>1</v>
      </c>
      <c r="S515" s="10">
        <f>M515-(R515*K515)</f>
        <v/>
      </c>
      <c r="T515" s="12">
        <f>VLOOKUP(E515,Dim_Product!$A$2:$Q$61,3,FALSE)</f>
        <v/>
      </c>
      <c r="U515" s="12">
        <f>VLOOKUP(E515,Dim_Product!$A$2:$Q$61,4,FALSE)</f>
        <v/>
      </c>
      <c r="V515" s="12">
        <f>VLOOKUP(D515,Dim_Customer!$A$2:$I$121,6,FALSE)</f>
        <v/>
      </c>
      <c r="W515" s="12">
        <f>VLOOKUP(G515,Dim_Channel!$A$2:$B$5,2,FALSE)</f>
        <v/>
      </c>
      <c r="X515" s="12">
        <f>VLOOKUP(H515,Dim_Promotion!$A$2:$G$11,2,FALSE)</f>
        <v/>
      </c>
    </row>
    <row r="516">
      <c r="A516" s="4" t="inlineStr">
        <is>
          <t>SL0515</t>
        </is>
      </c>
      <c r="B516" t="inlineStr">
        <is>
          <t>O010258</t>
        </is>
      </c>
      <c r="C516" t="n">
        <v>20250312</v>
      </c>
      <c r="D516" s="4" t="inlineStr">
        <is>
          <t>C023</t>
        </is>
      </c>
      <c r="E516" s="4" t="inlineStr">
        <is>
          <t>P012</t>
        </is>
      </c>
      <c r="F516" t="inlineStr">
        <is>
          <t>L</t>
        </is>
      </c>
      <c r="G516" s="4" t="inlineStr">
        <is>
          <t>CH02</t>
        </is>
      </c>
      <c r="H516" s="4" t="inlineStr">
        <is>
          <t>PR03</t>
        </is>
      </c>
      <c r="I516" s="8" t="n">
        <v>46</v>
      </c>
      <c r="J516" s="9" t="n">
        <v>0.08</v>
      </c>
      <c r="K516" s="10">
        <f>I516*(1-J516)</f>
        <v/>
      </c>
      <c r="L516" s="11" t="n">
        <v>1</v>
      </c>
      <c r="M516" s="10">
        <f>K516*L516</f>
        <v/>
      </c>
      <c r="N516" s="8" t="n">
        <v>22.51</v>
      </c>
      <c r="O516" s="10">
        <f>N516*L516</f>
        <v/>
      </c>
      <c r="P516" s="10">
        <f>M516-O516</f>
        <v/>
      </c>
      <c r="Q516" s="11" t="inlineStr">
        <is>
          <t>No</t>
        </is>
      </c>
      <c r="R516" s="11" t="n">
        <v>0</v>
      </c>
      <c r="S516" s="10">
        <f>M516-(R516*K516)</f>
        <v/>
      </c>
      <c r="T516" s="12">
        <f>VLOOKUP(E516,Dim_Product!$A$2:$Q$61,3,FALSE)</f>
        <v/>
      </c>
      <c r="U516" s="12">
        <f>VLOOKUP(E516,Dim_Product!$A$2:$Q$61,4,FALSE)</f>
        <v/>
      </c>
      <c r="V516" s="12">
        <f>VLOOKUP(D516,Dim_Customer!$A$2:$I$121,6,FALSE)</f>
        <v/>
      </c>
      <c r="W516" s="12">
        <f>VLOOKUP(G516,Dim_Channel!$A$2:$B$5,2,FALSE)</f>
        <v/>
      </c>
      <c r="X516" s="12">
        <f>VLOOKUP(H516,Dim_Promotion!$A$2:$G$11,2,FALSE)</f>
        <v/>
      </c>
    </row>
    <row r="517">
      <c r="A517" s="4" t="inlineStr">
        <is>
          <t>SL0516</t>
        </is>
      </c>
      <c r="B517" t="inlineStr">
        <is>
          <t>O010258</t>
        </is>
      </c>
      <c r="C517" t="n">
        <v>20250610</v>
      </c>
      <c r="D517" s="4" t="inlineStr">
        <is>
          <t>C057</t>
        </is>
      </c>
      <c r="E517" s="4" t="inlineStr">
        <is>
          <t>P003</t>
        </is>
      </c>
      <c r="F517" t="inlineStr">
        <is>
          <t>L</t>
        </is>
      </c>
      <c r="G517" s="4" t="inlineStr">
        <is>
          <t>CH04</t>
        </is>
      </c>
      <c r="H517" s="4" t="inlineStr">
        <is>
          <t>PR04</t>
        </is>
      </c>
      <c r="I517" s="8" t="n">
        <v>42</v>
      </c>
      <c r="J517" s="9" t="n">
        <v>0.12</v>
      </c>
      <c r="K517" s="10">
        <f>I517*(1-J517)</f>
        <v/>
      </c>
      <c r="L517" s="11" t="n">
        <v>2</v>
      </c>
      <c r="M517" s="10">
        <f>K517*L517</f>
        <v/>
      </c>
      <c r="N517" s="8" t="n">
        <v>19.84</v>
      </c>
      <c r="O517" s="10">
        <f>N517*L517</f>
        <v/>
      </c>
      <c r="P517" s="10">
        <f>M517-O517</f>
        <v/>
      </c>
      <c r="Q517" s="11" t="inlineStr">
        <is>
          <t>Yes</t>
        </is>
      </c>
      <c r="R517" s="11" t="n">
        <v>1</v>
      </c>
      <c r="S517" s="10">
        <f>M517-(R517*K517)</f>
        <v/>
      </c>
      <c r="T517" s="12">
        <f>VLOOKUP(E517,Dim_Product!$A$2:$Q$61,3,FALSE)</f>
        <v/>
      </c>
      <c r="U517" s="12">
        <f>VLOOKUP(E517,Dim_Product!$A$2:$Q$61,4,FALSE)</f>
        <v/>
      </c>
      <c r="V517" s="12">
        <f>VLOOKUP(D517,Dim_Customer!$A$2:$I$121,6,FALSE)</f>
        <v/>
      </c>
      <c r="W517" s="12">
        <f>VLOOKUP(G517,Dim_Channel!$A$2:$B$5,2,FALSE)</f>
        <v/>
      </c>
      <c r="X517" s="12">
        <f>VLOOKUP(H517,Dim_Promotion!$A$2:$G$11,2,FALSE)</f>
        <v/>
      </c>
    </row>
    <row r="518">
      <c r="A518" s="4" t="inlineStr">
        <is>
          <t>SL0517</t>
        </is>
      </c>
      <c r="B518" t="inlineStr">
        <is>
          <t>O010259</t>
        </is>
      </c>
      <c r="C518" t="n">
        <v>20251211</v>
      </c>
      <c r="D518" s="4" t="inlineStr">
        <is>
          <t>C106</t>
        </is>
      </c>
      <c r="E518" s="4" t="inlineStr">
        <is>
          <t>P010</t>
        </is>
      </c>
      <c r="F518" t="inlineStr">
        <is>
          <t>M</t>
        </is>
      </c>
      <c r="G518" s="4" t="inlineStr">
        <is>
          <t>CH04</t>
        </is>
      </c>
      <c r="H518" s="4" t="inlineStr">
        <is>
          <t>PR00</t>
        </is>
      </c>
      <c r="I518" s="8" t="n">
        <v>48</v>
      </c>
      <c r="J518" s="9" t="n">
        <v>0</v>
      </c>
      <c r="K518" s="10">
        <f>I518*(1-J518)</f>
        <v/>
      </c>
      <c r="L518" s="11" t="n">
        <v>2</v>
      </c>
      <c r="M518" s="10">
        <f>K518*L518</f>
        <v/>
      </c>
      <c r="N518" s="8" t="n">
        <v>19.65</v>
      </c>
      <c r="O518" s="10">
        <f>N518*L518</f>
        <v/>
      </c>
      <c r="P518" s="10">
        <f>M518-O518</f>
        <v/>
      </c>
      <c r="Q518" s="11" t="inlineStr">
        <is>
          <t>No</t>
        </is>
      </c>
      <c r="R518" s="11" t="n">
        <v>0</v>
      </c>
      <c r="S518" s="10">
        <f>M518-(R518*K518)</f>
        <v/>
      </c>
      <c r="T518" s="12">
        <f>VLOOKUP(E518,Dim_Product!$A$2:$Q$61,3,FALSE)</f>
        <v/>
      </c>
      <c r="U518" s="12">
        <f>VLOOKUP(E518,Dim_Product!$A$2:$Q$61,4,FALSE)</f>
        <v/>
      </c>
      <c r="V518" s="12">
        <f>VLOOKUP(D518,Dim_Customer!$A$2:$I$121,6,FALSE)</f>
        <v/>
      </c>
      <c r="W518" s="12">
        <f>VLOOKUP(G518,Dim_Channel!$A$2:$B$5,2,FALSE)</f>
        <v/>
      </c>
      <c r="X518" s="12">
        <f>VLOOKUP(H518,Dim_Promotion!$A$2:$G$11,2,FALSE)</f>
        <v/>
      </c>
    </row>
    <row r="519">
      <c r="A519" s="4" t="inlineStr">
        <is>
          <t>SL0518</t>
        </is>
      </c>
      <c r="B519" t="inlineStr">
        <is>
          <t>O010259</t>
        </is>
      </c>
      <c r="C519" t="n">
        <v>20251111</v>
      </c>
      <c r="D519" s="4" t="inlineStr">
        <is>
          <t>C072</t>
        </is>
      </c>
      <c r="E519" s="4" t="inlineStr">
        <is>
          <t>P056</t>
        </is>
      </c>
      <c r="F519" t="inlineStr">
        <is>
          <t>S</t>
        </is>
      </c>
      <c r="G519" s="4" t="inlineStr">
        <is>
          <t>CH01</t>
        </is>
      </c>
      <c r="H519" s="4" t="inlineStr">
        <is>
          <t>PR00</t>
        </is>
      </c>
      <c r="I519" s="8" t="n">
        <v>66</v>
      </c>
      <c r="J519" s="9" t="n">
        <v>0</v>
      </c>
      <c r="K519" s="10">
        <f>I519*(1-J519)</f>
        <v/>
      </c>
      <c r="L519" s="11" t="n">
        <v>1</v>
      </c>
      <c r="M519" s="10">
        <f>K519*L519</f>
        <v/>
      </c>
      <c r="N519" s="8" t="n">
        <v>32.97</v>
      </c>
      <c r="O519" s="10">
        <f>N519*L519</f>
        <v/>
      </c>
      <c r="P519" s="10">
        <f>M519-O519</f>
        <v/>
      </c>
      <c r="Q519" s="11" t="inlineStr">
        <is>
          <t>No</t>
        </is>
      </c>
      <c r="R519" s="11" t="n">
        <v>0</v>
      </c>
      <c r="S519" s="10">
        <f>M519-(R519*K519)</f>
        <v/>
      </c>
      <c r="T519" s="12">
        <f>VLOOKUP(E519,Dim_Product!$A$2:$Q$61,3,FALSE)</f>
        <v/>
      </c>
      <c r="U519" s="12">
        <f>VLOOKUP(E519,Dim_Product!$A$2:$Q$61,4,FALSE)</f>
        <v/>
      </c>
      <c r="V519" s="12">
        <f>VLOOKUP(D519,Dim_Customer!$A$2:$I$121,6,FALSE)</f>
        <v/>
      </c>
      <c r="W519" s="12">
        <f>VLOOKUP(G519,Dim_Channel!$A$2:$B$5,2,FALSE)</f>
        <v/>
      </c>
      <c r="X519" s="12">
        <f>VLOOKUP(H519,Dim_Promotion!$A$2:$G$11,2,FALSE)</f>
        <v/>
      </c>
    </row>
    <row r="520">
      <c r="A520" s="4" t="inlineStr">
        <is>
          <t>SL0519</t>
        </is>
      </c>
      <c r="B520" t="inlineStr">
        <is>
          <t>O010260</t>
        </is>
      </c>
      <c r="C520" t="n">
        <v>20250703</v>
      </c>
      <c r="D520" s="4" t="inlineStr">
        <is>
          <t>C085</t>
        </is>
      </c>
      <c r="E520" s="4" t="inlineStr">
        <is>
          <t>P048</t>
        </is>
      </c>
      <c r="F520" t="inlineStr">
        <is>
          <t>S</t>
        </is>
      </c>
      <c r="G520" s="4" t="inlineStr">
        <is>
          <t>CH01</t>
        </is>
      </c>
      <c r="H520" s="4" t="inlineStr">
        <is>
          <t>PR00</t>
        </is>
      </c>
      <c r="I520" s="8" t="n">
        <v>70</v>
      </c>
      <c r="J520" s="9" t="n">
        <v>0</v>
      </c>
      <c r="K520" s="10">
        <f>I520*(1-J520)</f>
        <v/>
      </c>
      <c r="L520" s="11" t="n">
        <v>1</v>
      </c>
      <c r="M520" s="10">
        <f>K520*L520</f>
        <v/>
      </c>
      <c r="N520" s="8" t="n">
        <v>34.3</v>
      </c>
      <c r="O520" s="10">
        <f>N520*L520</f>
        <v/>
      </c>
      <c r="P520" s="10">
        <f>M520-O520</f>
        <v/>
      </c>
      <c r="Q520" s="11" t="inlineStr">
        <is>
          <t>No</t>
        </is>
      </c>
      <c r="R520" s="11" t="n">
        <v>0</v>
      </c>
      <c r="S520" s="10">
        <f>M520-(R520*K520)</f>
        <v/>
      </c>
      <c r="T520" s="12">
        <f>VLOOKUP(E520,Dim_Product!$A$2:$Q$61,3,FALSE)</f>
        <v/>
      </c>
      <c r="U520" s="12">
        <f>VLOOKUP(E520,Dim_Product!$A$2:$Q$61,4,FALSE)</f>
        <v/>
      </c>
      <c r="V520" s="12">
        <f>VLOOKUP(D520,Dim_Customer!$A$2:$I$121,6,FALSE)</f>
        <v/>
      </c>
      <c r="W520" s="12">
        <f>VLOOKUP(G520,Dim_Channel!$A$2:$B$5,2,FALSE)</f>
        <v/>
      </c>
      <c r="X520" s="12">
        <f>VLOOKUP(H520,Dim_Promotion!$A$2:$G$11,2,FALSE)</f>
        <v/>
      </c>
    </row>
    <row r="521">
      <c r="A521" s="4" t="inlineStr">
        <is>
          <t>SL0520</t>
        </is>
      </c>
      <c r="B521" t="inlineStr">
        <is>
          <t>O010260</t>
        </is>
      </c>
      <c r="C521" t="n">
        <v>20251130</v>
      </c>
      <c r="D521" s="4" t="inlineStr">
        <is>
          <t>C109</t>
        </is>
      </c>
      <c r="E521" s="4" t="inlineStr">
        <is>
          <t>P033</t>
        </is>
      </c>
      <c r="F521" t="inlineStr">
        <is>
          <t>S</t>
        </is>
      </c>
      <c r="G521" s="4" t="inlineStr">
        <is>
          <t>CH03</t>
        </is>
      </c>
      <c r="H521" s="4" t="inlineStr">
        <is>
          <t>PR08</t>
        </is>
      </c>
      <c r="I521" s="8" t="n">
        <v>87</v>
      </c>
      <c r="J521" s="9" t="n">
        <v>0.25</v>
      </c>
      <c r="K521" s="10">
        <f>I521*(1-J521)</f>
        <v/>
      </c>
      <c r="L521" s="11" t="n">
        <v>1</v>
      </c>
      <c r="M521" s="10">
        <f>K521*L521</f>
        <v/>
      </c>
      <c r="N521" s="8" t="n">
        <v>43.61</v>
      </c>
      <c r="O521" s="10">
        <f>N521*L521</f>
        <v/>
      </c>
      <c r="P521" s="10">
        <f>M521-O521</f>
        <v/>
      </c>
      <c r="Q521" s="11" t="inlineStr">
        <is>
          <t>No</t>
        </is>
      </c>
      <c r="R521" s="11" t="n">
        <v>0</v>
      </c>
      <c r="S521" s="10">
        <f>M521-(R521*K521)</f>
        <v/>
      </c>
      <c r="T521" s="12">
        <f>VLOOKUP(E521,Dim_Product!$A$2:$Q$61,3,FALSE)</f>
        <v/>
      </c>
      <c r="U521" s="12">
        <f>VLOOKUP(E521,Dim_Product!$A$2:$Q$61,4,FALSE)</f>
        <v/>
      </c>
      <c r="V521" s="12">
        <f>VLOOKUP(D521,Dim_Customer!$A$2:$I$121,6,FALSE)</f>
        <v/>
      </c>
      <c r="W521" s="12">
        <f>VLOOKUP(G521,Dim_Channel!$A$2:$B$5,2,FALSE)</f>
        <v/>
      </c>
      <c r="X521" s="12">
        <f>VLOOKUP(H521,Dim_Promotion!$A$2:$G$11,2,FALSE)</f>
        <v/>
      </c>
    </row>
    <row r="522">
      <c r="A522" s="4" t="inlineStr">
        <is>
          <t>SL0521</t>
        </is>
      </c>
      <c r="B522" t="inlineStr">
        <is>
          <t>O010261</t>
        </is>
      </c>
      <c r="C522" t="n">
        <v>20250521</v>
      </c>
      <c r="D522" s="4" t="inlineStr">
        <is>
          <t>C098</t>
        </is>
      </c>
      <c r="E522" s="4" t="inlineStr">
        <is>
          <t>P052</t>
        </is>
      </c>
      <c r="F522" t="inlineStr">
        <is>
          <t>XL</t>
        </is>
      </c>
      <c r="G522" s="4" t="inlineStr">
        <is>
          <t>CH01</t>
        </is>
      </c>
      <c r="H522" s="4" t="inlineStr">
        <is>
          <t>PR00</t>
        </is>
      </c>
      <c r="I522" s="8" t="n">
        <v>66</v>
      </c>
      <c r="J522" s="9" t="n">
        <v>0</v>
      </c>
      <c r="K522" s="10">
        <f>I522*(1-J522)</f>
        <v/>
      </c>
      <c r="L522" s="11" t="n">
        <v>1</v>
      </c>
      <c r="M522" s="10">
        <f>K522*L522</f>
        <v/>
      </c>
      <c r="N522" s="8" t="n">
        <v>31.33</v>
      </c>
      <c r="O522" s="10">
        <f>N522*L522</f>
        <v/>
      </c>
      <c r="P522" s="10">
        <f>M522-O522</f>
        <v/>
      </c>
      <c r="Q522" s="11" t="inlineStr">
        <is>
          <t>No</t>
        </is>
      </c>
      <c r="R522" s="11" t="n">
        <v>0</v>
      </c>
      <c r="S522" s="10">
        <f>M522-(R522*K522)</f>
        <v/>
      </c>
      <c r="T522" s="12">
        <f>VLOOKUP(E522,Dim_Product!$A$2:$Q$61,3,FALSE)</f>
        <v/>
      </c>
      <c r="U522" s="12">
        <f>VLOOKUP(E522,Dim_Product!$A$2:$Q$61,4,FALSE)</f>
        <v/>
      </c>
      <c r="V522" s="12">
        <f>VLOOKUP(D522,Dim_Customer!$A$2:$I$121,6,FALSE)</f>
        <v/>
      </c>
      <c r="W522" s="12">
        <f>VLOOKUP(G522,Dim_Channel!$A$2:$B$5,2,FALSE)</f>
        <v/>
      </c>
      <c r="X522" s="12">
        <f>VLOOKUP(H522,Dim_Promotion!$A$2:$G$11,2,FALSE)</f>
        <v/>
      </c>
    </row>
    <row r="523">
      <c r="A523" s="4" t="inlineStr">
        <is>
          <t>SL0522</t>
        </is>
      </c>
      <c r="B523" t="inlineStr">
        <is>
          <t>O010261</t>
        </is>
      </c>
      <c r="C523" t="n">
        <v>20250723</v>
      </c>
      <c r="D523" s="4" t="inlineStr">
        <is>
          <t>C002</t>
        </is>
      </c>
      <c r="E523" s="4" t="inlineStr">
        <is>
          <t>P013</t>
        </is>
      </c>
      <c r="F523" t="inlineStr">
        <is>
          <t>XL</t>
        </is>
      </c>
      <c r="G523" s="4" t="inlineStr">
        <is>
          <t>CH02</t>
        </is>
      </c>
      <c r="H523" s="4" t="inlineStr">
        <is>
          <t>PR00</t>
        </is>
      </c>
      <c r="I523" s="8" t="n">
        <v>60</v>
      </c>
      <c r="J523" s="9" t="n">
        <v>0</v>
      </c>
      <c r="K523" s="10">
        <f>I523*(1-J523)</f>
        <v/>
      </c>
      <c r="L523" s="11" t="n">
        <v>1</v>
      </c>
      <c r="M523" s="10">
        <f>K523*L523</f>
        <v/>
      </c>
      <c r="N523" s="8" t="n">
        <v>25.57</v>
      </c>
      <c r="O523" s="10">
        <f>N523*L523</f>
        <v/>
      </c>
      <c r="P523" s="10">
        <f>M523-O523</f>
        <v/>
      </c>
      <c r="Q523" s="11" t="inlineStr">
        <is>
          <t>No</t>
        </is>
      </c>
      <c r="R523" s="11" t="n">
        <v>0</v>
      </c>
      <c r="S523" s="10">
        <f>M523-(R523*K523)</f>
        <v/>
      </c>
      <c r="T523" s="12">
        <f>VLOOKUP(E523,Dim_Product!$A$2:$Q$61,3,FALSE)</f>
        <v/>
      </c>
      <c r="U523" s="12">
        <f>VLOOKUP(E523,Dim_Product!$A$2:$Q$61,4,FALSE)</f>
        <v/>
      </c>
      <c r="V523" s="12">
        <f>VLOOKUP(D523,Dim_Customer!$A$2:$I$121,6,FALSE)</f>
        <v/>
      </c>
      <c r="W523" s="12">
        <f>VLOOKUP(G523,Dim_Channel!$A$2:$B$5,2,FALSE)</f>
        <v/>
      </c>
      <c r="X523" s="12">
        <f>VLOOKUP(H523,Dim_Promotion!$A$2:$G$11,2,FALSE)</f>
        <v/>
      </c>
    </row>
    <row r="524">
      <c r="A524" s="4" t="inlineStr">
        <is>
          <t>SL0523</t>
        </is>
      </c>
      <c r="B524" t="inlineStr">
        <is>
          <t>O010262</t>
        </is>
      </c>
      <c r="C524" t="n">
        <v>20250505</v>
      </c>
      <c r="D524" s="4" t="inlineStr">
        <is>
          <t>C049</t>
        </is>
      </c>
      <c r="E524" s="4" t="inlineStr">
        <is>
          <t>P011</t>
        </is>
      </c>
      <c r="F524" t="inlineStr">
        <is>
          <t>XL</t>
        </is>
      </c>
      <c r="G524" s="4" t="inlineStr">
        <is>
          <t>CH02</t>
        </is>
      </c>
      <c r="H524" s="4" t="inlineStr">
        <is>
          <t>PR00</t>
        </is>
      </c>
      <c r="I524" s="8" t="n">
        <v>46</v>
      </c>
      <c r="J524" s="9" t="n">
        <v>0</v>
      </c>
      <c r="K524" s="10">
        <f>I524*(1-J524)</f>
        <v/>
      </c>
      <c r="L524" s="11" t="n">
        <v>1</v>
      </c>
      <c r="M524" s="10">
        <f>K524*L524</f>
        <v/>
      </c>
      <c r="N524" s="8" t="n">
        <v>19.98</v>
      </c>
      <c r="O524" s="10">
        <f>N524*L524</f>
        <v/>
      </c>
      <c r="P524" s="10">
        <f>M524-O524</f>
        <v/>
      </c>
      <c r="Q524" s="11" t="inlineStr">
        <is>
          <t>No</t>
        </is>
      </c>
      <c r="R524" s="11" t="n">
        <v>0</v>
      </c>
      <c r="S524" s="10">
        <f>M524-(R524*K524)</f>
        <v/>
      </c>
      <c r="T524" s="12">
        <f>VLOOKUP(E524,Dim_Product!$A$2:$Q$61,3,FALSE)</f>
        <v/>
      </c>
      <c r="U524" s="12">
        <f>VLOOKUP(E524,Dim_Product!$A$2:$Q$61,4,FALSE)</f>
        <v/>
      </c>
      <c r="V524" s="12">
        <f>VLOOKUP(D524,Dim_Customer!$A$2:$I$121,6,FALSE)</f>
        <v/>
      </c>
      <c r="W524" s="12">
        <f>VLOOKUP(G524,Dim_Channel!$A$2:$B$5,2,FALSE)</f>
        <v/>
      </c>
      <c r="X524" s="12">
        <f>VLOOKUP(H524,Dim_Promotion!$A$2:$G$11,2,FALSE)</f>
        <v/>
      </c>
    </row>
    <row r="525">
      <c r="A525" s="4" t="inlineStr">
        <is>
          <t>SL0524</t>
        </is>
      </c>
      <c r="B525" t="inlineStr">
        <is>
          <t>O010262</t>
        </is>
      </c>
      <c r="C525" t="n">
        <v>20250126</v>
      </c>
      <c r="D525" s="4" t="inlineStr">
        <is>
          <t>C054</t>
        </is>
      </c>
      <c r="E525" s="4" t="inlineStr">
        <is>
          <t>P038</t>
        </is>
      </c>
      <c r="F525" t="inlineStr">
        <is>
          <t>XS</t>
        </is>
      </c>
      <c r="G525" s="4" t="inlineStr">
        <is>
          <t>CH04</t>
        </is>
      </c>
      <c r="H525" s="4" t="inlineStr">
        <is>
          <t>PR00</t>
        </is>
      </c>
      <c r="I525" s="8" t="n">
        <v>76</v>
      </c>
      <c r="J525" s="9" t="n">
        <v>0</v>
      </c>
      <c r="K525" s="10">
        <f>I525*(1-J525)</f>
        <v/>
      </c>
      <c r="L525" s="11" t="n">
        <v>1</v>
      </c>
      <c r="M525" s="10">
        <f>K525*L525</f>
        <v/>
      </c>
      <c r="N525" s="8" t="n">
        <v>34.16</v>
      </c>
      <c r="O525" s="10">
        <f>N525*L525</f>
        <v/>
      </c>
      <c r="P525" s="10">
        <f>M525-O525</f>
        <v/>
      </c>
      <c r="Q525" s="11" t="inlineStr">
        <is>
          <t>No</t>
        </is>
      </c>
      <c r="R525" s="11" t="n">
        <v>0</v>
      </c>
      <c r="S525" s="10">
        <f>M525-(R525*K525)</f>
        <v/>
      </c>
      <c r="T525" s="12">
        <f>VLOOKUP(E525,Dim_Product!$A$2:$Q$61,3,FALSE)</f>
        <v/>
      </c>
      <c r="U525" s="12">
        <f>VLOOKUP(E525,Dim_Product!$A$2:$Q$61,4,FALSE)</f>
        <v/>
      </c>
      <c r="V525" s="12">
        <f>VLOOKUP(D525,Dim_Customer!$A$2:$I$121,6,FALSE)</f>
        <v/>
      </c>
      <c r="W525" s="12">
        <f>VLOOKUP(G525,Dim_Channel!$A$2:$B$5,2,FALSE)</f>
        <v/>
      </c>
      <c r="X525" s="12">
        <f>VLOOKUP(H525,Dim_Promotion!$A$2:$G$11,2,FALSE)</f>
        <v/>
      </c>
    </row>
    <row r="526">
      <c r="A526" s="4" t="inlineStr">
        <is>
          <t>SL0525</t>
        </is>
      </c>
      <c r="B526" t="inlineStr">
        <is>
          <t>O010263</t>
        </is>
      </c>
      <c r="C526" t="n">
        <v>20251123</v>
      </c>
      <c r="D526" s="4" t="inlineStr">
        <is>
          <t>C093</t>
        </is>
      </c>
      <c r="E526" s="4" t="inlineStr">
        <is>
          <t>P030</t>
        </is>
      </c>
      <c r="F526" t="inlineStr">
        <is>
          <t>M</t>
        </is>
      </c>
      <c r="G526" s="4" t="inlineStr">
        <is>
          <t>CH01</t>
        </is>
      </c>
      <c r="H526" s="4" t="inlineStr">
        <is>
          <t>PR00</t>
        </is>
      </c>
      <c r="I526" s="8" t="n">
        <v>106</v>
      </c>
      <c r="J526" s="9" t="n">
        <v>0</v>
      </c>
      <c r="K526" s="10">
        <f>I526*(1-J526)</f>
        <v/>
      </c>
      <c r="L526" s="11" t="n">
        <v>1</v>
      </c>
      <c r="M526" s="10">
        <f>K526*L526</f>
        <v/>
      </c>
      <c r="N526" s="8" t="n">
        <v>55.36</v>
      </c>
      <c r="O526" s="10">
        <f>N526*L526</f>
        <v/>
      </c>
      <c r="P526" s="10">
        <f>M526-O526</f>
        <v/>
      </c>
      <c r="Q526" s="11" t="inlineStr">
        <is>
          <t>No</t>
        </is>
      </c>
      <c r="R526" s="11" t="n">
        <v>0</v>
      </c>
      <c r="S526" s="10">
        <f>M526-(R526*K526)</f>
        <v/>
      </c>
      <c r="T526" s="12">
        <f>VLOOKUP(E526,Dim_Product!$A$2:$Q$61,3,FALSE)</f>
        <v/>
      </c>
      <c r="U526" s="12">
        <f>VLOOKUP(E526,Dim_Product!$A$2:$Q$61,4,FALSE)</f>
        <v/>
      </c>
      <c r="V526" s="12">
        <f>VLOOKUP(D526,Dim_Customer!$A$2:$I$121,6,FALSE)</f>
        <v/>
      </c>
      <c r="W526" s="12">
        <f>VLOOKUP(G526,Dim_Channel!$A$2:$B$5,2,FALSE)</f>
        <v/>
      </c>
      <c r="X526" s="12">
        <f>VLOOKUP(H526,Dim_Promotion!$A$2:$G$11,2,FALSE)</f>
        <v/>
      </c>
    </row>
    <row r="527">
      <c r="A527" s="4" t="inlineStr">
        <is>
          <t>SL0526</t>
        </is>
      </c>
      <c r="B527" t="inlineStr">
        <is>
          <t>O010263</t>
        </is>
      </c>
      <c r="C527" t="n">
        <v>20250219</v>
      </c>
      <c r="D527" s="4" t="inlineStr">
        <is>
          <t>C071</t>
        </is>
      </c>
      <c r="E527" s="4" t="inlineStr">
        <is>
          <t>P049</t>
        </is>
      </c>
      <c r="F527" t="inlineStr">
        <is>
          <t>M</t>
        </is>
      </c>
      <c r="G527" s="4" t="inlineStr">
        <is>
          <t>CH01</t>
        </is>
      </c>
      <c r="H527" s="4" t="inlineStr">
        <is>
          <t>PR00</t>
        </is>
      </c>
      <c r="I527" s="8" t="n">
        <v>70</v>
      </c>
      <c r="J527" s="9" t="n">
        <v>0</v>
      </c>
      <c r="K527" s="10">
        <f>I527*(1-J527)</f>
        <v/>
      </c>
      <c r="L527" s="11" t="n">
        <v>1</v>
      </c>
      <c r="M527" s="10">
        <f>K527*L527</f>
        <v/>
      </c>
      <c r="N527" s="8" t="n">
        <v>28.73</v>
      </c>
      <c r="O527" s="10">
        <f>N527*L527</f>
        <v/>
      </c>
      <c r="P527" s="10">
        <f>M527-O527</f>
        <v/>
      </c>
      <c r="Q527" s="11" t="inlineStr">
        <is>
          <t>No</t>
        </is>
      </c>
      <c r="R527" s="11" t="n">
        <v>0</v>
      </c>
      <c r="S527" s="10">
        <f>M527-(R527*K527)</f>
        <v/>
      </c>
      <c r="T527" s="12">
        <f>VLOOKUP(E527,Dim_Product!$A$2:$Q$61,3,FALSE)</f>
        <v/>
      </c>
      <c r="U527" s="12">
        <f>VLOOKUP(E527,Dim_Product!$A$2:$Q$61,4,FALSE)</f>
        <v/>
      </c>
      <c r="V527" s="12">
        <f>VLOOKUP(D527,Dim_Customer!$A$2:$I$121,6,FALSE)</f>
        <v/>
      </c>
      <c r="W527" s="12">
        <f>VLOOKUP(G527,Dim_Channel!$A$2:$B$5,2,FALSE)</f>
        <v/>
      </c>
      <c r="X527" s="12">
        <f>VLOOKUP(H527,Dim_Promotion!$A$2:$G$11,2,FALSE)</f>
        <v/>
      </c>
    </row>
    <row r="528">
      <c r="A528" s="4" t="inlineStr">
        <is>
          <t>SL0527</t>
        </is>
      </c>
      <c r="B528" t="inlineStr">
        <is>
          <t>O010264</t>
        </is>
      </c>
      <c r="C528" t="n">
        <v>20250515</v>
      </c>
      <c r="D528" s="4" t="inlineStr">
        <is>
          <t>C082</t>
        </is>
      </c>
      <c r="E528" s="4" t="inlineStr">
        <is>
          <t>P020</t>
        </is>
      </c>
      <c r="F528" t="inlineStr">
        <is>
          <t>M</t>
        </is>
      </c>
      <c r="G528" s="4" t="inlineStr">
        <is>
          <t>CH03</t>
        </is>
      </c>
      <c r="H528" s="4" t="inlineStr">
        <is>
          <t>PR00</t>
        </is>
      </c>
      <c r="I528" s="8" t="n">
        <v>65</v>
      </c>
      <c r="J528" s="9" t="n">
        <v>0</v>
      </c>
      <c r="K528" s="10">
        <f>I528*(1-J528)</f>
        <v/>
      </c>
      <c r="L528" s="11" t="n">
        <v>2</v>
      </c>
      <c r="M528" s="10">
        <f>K528*L528</f>
        <v/>
      </c>
      <c r="N528" s="8" t="n">
        <v>30.88</v>
      </c>
      <c r="O528" s="10">
        <f>N528*L528</f>
        <v/>
      </c>
      <c r="P528" s="10">
        <f>M528-O528</f>
        <v/>
      </c>
      <c r="Q528" s="11" t="inlineStr">
        <is>
          <t>No</t>
        </is>
      </c>
      <c r="R528" s="11" t="n">
        <v>0</v>
      </c>
      <c r="S528" s="10">
        <f>M528-(R528*K528)</f>
        <v/>
      </c>
      <c r="T528" s="12">
        <f>VLOOKUP(E528,Dim_Product!$A$2:$Q$61,3,FALSE)</f>
        <v/>
      </c>
      <c r="U528" s="12">
        <f>VLOOKUP(E528,Dim_Product!$A$2:$Q$61,4,FALSE)</f>
        <v/>
      </c>
      <c r="V528" s="12">
        <f>VLOOKUP(D528,Dim_Customer!$A$2:$I$121,6,FALSE)</f>
        <v/>
      </c>
      <c r="W528" s="12">
        <f>VLOOKUP(G528,Dim_Channel!$A$2:$B$5,2,FALSE)</f>
        <v/>
      </c>
      <c r="X528" s="12">
        <f>VLOOKUP(H528,Dim_Promotion!$A$2:$G$11,2,FALSE)</f>
        <v/>
      </c>
    </row>
    <row r="529">
      <c r="A529" s="4" t="inlineStr">
        <is>
          <t>SL0528</t>
        </is>
      </c>
      <c r="B529" t="inlineStr">
        <is>
          <t>O010264</t>
        </is>
      </c>
      <c r="C529" t="n">
        <v>20250113</v>
      </c>
      <c r="D529" s="4" t="inlineStr">
        <is>
          <t>C055</t>
        </is>
      </c>
      <c r="E529" s="4" t="inlineStr">
        <is>
          <t>P051</t>
        </is>
      </c>
      <c r="F529" t="inlineStr">
        <is>
          <t>XL</t>
        </is>
      </c>
      <c r="G529" s="4" t="inlineStr">
        <is>
          <t>CH02</t>
        </is>
      </c>
      <c r="H529" s="4" t="inlineStr">
        <is>
          <t>PR00</t>
        </is>
      </c>
      <c r="I529" s="8" t="n">
        <v>70</v>
      </c>
      <c r="J529" s="9" t="n">
        <v>0</v>
      </c>
      <c r="K529" s="10">
        <f>I529*(1-J529)</f>
        <v/>
      </c>
      <c r="L529" s="11" t="n">
        <v>1</v>
      </c>
      <c r="M529" s="10">
        <f>K529*L529</f>
        <v/>
      </c>
      <c r="N529" s="8" t="n">
        <v>29.23</v>
      </c>
      <c r="O529" s="10">
        <f>N529*L529</f>
        <v/>
      </c>
      <c r="P529" s="10">
        <f>M529-O529</f>
        <v/>
      </c>
      <c r="Q529" s="11" t="inlineStr">
        <is>
          <t>No</t>
        </is>
      </c>
      <c r="R529" s="11" t="n">
        <v>0</v>
      </c>
      <c r="S529" s="10">
        <f>M529-(R529*K529)</f>
        <v/>
      </c>
      <c r="T529" s="12">
        <f>VLOOKUP(E529,Dim_Product!$A$2:$Q$61,3,FALSE)</f>
        <v/>
      </c>
      <c r="U529" s="12">
        <f>VLOOKUP(E529,Dim_Product!$A$2:$Q$61,4,FALSE)</f>
        <v/>
      </c>
      <c r="V529" s="12">
        <f>VLOOKUP(D529,Dim_Customer!$A$2:$I$121,6,FALSE)</f>
        <v/>
      </c>
      <c r="W529" s="12">
        <f>VLOOKUP(G529,Dim_Channel!$A$2:$B$5,2,FALSE)</f>
        <v/>
      </c>
      <c r="X529" s="12">
        <f>VLOOKUP(H529,Dim_Promotion!$A$2:$G$11,2,FALSE)</f>
        <v/>
      </c>
    </row>
    <row r="530">
      <c r="A530" s="4" t="inlineStr">
        <is>
          <t>SL0529</t>
        </is>
      </c>
      <c r="B530" t="inlineStr">
        <is>
          <t>O010265</t>
        </is>
      </c>
      <c r="C530" t="n">
        <v>20250620</v>
      </c>
      <c r="D530" s="4" t="inlineStr">
        <is>
          <t>C062</t>
        </is>
      </c>
      <c r="E530" s="4" t="inlineStr">
        <is>
          <t>P004</t>
        </is>
      </c>
      <c r="F530" t="inlineStr">
        <is>
          <t>M</t>
        </is>
      </c>
      <c r="G530" s="4" t="inlineStr">
        <is>
          <t>CH01</t>
        </is>
      </c>
      <c r="H530" s="4" t="inlineStr">
        <is>
          <t>PR00</t>
        </is>
      </c>
      <c r="I530" s="8" t="n">
        <v>43</v>
      </c>
      <c r="J530" s="9" t="n">
        <v>0.08</v>
      </c>
      <c r="K530" s="10">
        <f>I530*(1-J530)</f>
        <v/>
      </c>
      <c r="L530" s="11" t="n">
        <v>1</v>
      </c>
      <c r="M530" s="10">
        <f>K530*L530</f>
        <v/>
      </c>
      <c r="N530" s="8" t="n">
        <v>19.09</v>
      </c>
      <c r="O530" s="10">
        <f>N530*L530</f>
        <v/>
      </c>
      <c r="P530" s="10">
        <f>M530-O530</f>
        <v/>
      </c>
      <c r="Q530" s="11" t="inlineStr">
        <is>
          <t>No</t>
        </is>
      </c>
      <c r="R530" s="11" t="n">
        <v>0</v>
      </c>
      <c r="S530" s="10">
        <f>M530-(R530*K530)</f>
        <v/>
      </c>
      <c r="T530" s="12">
        <f>VLOOKUP(E530,Dim_Product!$A$2:$Q$61,3,FALSE)</f>
        <v/>
      </c>
      <c r="U530" s="12">
        <f>VLOOKUP(E530,Dim_Product!$A$2:$Q$61,4,FALSE)</f>
        <v/>
      </c>
      <c r="V530" s="12">
        <f>VLOOKUP(D530,Dim_Customer!$A$2:$I$121,6,FALSE)</f>
        <v/>
      </c>
      <c r="W530" s="12">
        <f>VLOOKUP(G530,Dim_Channel!$A$2:$B$5,2,FALSE)</f>
        <v/>
      </c>
      <c r="X530" s="12">
        <f>VLOOKUP(H530,Dim_Promotion!$A$2:$G$11,2,FALSE)</f>
        <v/>
      </c>
    </row>
    <row r="531">
      <c r="A531" s="4" t="inlineStr">
        <is>
          <t>SL0530</t>
        </is>
      </c>
      <c r="B531" t="inlineStr">
        <is>
          <t>O010265</t>
        </is>
      </c>
      <c r="C531" t="n">
        <v>20251013</v>
      </c>
      <c r="D531" s="4" t="inlineStr">
        <is>
          <t>C063</t>
        </is>
      </c>
      <c r="E531" s="4" t="inlineStr">
        <is>
          <t>P060</t>
        </is>
      </c>
      <c r="F531" t="inlineStr">
        <is>
          <t>XL</t>
        </is>
      </c>
      <c r="G531" s="4" t="inlineStr">
        <is>
          <t>CH01</t>
        </is>
      </c>
      <c r="H531" s="4" t="inlineStr">
        <is>
          <t>PR00</t>
        </is>
      </c>
      <c r="I531" s="8" t="n">
        <v>72</v>
      </c>
      <c r="J531" s="9" t="n">
        <v>0</v>
      </c>
      <c r="K531" s="10">
        <f>I531*(1-J531)</f>
        <v/>
      </c>
      <c r="L531" s="11" t="n">
        <v>1</v>
      </c>
      <c r="M531" s="10">
        <f>K531*L531</f>
        <v/>
      </c>
      <c r="N531" s="8" t="n">
        <v>36.34</v>
      </c>
      <c r="O531" s="10">
        <f>N531*L531</f>
        <v/>
      </c>
      <c r="P531" s="10">
        <f>M531-O531</f>
        <v/>
      </c>
      <c r="Q531" s="11" t="inlineStr">
        <is>
          <t>No</t>
        </is>
      </c>
      <c r="R531" s="11" t="n">
        <v>0</v>
      </c>
      <c r="S531" s="10">
        <f>M531-(R531*K531)</f>
        <v/>
      </c>
      <c r="T531" s="12">
        <f>VLOOKUP(E531,Dim_Product!$A$2:$Q$61,3,FALSE)</f>
        <v/>
      </c>
      <c r="U531" s="12">
        <f>VLOOKUP(E531,Dim_Product!$A$2:$Q$61,4,FALSE)</f>
        <v/>
      </c>
      <c r="V531" s="12">
        <f>VLOOKUP(D531,Dim_Customer!$A$2:$I$121,6,FALSE)</f>
        <v/>
      </c>
      <c r="W531" s="12">
        <f>VLOOKUP(G531,Dim_Channel!$A$2:$B$5,2,FALSE)</f>
        <v/>
      </c>
      <c r="X531" s="12">
        <f>VLOOKUP(H531,Dim_Promotion!$A$2:$G$11,2,FALSE)</f>
        <v/>
      </c>
    </row>
    <row r="532">
      <c r="A532" s="4" t="inlineStr">
        <is>
          <t>SL0531</t>
        </is>
      </c>
      <c r="B532" t="inlineStr">
        <is>
          <t>O010266</t>
        </is>
      </c>
      <c r="C532" t="n">
        <v>20251021</v>
      </c>
      <c r="D532" s="4" t="inlineStr">
        <is>
          <t>C050</t>
        </is>
      </c>
      <c r="E532" s="4" t="inlineStr">
        <is>
          <t>P055</t>
        </is>
      </c>
      <c r="F532" t="inlineStr">
        <is>
          <t>S</t>
        </is>
      </c>
      <c r="G532" s="4" t="inlineStr">
        <is>
          <t>CH01</t>
        </is>
      </c>
      <c r="H532" s="4" t="inlineStr">
        <is>
          <t>PR00</t>
        </is>
      </c>
      <c r="I532" s="8" t="n">
        <v>68</v>
      </c>
      <c r="J532" s="9" t="n">
        <v>0</v>
      </c>
      <c r="K532" s="10">
        <f>I532*(1-J532)</f>
        <v/>
      </c>
      <c r="L532" s="11" t="n">
        <v>1</v>
      </c>
      <c r="M532" s="10">
        <f>K532*L532</f>
        <v/>
      </c>
      <c r="N532" s="8" t="n">
        <v>34.64</v>
      </c>
      <c r="O532" s="10">
        <f>N532*L532</f>
        <v/>
      </c>
      <c r="P532" s="10">
        <f>M532-O532</f>
        <v/>
      </c>
      <c r="Q532" s="11" t="inlineStr">
        <is>
          <t>No</t>
        </is>
      </c>
      <c r="R532" s="11" t="n">
        <v>0</v>
      </c>
      <c r="S532" s="10">
        <f>M532-(R532*K532)</f>
        <v/>
      </c>
      <c r="T532" s="12">
        <f>VLOOKUP(E532,Dim_Product!$A$2:$Q$61,3,FALSE)</f>
        <v/>
      </c>
      <c r="U532" s="12">
        <f>VLOOKUP(E532,Dim_Product!$A$2:$Q$61,4,FALSE)</f>
        <v/>
      </c>
      <c r="V532" s="12">
        <f>VLOOKUP(D532,Dim_Customer!$A$2:$I$121,6,FALSE)</f>
        <v/>
      </c>
      <c r="W532" s="12">
        <f>VLOOKUP(G532,Dim_Channel!$A$2:$B$5,2,FALSE)</f>
        <v/>
      </c>
      <c r="X532" s="12">
        <f>VLOOKUP(H532,Dim_Promotion!$A$2:$G$11,2,FALSE)</f>
        <v/>
      </c>
    </row>
    <row r="533">
      <c r="A533" s="4" t="inlineStr">
        <is>
          <t>SL0532</t>
        </is>
      </c>
      <c r="B533" t="inlineStr">
        <is>
          <t>O010266</t>
        </is>
      </c>
      <c r="C533" t="n">
        <v>20250622</v>
      </c>
      <c r="D533" s="4" t="inlineStr">
        <is>
          <t>C019</t>
        </is>
      </c>
      <c r="E533" s="4" t="inlineStr">
        <is>
          <t>P014</t>
        </is>
      </c>
      <c r="F533" t="inlineStr">
        <is>
          <t>XL</t>
        </is>
      </c>
      <c r="G533" s="4" t="inlineStr">
        <is>
          <t>CH03</t>
        </is>
      </c>
      <c r="H533" s="4" t="inlineStr">
        <is>
          <t>PR00</t>
        </is>
      </c>
      <c r="I533" s="8" t="n">
        <v>58</v>
      </c>
      <c r="J533" s="9" t="n">
        <v>0</v>
      </c>
      <c r="K533" s="10">
        <f>I533*(1-J533)</f>
        <v/>
      </c>
      <c r="L533" s="11" t="n">
        <v>1</v>
      </c>
      <c r="M533" s="10">
        <f>K533*L533</f>
        <v/>
      </c>
      <c r="N533" s="8" t="n">
        <v>27.95</v>
      </c>
      <c r="O533" s="10">
        <f>N533*L533</f>
        <v/>
      </c>
      <c r="P533" s="10">
        <f>M533-O533</f>
        <v/>
      </c>
      <c r="Q533" s="11" t="inlineStr">
        <is>
          <t>No</t>
        </is>
      </c>
      <c r="R533" s="11" t="n">
        <v>0</v>
      </c>
      <c r="S533" s="10">
        <f>M533-(R533*K533)</f>
        <v/>
      </c>
      <c r="T533" s="12">
        <f>VLOOKUP(E533,Dim_Product!$A$2:$Q$61,3,FALSE)</f>
        <v/>
      </c>
      <c r="U533" s="12">
        <f>VLOOKUP(E533,Dim_Product!$A$2:$Q$61,4,FALSE)</f>
        <v/>
      </c>
      <c r="V533" s="12">
        <f>VLOOKUP(D533,Dim_Customer!$A$2:$I$121,6,FALSE)</f>
        <v/>
      </c>
      <c r="W533" s="12">
        <f>VLOOKUP(G533,Dim_Channel!$A$2:$B$5,2,FALSE)</f>
        <v/>
      </c>
      <c r="X533" s="12">
        <f>VLOOKUP(H533,Dim_Promotion!$A$2:$G$11,2,FALSE)</f>
        <v/>
      </c>
    </row>
    <row r="534">
      <c r="A534" s="4" t="inlineStr">
        <is>
          <t>SL0533</t>
        </is>
      </c>
      <c r="B534" t="inlineStr">
        <is>
          <t>O010267</t>
        </is>
      </c>
      <c r="C534" t="n">
        <v>20250829</v>
      </c>
      <c r="D534" s="4" t="inlineStr">
        <is>
          <t>C011</t>
        </is>
      </c>
      <c r="E534" s="4" t="inlineStr">
        <is>
          <t>P030</t>
        </is>
      </c>
      <c r="F534" t="inlineStr">
        <is>
          <t>S</t>
        </is>
      </c>
      <c r="G534" s="4" t="inlineStr">
        <is>
          <t>CH04</t>
        </is>
      </c>
      <c r="H534" s="4" t="inlineStr">
        <is>
          <t>PR00</t>
        </is>
      </c>
      <c r="I534" s="8" t="n">
        <v>110</v>
      </c>
      <c r="J534" s="9" t="n">
        <v>0</v>
      </c>
      <c r="K534" s="10">
        <f>I534*(1-J534)</f>
        <v/>
      </c>
      <c r="L534" s="11" t="n">
        <v>1</v>
      </c>
      <c r="M534" s="10">
        <f>K534*L534</f>
        <v/>
      </c>
      <c r="N534" s="8" t="n">
        <v>56.17</v>
      </c>
      <c r="O534" s="10">
        <f>N534*L534</f>
        <v/>
      </c>
      <c r="P534" s="10">
        <f>M534-O534</f>
        <v/>
      </c>
      <c r="Q534" s="11" t="inlineStr">
        <is>
          <t>No</t>
        </is>
      </c>
      <c r="R534" s="11" t="n">
        <v>0</v>
      </c>
      <c r="S534" s="10">
        <f>M534-(R534*K534)</f>
        <v/>
      </c>
      <c r="T534" s="12">
        <f>VLOOKUP(E534,Dim_Product!$A$2:$Q$61,3,FALSE)</f>
        <v/>
      </c>
      <c r="U534" s="12">
        <f>VLOOKUP(E534,Dim_Product!$A$2:$Q$61,4,FALSE)</f>
        <v/>
      </c>
      <c r="V534" s="12">
        <f>VLOOKUP(D534,Dim_Customer!$A$2:$I$121,6,FALSE)</f>
        <v/>
      </c>
      <c r="W534" s="12">
        <f>VLOOKUP(G534,Dim_Channel!$A$2:$B$5,2,FALSE)</f>
        <v/>
      </c>
      <c r="X534" s="12">
        <f>VLOOKUP(H534,Dim_Promotion!$A$2:$G$11,2,FALSE)</f>
        <v/>
      </c>
    </row>
    <row r="535">
      <c r="A535" s="4" t="inlineStr">
        <is>
          <t>SL0534</t>
        </is>
      </c>
      <c r="B535" t="inlineStr">
        <is>
          <t>O010267</t>
        </is>
      </c>
      <c r="C535" t="n">
        <v>20250629</v>
      </c>
      <c r="D535" s="4" t="inlineStr">
        <is>
          <t>C119</t>
        </is>
      </c>
      <c r="E535" s="4" t="inlineStr">
        <is>
          <t>P043</t>
        </is>
      </c>
      <c r="F535" t="inlineStr">
        <is>
          <t>M</t>
        </is>
      </c>
      <c r="G535" s="4" t="inlineStr">
        <is>
          <t>CH04</t>
        </is>
      </c>
      <c r="H535" s="4" t="inlineStr">
        <is>
          <t>PR00</t>
        </is>
      </c>
      <c r="I535" s="8" t="n">
        <v>80</v>
      </c>
      <c r="J535" s="9" t="n">
        <v>0</v>
      </c>
      <c r="K535" s="10">
        <f>I535*(1-J535)</f>
        <v/>
      </c>
      <c r="L535" s="11" t="n">
        <v>3</v>
      </c>
      <c r="M535" s="10">
        <f>K535*L535</f>
        <v/>
      </c>
      <c r="N535" s="8" t="n">
        <v>38.15</v>
      </c>
      <c r="O535" s="10">
        <f>N535*L535</f>
        <v/>
      </c>
      <c r="P535" s="10">
        <f>M535-O535</f>
        <v/>
      </c>
      <c r="Q535" s="11" t="inlineStr">
        <is>
          <t>No</t>
        </is>
      </c>
      <c r="R535" s="11" t="n">
        <v>0</v>
      </c>
      <c r="S535" s="10">
        <f>M535-(R535*K535)</f>
        <v/>
      </c>
      <c r="T535" s="12">
        <f>VLOOKUP(E535,Dim_Product!$A$2:$Q$61,3,FALSE)</f>
        <v/>
      </c>
      <c r="U535" s="12">
        <f>VLOOKUP(E535,Dim_Product!$A$2:$Q$61,4,FALSE)</f>
        <v/>
      </c>
      <c r="V535" s="12">
        <f>VLOOKUP(D535,Dim_Customer!$A$2:$I$121,6,FALSE)</f>
        <v/>
      </c>
      <c r="W535" s="12">
        <f>VLOOKUP(G535,Dim_Channel!$A$2:$B$5,2,FALSE)</f>
        <v/>
      </c>
      <c r="X535" s="12">
        <f>VLOOKUP(H535,Dim_Promotion!$A$2:$G$11,2,FALSE)</f>
        <v/>
      </c>
    </row>
    <row r="536">
      <c r="A536" s="4" t="inlineStr">
        <is>
          <t>SL0535</t>
        </is>
      </c>
      <c r="B536" t="inlineStr">
        <is>
          <t>O010268</t>
        </is>
      </c>
      <c r="C536" t="n">
        <v>20251227</v>
      </c>
      <c r="D536" s="4" t="inlineStr">
        <is>
          <t>C063</t>
        </is>
      </c>
      <c r="E536" s="4" t="inlineStr">
        <is>
          <t>P001</t>
        </is>
      </c>
      <c r="F536" t="inlineStr">
        <is>
          <t>L</t>
        </is>
      </c>
      <c r="G536" s="4" t="inlineStr">
        <is>
          <t>CH01</t>
        </is>
      </c>
      <c r="H536" s="4" t="inlineStr">
        <is>
          <t>PR00</t>
        </is>
      </c>
      <c r="I536" s="8" t="n">
        <v>40</v>
      </c>
      <c r="J536" s="9" t="n">
        <v>0</v>
      </c>
      <c r="K536" s="10">
        <f>I536*(1-J536)</f>
        <v/>
      </c>
      <c r="L536" s="11" t="n">
        <v>1</v>
      </c>
      <c r="M536" s="10">
        <f>K536*L536</f>
        <v/>
      </c>
      <c r="N536" s="8" t="n">
        <v>16.85</v>
      </c>
      <c r="O536" s="10">
        <f>N536*L536</f>
        <v/>
      </c>
      <c r="P536" s="10">
        <f>M536-O536</f>
        <v/>
      </c>
      <c r="Q536" s="11" t="inlineStr">
        <is>
          <t>No</t>
        </is>
      </c>
      <c r="R536" s="11" t="n">
        <v>0</v>
      </c>
      <c r="S536" s="10">
        <f>M536-(R536*K536)</f>
        <v/>
      </c>
      <c r="T536" s="12">
        <f>VLOOKUP(E536,Dim_Product!$A$2:$Q$61,3,FALSE)</f>
        <v/>
      </c>
      <c r="U536" s="12">
        <f>VLOOKUP(E536,Dim_Product!$A$2:$Q$61,4,FALSE)</f>
        <v/>
      </c>
      <c r="V536" s="12">
        <f>VLOOKUP(D536,Dim_Customer!$A$2:$I$121,6,FALSE)</f>
        <v/>
      </c>
      <c r="W536" s="12">
        <f>VLOOKUP(G536,Dim_Channel!$A$2:$B$5,2,FALSE)</f>
        <v/>
      </c>
      <c r="X536" s="12">
        <f>VLOOKUP(H536,Dim_Promotion!$A$2:$G$11,2,FALSE)</f>
        <v/>
      </c>
    </row>
    <row r="537">
      <c r="A537" s="4" t="inlineStr">
        <is>
          <t>SL0536</t>
        </is>
      </c>
      <c r="B537" t="inlineStr">
        <is>
          <t>O010268</t>
        </is>
      </c>
      <c r="C537" t="n">
        <v>20250717</v>
      </c>
      <c r="D537" s="4" t="inlineStr">
        <is>
          <t>C015</t>
        </is>
      </c>
      <c r="E537" s="4" t="inlineStr">
        <is>
          <t>P010</t>
        </is>
      </c>
      <c r="F537" t="inlineStr">
        <is>
          <t>M</t>
        </is>
      </c>
      <c r="G537" s="4" t="inlineStr">
        <is>
          <t>CH03</t>
        </is>
      </c>
      <c r="H537" s="4" t="inlineStr">
        <is>
          <t>PR00</t>
        </is>
      </c>
      <c r="I537" s="8" t="n">
        <v>49</v>
      </c>
      <c r="J537" s="9" t="n">
        <v>0</v>
      </c>
      <c r="K537" s="10">
        <f>I537*(1-J537)</f>
        <v/>
      </c>
      <c r="L537" s="11" t="n">
        <v>1</v>
      </c>
      <c r="M537" s="10">
        <f>K537*L537</f>
        <v/>
      </c>
      <c r="N537" s="8" t="n">
        <v>20.7</v>
      </c>
      <c r="O537" s="10">
        <f>N537*L537</f>
        <v/>
      </c>
      <c r="P537" s="10">
        <f>M537-O537</f>
        <v/>
      </c>
      <c r="Q537" s="11" t="inlineStr">
        <is>
          <t>No</t>
        </is>
      </c>
      <c r="R537" s="11" t="n">
        <v>0</v>
      </c>
      <c r="S537" s="10">
        <f>M537-(R537*K537)</f>
        <v/>
      </c>
      <c r="T537" s="12">
        <f>VLOOKUP(E537,Dim_Product!$A$2:$Q$61,3,FALSE)</f>
        <v/>
      </c>
      <c r="U537" s="12">
        <f>VLOOKUP(E537,Dim_Product!$A$2:$Q$61,4,FALSE)</f>
        <v/>
      </c>
      <c r="V537" s="12">
        <f>VLOOKUP(D537,Dim_Customer!$A$2:$I$121,6,FALSE)</f>
        <v/>
      </c>
      <c r="W537" s="12">
        <f>VLOOKUP(G537,Dim_Channel!$A$2:$B$5,2,FALSE)</f>
        <v/>
      </c>
      <c r="X537" s="12">
        <f>VLOOKUP(H537,Dim_Promotion!$A$2:$G$11,2,FALSE)</f>
        <v/>
      </c>
    </row>
    <row r="538">
      <c r="A538" s="4" t="inlineStr">
        <is>
          <t>SL0537</t>
        </is>
      </c>
      <c r="B538" t="inlineStr">
        <is>
          <t>O010269</t>
        </is>
      </c>
      <c r="C538" t="n">
        <v>20250903</v>
      </c>
      <c r="D538" s="4" t="inlineStr">
        <is>
          <t>C038</t>
        </is>
      </c>
      <c r="E538" s="4" t="inlineStr">
        <is>
          <t>P005</t>
        </is>
      </c>
      <c r="F538" t="inlineStr">
        <is>
          <t>S</t>
        </is>
      </c>
      <c r="G538" s="4" t="inlineStr">
        <is>
          <t>CH01</t>
        </is>
      </c>
      <c r="H538" s="4" t="inlineStr">
        <is>
          <t>PR00</t>
        </is>
      </c>
      <c r="I538" s="8" t="n">
        <v>50</v>
      </c>
      <c r="J538" s="9" t="n">
        <v>0</v>
      </c>
      <c r="K538" s="10">
        <f>I538*(1-J538)</f>
        <v/>
      </c>
      <c r="L538" s="11" t="n">
        <v>1</v>
      </c>
      <c r="M538" s="10">
        <f>K538*L538</f>
        <v/>
      </c>
      <c r="N538" s="8" t="n">
        <v>19.92</v>
      </c>
      <c r="O538" s="10">
        <f>N538*L538</f>
        <v/>
      </c>
      <c r="P538" s="10">
        <f>M538-O538</f>
        <v/>
      </c>
      <c r="Q538" s="11" t="inlineStr">
        <is>
          <t>No</t>
        </is>
      </c>
      <c r="R538" s="11" t="n">
        <v>0</v>
      </c>
      <c r="S538" s="10">
        <f>M538-(R538*K538)</f>
        <v/>
      </c>
      <c r="T538" s="12">
        <f>VLOOKUP(E538,Dim_Product!$A$2:$Q$61,3,FALSE)</f>
        <v/>
      </c>
      <c r="U538" s="12">
        <f>VLOOKUP(E538,Dim_Product!$A$2:$Q$61,4,FALSE)</f>
        <v/>
      </c>
      <c r="V538" s="12">
        <f>VLOOKUP(D538,Dim_Customer!$A$2:$I$121,6,FALSE)</f>
        <v/>
      </c>
      <c r="W538" s="12">
        <f>VLOOKUP(G538,Dim_Channel!$A$2:$B$5,2,FALSE)</f>
        <v/>
      </c>
      <c r="X538" s="12">
        <f>VLOOKUP(H538,Dim_Promotion!$A$2:$G$11,2,FALSE)</f>
        <v/>
      </c>
    </row>
    <row r="539">
      <c r="A539" s="4" t="inlineStr">
        <is>
          <t>SL0538</t>
        </is>
      </c>
      <c r="B539" t="inlineStr">
        <is>
          <t>O010269</t>
        </is>
      </c>
      <c r="C539" t="n">
        <v>20250926</v>
      </c>
      <c r="D539" s="4" t="inlineStr">
        <is>
          <t>C006</t>
        </is>
      </c>
      <c r="E539" s="4" t="inlineStr">
        <is>
          <t>P005</t>
        </is>
      </c>
      <c r="F539" t="inlineStr">
        <is>
          <t>S</t>
        </is>
      </c>
      <c r="G539" s="4" t="inlineStr">
        <is>
          <t>CH02</t>
        </is>
      </c>
      <c r="H539" s="4" t="inlineStr">
        <is>
          <t>PR00</t>
        </is>
      </c>
      <c r="I539" s="8" t="n">
        <v>52</v>
      </c>
      <c r="J539" s="9" t="n">
        <v>0</v>
      </c>
      <c r="K539" s="10">
        <f>I539*(1-J539)</f>
        <v/>
      </c>
      <c r="L539" s="11" t="n">
        <v>3</v>
      </c>
      <c r="M539" s="10">
        <f>K539*L539</f>
        <v/>
      </c>
      <c r="N539" s="8" t="n">
        <v>20.17</v>
      </c>
      <c r="O539" s="10">
        <f>N539*L539</f>
        <v/>
      </c>
      <c r="P539" s="10">
        <f>M539-O539</f>
        <v/>
      </c>
      <c r="Q539" s="11" t="inlineStr">
        <is>
          <t>No</t>
        </is>
      </c>
      <c r="R539" s="11" t="n">
        <v>0</v>
      </c>
      <c r="S539" s="10">
        <f>M539-(R539*K539)</f>
        <v/>
      </c>
      <c r="T539" s="12">
        <f>VLOOKUP(E539,Dim_Product!$A$2:$Q$61,3,FALSE)</f>
        <v/>
      </c>
      <c r="U539" s="12">
        <f>VLOOKUP(E539,Dim_Product!$A$2:$Q$61,4,FALSE)</f>
        <v/>
      </c>
      <c r="V539" s="12">
        <f>VLOOKUP(D539,Dim_Customer!$A$2:$I$121,6,FALSE)</f>
        <v/>
      </c>
      <c r="W539" s="12">
        <f>VLOOKUP(G539,Dim_Channel!$A$2:$B$5,2,FALSE)</f>
        <v/>
      </c>
      <c r="X539" s="12">
        <f>VLOOKUP(H539,Dim_Promotion!$A$2:$G$11,2,FALSE)</f>
        <v/>
      </c>
    </row>
    <row r="540">
      <c r="A540" s="4" t="inlineStr">
        <is>
          <t>SL0539</t>
        </is>
      </c>
      <c r="B540" t="inlineStr">
        <is>
          <t>O010270</t>
        </is>
      </c>
      <c r="C540" t="n">
        <v>20250612</v>
      </c>
      <c r="D540" s="4" t="inlineStr">
        <is>
          <t>C088</t>
        </is>
      </c>
      <c r="E540" s="4" t="inlineStr">
        <is>
          <t>P048</t>
        </is>
      </c>
      <c r="F540" t="inlineStr">
        <is>
          <t>M</t>
        </is>
      </c>
      <c r="G540" s="4" t="inlineStr">
        <is>
          <t>CH02</t>
        </is>
      </c>
      <c r="H540" s="4" t="inlineStr">
        <is>
          <t>PR00</t>
        </is>
      </c>
      <c r="I540" s="8" t="n">
        <v>68</v>
      </c>
      <c r="J540" s="9" t="n">
        <v>0</v>
      </c>
      <c r="K540" s="10">
        <f>I540*(1-J540)</f>
        <v/>
      </c>
      <c r="L540" s="11" t="n">
        <v>2</v>
      </c>
      <c r="M540" s="10">
        <f>K540*L540</f>
        <v/>
      </c>
      <c r="N540" s="8" t="n">
        <v>33.94</v>
      </c>
      <c r="O540" s="10">
        <f>N540*L540</f>
        <v/>
      </c>
      <c r="P540" s="10">
        <f>M540-O540</f>
        <v/>
      </c>
      <c r="Q540" s="11" t="inlineStr">
        <is>
          <t>Yes</t>
        </is>
      </c>
      <c r="R540" s="11" t="n">
        <v>2</v>
      </c>
      <c r="S540" s="10">
        <f>M540-(R540*K540)</f>
        <v/>
      </c>
      <c r="T540" s="12">
        <f>VLOOKUP(E540,Dim_Product!$A$2:$Q$61,3,FALSE)</f>
        <v/>
      </c>
      <c r="U540" s="12">
        <f>VLOOKUP(E540,Dim_Product!$A$2:$Q$61,4,FALSE)</f>
        <v/>
      </c>
      <c r="V540" s="12">
        <f>VLOOKUP(D540,Dim_Customer!$A$2:$I$121,6,FALSE)</f>
        <v/>
      </c>
      <c r="W540" s="12">
        <f>VLOOKUP(G540,Dim_Channel!$A$2:$B$5,2,FALSE)</f>
        <v/>
      </c>
      <c r="X540" s="12">
        <f>VLOOKUP(H540,Dim_Promotion!$A$2:$G$11,2,FALSE)</f>
        <v/>
      </c>
    </row>
    <row r="541">
      <c r="A541" s="4" t="inlineStr">
        <is>
          <t>SL0540</t>
        </is>
      </c>
      <c r="B541" t="inlineStr">
        <is>
          <t>O010270</t>
        </is>
      </c>
      <c r="C541" t="n">
        <v>20251029</v>
      </c>
      <c r="D541" s="4" t="inlineStr">
        <is>
          <t>C119</t>
        </is>
      </c>
      <c r="E541" s="4" t="inlineStr">
        <is>
          <t>P008</t>
        </is>
      </c>
      <c r="F541" t="inlineStr">
        <is>
          <t>XL</t>
        </is>
      </c>
      <c r="G541" s="4" t="inlineStr">
        <is>
          <t>CH02</t>
        </is>
      </c>
      <c r="H541" s="4" t="inlineStr">
        <is>
          <t>PR00</t>
        </is>
      </c>
      <c r="I541" s="8" t="n">
        <v>52</v>
      </c>
      <c r="J541" s="9" t="n">
        <v>0</v>
      </c>
      <c r="K541" s="10">
        <f>I541*(1-J541)</f>
        <v/>
      </c>
      <c r="L541" s="11" t="n">
        <v>1</v>
      </c>
      <c r="M541" s="10">
        <f>K541*L541</f>
        <v/>
      </c>
      <c r="N541" s="8" t="n">
        <v>23.39</v>
      </c>
      <c r="O541" s="10">
        <f>N541*L541</f>
        <v/>
      </c>
      <c r="P541" s="10">
        <f>M541-O541</f>
        <v/>
      </c>
      <c r="Q541" s="11" t="inlineStr">
        <is>
          <t>No</t>
        </is>
      </c>
      <c r="R541" s="11" t="n">
        <v>0</v>
      </c>
      <c r="S541" s="10">
        <f>M541-(R541*K541)</f>
        <v/>
      </c>
      <c r="T541" s="12">
        <f>VLOOKUP(E541,Dim_Product!$A$2:$Q$61,3,FALSE)</f>
        <v/>
      </c>
      <c r="U541" s="12">
        <f>VLOOKUP(E541,Dim_Product!$A$2:$Q$61,4,FALSE)</f>
        <v/>
      </c>
      <c r="V541" s="12">
        <f>VLOOKUP(D541,Dim_Customer!$A$2:$I$121,6,FALSE)</f>
        <v/>
      </c>
      <c r="W541" s="12">
        <f>VLOOKUP(G541,Dim_Channel!$A$2:$B$5,2,FALSE)</f>
        <v/>
      </c>
      <c r="X541" s="12">
        <f>VLOOKUP(H541,Dim_Promotion!$A$2:$G$11,2,FALSE)</f>
        <v/>
      </c>
    </row>
    <row r="542">
      <c r="A542" s="4" t="inlineStr">
        <is>
          <t>SL0541</t>
        </is>
      </c>
      <c r="B542" t="inlineStr">
        <is>
          <t>O010271</t>
        </is>
      </c>
      <c r="C542" t="n">
        <v>20250714</v>
      </c>
      <c r="D542" s="4" t="inlineStr">
        <is>
          <t>C085</t>
        </is>
      </c>
      <c r="E542" s="4" t="inlineStr">
        <is>
          <t>P002</t>
        </is>
      </c>
      <c r="F542" t="inlineStr">
        <is>
          <t>S</t>
        </is>
      </c>
      <c r="G542" s="4" t="inlineStr">
        <is>
          <t>CH03</t>
        </is>
      </c>
      <c r="H542" s="4" t="inlineStr">
        <is>
          <t>PR00</t>
        </is>
      </c>
      <c r="I542" s="8" t="n">
        <v>41</v>
      </c>
      <c r="J542" s="9" t="n">
        <v>0</v>
      </c>
      <c r="K542" s="10">
        <f>I542*(1-J542)</f>
        <v/>
      </c>
      <c r="L542" s="11" t="n">
        <v>1</v>
      </c>
      <c r="M542" s="10">
        <f>K542*L542</f>
        <v/>
      </c>
      <c r="N542" s="8" t="n">
        <v>17.15</v>
      </c>
      <c r="O542" s="10">
        <f>N542*L542</f>
        <v/>
      </c>
      <c r="P542" s="10">
        <f>M542-O542</f>
        <v/>
      </c>
      <c r="Q542" s="11" t="inlineStr">
        <is>
          <t>No</t>
        </is>
      </c>
      <c r="R542" s="11" t="n">
        <v>0</v>
      </c>
      <c r="S542" s="10">
        <f>M542-(R542*K542)</f>
        <v/>
      </c>
      <c r="T542" s="12">
        <f>VLOOKUP(E542,Dim_Product!$A$2:$Q$61,3,FALSE)</f>
        <v/>
      </c>
      <c r="U542" s="12">
        <f>VLOOKUP(E542,Dim_Product!$A$2:$Q$61,4,FALSE)</f>
        <v/>
      </c>
      <c r="V542" s="12">
        <f>VLOOKUP(D542,Dim_Customer!$A$2:$I$121,6,FALSE)</f>
        <v/>
      </c>
      <c r="W542" s="12">
        <f>VLOOKUP(G542,Dim_Channel!$A$2:$B$5,2,FALSE)</f>
        <v/>
      </c>
      <c r="X542" s="12">
        <f>VLOOKUP(H542,Dim_Promotion!$A$2:$G$11,2,FALSE)</f>
        <v/>
      </c>
    </row>
    <row r="543">
      <c r="A543" s="4" t="inlineStr">
        <is>
          <t>SL0542</t>
        </is>
      </c>
      <c r="B543" t="inlineStr">
        <is>
          <t>O010271</t>
        </is>
      </c>
      <c r="C543" t="n">
        <v>20251112</v>
      </c>
      <c r="D543" s="4" t="inlineStr">
        <is>
          <t>C055</t>
        </is>
      </c>
      <c r="E543" s="4" t="inlineStr">
        <is>
          <t>P056</t>
        </is>
      </c>
      <c r="F543" t="inlineStr">
        <is>
          <t>M</t>
        </is>
      </c>
      <c r="G543" s="4" t="inlineStr">
        <is>
          <t>CH02</t>
        </is>
      </c>
      <c r="H543" s="4" t="inlineStr">
        <is>
          <t>PR00</t>
        </is>
      </c>
      <c r="I543" s="8" t="n">
        <v>66</v>
      </c>
      <c r="J543" s="9" t="n">
        <v>0</v>
      </c>
      <c r="K543" s="10">
        <f>I543*(1-J543)</f>
        <v/>
      </c>
      <c r="L543" s="11" t="n">
        <v>2</v>
      </c>
      <c r="M543" s="10">
        <f>K543*L543</f>
        <v/>
      </c>
      <c r="N543" s="8" t="n">
        <v>32.92</v>
      </c>
      <c r="O543" s="10">
        <f>N543*L543</f>
        <v/>
      </c>
      <c r="P543" s="10">
        <f>M543-O543</f>
        <v/>
      </c>
      <c r="Q543" s="11" t="inlineStr">
        <is>
          <t>No</t>
        </is>
      </c>
      <c r="R543" s="11" t="n">
        <v>0</v>
      </c>
      <c r="S543" s="10">
        <f>M543-(R543*K543)</f>
        <v/>
      </c>
      <c r="T543" s="12">
        <f>VLOOKUP(E543,Dim_Product!$A$2:$Q$61,3,FALSE)</f>
        <v/>
      </c>
      <c r="U543" s="12">
        <f>VLOOKUP(E543,Dim_Product!$A$2:$Q$61,4,FALSE)</f>
        <v/>
      </c>
      <c r="V543" s="12">
        <f>VLOOKUP(D543,Dim_Customer!$A$2:$I$121,6,FALSE)</f>
        <v/>
      </c>
      <c r="W543" s="12">
        <f>VLOOKUP(G543,Dim_Channel!$A$2:$B$5,2,FALSE)</f>
        <v/>
      </c>
      <c r="X543" s="12">
        <f>VLOOKUP(H543,Dim_Promotion!$A$2:$G$11,2,FALSE)</f>
        <v/>
      </c>
    </row>
    <row r="544">
      <c r="A544" s="4" t="inlineStr">
        <is>
          <t>SL0543</t>
        </is>
      </c>
      <c r="B544" t="inlineStr">
        <is>
          <t>O010272</t>
        </is>
      </c>
      <c r="C544" t="n">
        <v>20250317</v>
      </c>
      <c r="D544" s="4" t="inlineStr">
        <is>
          <t>C113</t>
        </is>
      </c>
      <c r="E544" s="4" t="inlineStr">
        <is>
          <t>P029</t>
        </is>
      </c>
      <c r="F544" t="inlineStr">
        <is>
          <t>L</t>
        </is>
      </c>
      <c r="G544" s="4" t="inlineStr">
        <is>
          <t>CH01</t>
        </is>
      </c>
      <c r="H544" s="4" t="inlineStr">
        <is>
          <t>PR00</t>
        </is>
      </c>
      <c r="I544" s="8" t="n">
        <v>111</v>
      </c>
      <c r="J544" s="9" t="n">
        <v>0</v>
      </c>
      <c r="K544" s="10">
        <f>I544*(1-J544)</f>
        <v/>
      </c>
      <c r="L544" s="11" t="n">
        <v>1</v>
      </c>
      <c r="M544" s="10">
        <f>K544*L544</f>
        <v/>
      </c>
      <c r="N544" s="8" t="n">
        <v>56.38</v>
      </c>
      <c r="O544" s="10">
        <f>N544*L544</f>
        <v/>
      </c>
      <c r="P544" s="10">
        <f>M544-O544</f>
        <v/>
      </c>
      <c r="Q544" s="11" t="inlineStr">
        <is>
          <t>No</t>
        </is>
      </c>
      <c r="R544" s="11" t="n">
        <v>0</v>
      </c>
      <c r="S544" s="10">
        <f>M544-(R544*K544)</f>
        <v/>
      </c>
      <c r="T544" s="12">
        <f>VLOOKUP(E544,Dim_Product!$A$2:$Q$61,3,FALSE)</f>
        <v/>
      </c>
      <c r="U544" s="12">
        <f>VLOOKUP(E544,Dim_Product!$A$2:$Q$61,4,FALSE)</f>
        <v/>
      </c>
      <c r="V544" s="12">
        <f>VLOOKUP(D544,Dim_Customer!$A$2:$I$121,6,FALSE)</f>
        <v/>
      </c>
      <c r="W544" s="12">
        <f>VLOOKUP(G544,Dim_Channel!$A$2:$B$5,2,FALSE)</f>
        <v/>
      </c>
      <c r="X544" s="12">
        <f>VLOOKUP(H544,Dim_Promotion!$A$2:$G$11,2,FALSE)</f>
        <v/>
      </c>
    </row>
    <row r="545">
      <c r="A545" s="4" t="inlineStr">
        <is>
          <t>SL0544</t>
        </is>
      </c>
      <c r="B545" t="inlineStr">
        <is>
          <t>O010272</t>
        </is>
      </c>
      <c r="C545" t="n">
        <v>20250908</v>
      </c>
      <c r="D545" s="4" t="inlineStr">
        <is>
          <t>C032</t>
        </is>
      </c>
      <c r="E545" s="4" t="inlineStr">
        <is>
          <t>P039</t>
        </is>
      </c>
      <c r="F545" t="inlineStr">
        <is>
          <t>S</t>
        </is>
      </c>
      <c r="G545" s="4" t="inlineStr">
        <is>
          <t>CH04</t>
        </is>
      </c>
      <c r="H545" s="4" t="inlineStr">
        <is>
          <t>PR00</t>
        </is>
      </c>
      <c r="I545" s="8" t="n">
        <v>75</v>
      </c>
      <c r="J545" s="9" t="n">
        <v>0</v>
      </c>
      <c r="K545" s="10">
        <f>I545*(1-J545)</f>
        <v/>
      </c>
      <c r="L545" s="11" t="n">
        <v>2</v>
      </c>
      <c r="M545" s="10">
        <f>K545*L545</f>
        <v/>
      </c>
      <c r="N545" s="8" t="n">
        <v>35.76</v>
      </c>
      <c r="O545" s="10">
        <f>N545*L545</f>
        <v/>
      </c>
      <c r="P545" s="10">
        <f>M545-O545</f>
        <v/>
      </c>
      <c r="Q545" s="11" t="inlineStr">
        <is>
          <t>No</t>
        </is>
      </c>
      <c r="R545" s="11" t="n">
        <v>0</v>
      </c>
      <c r="S545" s="10">
        <f>M545-(R545*K545)</f>
        <v/>
      </c>
      <c r="T545" s="12">
        <f>VLOOKUP(E545,Dim_Product!$A$2:$Q$61,3,FALSE)</f>
        <v/>
      </c>
      <c r="U545" s="12">
        <f>VLOOKUP(E545,Dim_Product!$A$2:$Q$61,4,FALSE)</f>
        <v/>
      </c>
      <c r="V545" s="12">
        <f>VLOOKUP(D545,Dim_Customer!$A$2:$I$121,6,FALSE)</f>
        <v/>
      </c>
      <c r="W545" s="12">
        <f>VLOOKUP(G545,Dim_Channel!$A$2:$B$5,2,FALSE)</f>
        <v/>
      </c>
      <c r="X545" s="12">
        <f>VLOOKUP(H545,Dim_Promotion!$A$2:$G$11,2,FALSE)</f>
        <v/>
      </c>
    </row>
    <row r="546">
      <c r="A546" s="4" t="inlineStr">
        <is>
          <t>SL0545</t>
        </is>
      </c>
      <c r="B546" t="inlineStr">
        <is>
          <t>O010273</t>
        </is>
      </c>
      <c r="C546" t="n">
        <v>20250729</v>
      </c>
      <c r="D546" s="4" t="inlineStr">
        <is>
          <t>C086</t>
        </is>
      </c>
      <c r="E546" s="4" t="inlineStr">
        <is>
          <t>P007</t>
        </is>
      </c>
      <c r="F546" t="inlineStr">
        <is>
          <t>L</t>
        </is>
      </c>
      <c r="G546" s="4" t="inlineStr">
        <is>
          <t>CH03</t>
        </is>
      </c>
      <c r="H546" s="4" t="inlineStr">
        <is>
          <t>PR00</t>
        </is>
      </c>
      <c r="I546" s="8" t="n">
        <v>50</v>
      </c>
      <c r="J546" s="9" t="n">
        <v>0</v>
      </c>
      <c r="K546" s="10">
        <f>I546*(1-J546)</f>
        <v/>
      </c>
      <c r="L546" s="11" t="n">
        <v>2</v>
      </c>
      <c r="M546" s="10">
        <f>K546*L546</f>
        <v/>
      </c>
      <c r="N546" s="8" t="n">
        <v>22.79</v>
      </c>
      <c r="O546" s="10">
        <f>N546*L546</f>
        <v/>
      </c>
      <c r="P546" s="10">
        <f>M546-O546</f>
        <v/>
      </c>
      <c r="Q546" s="11" t="inlineStr">
        <is>
          <t>No</t>
        </is>
      </c>
      <c r="R546" s="11" t="n">
        <v>0</v>
      </c>
      <c r="S546" s="10">
        <f>M546-(R546*K546)</f>
        <v/>
      </c>
      <c r="T546" s="12">
        <f>VLOOKUP(E546,Dim_Product!$A$2:$Q$61,3,FALSE)</f>
        <v/>
      </c>
      <c r="U546" s="12">
        <f>VLOOKUP(E546,Dim_Product!$A$2:$Q$61,4,FALSE)</f>
        <v/>
      </c>
      <c r="V546" s="12">
        <f>VLOOKUP(D546,Dim_Customer!$A$2:$I$121,6,FALSE)</f>
        <v/>
      </c>
      <c r="W546" s="12">
        <f>VLOOKUP(G546,Dim_Channel!$A$2:$B$5,2,FALSE)</f>
        <v/>
      </c>
      <c r="X546" s="12">
        <f>VLOOKUP(H546,Dim_Promotion!$A$2:$G$11,2,FALSE)</f>
        <v/>
      </c>
    </row>
    <row r="547">
      <c r="A547" s="4" t="inlineStr">
        <is>
          <t>SL0546</t>
        </is>
      </c>
      <c r="B547" t="inlineStr">
        <is>
          <t>O010273</t>
        </is>
      </c>
      <c r="C547" t="n">
        <v>20250821</v>
      </c>
      <c r="D547" s="4" t="inlineStr">
        <is>
          <t>C044</t>
        </is>
      </c>
      <c r="E547" s="4" t="inlineStr">
        <is>
          <t>P021</t>
        </is>
      </c>
      <c r="F547" t="inlineStr">
        <is>
          <t>L</t>
        </is>
      </c>
      <c r="G547" s="4" t="inlineStr">
        <is>
          <t>CH02</t>
        </is>
      </c>
      <c r="H547" s="4" t="inlineStr">
        <is>
          <t>PR00</t>
        </is>
      </c>
      <c r="I547" s="8" t="n">
        <v>56</v>
      </c>
      <c r="J547" s="9" t="n">
        <v>0</v>
      </c>
      <c r="K547" s="10">
        <f>I547*(1-J547)</f>
        <v/>
      </c>
      <c r="L547" s="11" t="n">
        <v>3</v>
      </c>
      <c r="M547" s="10">
        <f>K547*L547</f>
        <v/>
      </c>
      <c r="N547" s="8" t="n">
        <v>28.17</v>
      </c>
      <c r="O547" s="10">
        <f>N547*L547</f>
        <v/>
      </c>
      <c r="P547" s="10">
        <f>M547-O547</f>
        <v/>
      </c>
      <c r="Q547" s="11" t="inlineStr">
        <is>
          <t>No</t>
        </is>
      </c>
      <c r="R547" s="11" t="n">
        <v>0</v>
      </c>
      <c r="S547" s="10">
        <f>M547-(R547*K547)</f>
        <v/>
      </c>
      <c r="T547" s="12">
        <f>VLOOKUP(E547,Dim_Product!$A$2:$Q$61,3,FALSE)</f>
        <v/>
      </c>
      <c r="U547" s="12">
        <f>VLOOKUP(E547,Dim_Product!$A$2:$Q$61,4,FALSE)</f>
        <v/>
      </c>
      <c r="V547" s="12">
        <f>VLOOKUP(D547,Dim_Customer!$A$2:$I$121,6,FALSE)</f>
        <v/>
      </c>
      <c r="W547" s="12">
        <f>VLOOKUP(G547,Dim_Channel!$A$2:$B$5,2,FALSE)</f>
        <v/>
      </c>
      <c r="X547" s="12">
        <f>VLOOKUP(H547,Dim_Promotion!$A$2:$G$11,2,FALSE)</f>
        <v/>
      </c>
    </row>
    <row r="548">
      <c r="A548" s="4" t="inlineStr">
        <is>
          <t>SL0547</t>
        </is>
      </c>
      <c r="B548" t="inlineStr">
        <is>
          <t>O010274</t>
        </is>
      </c>
      <c r="C548" t="n">
        <v>20250410</v>
      </c>
      <c r="D548" s="4" t="inlineStr">
        <is>
          <t>C012</t>
        </is>
      </c>
      <c r="E548" s="4" t="inlineStr">
        <is>
          <t>P006</t>
        </is>
      </c>
      <c r="F548" t="inlineStr">
        <is>
          <t>L</t>
        </is>
      </c>
      <c r="G548" s="4" t="inlineStr">
        <is>
          <t>CH01</t>
        </is>
      </c>
      <c r="H548" s="4" t="inlineStr">
        <is>
          <t>PR03</t>
        </is>
      </c>
      <c r="I548" s="8" t="n">
        <v>48</v>
      </c>
      <c r="J548" s="9" t="n">
        <v>0.08</v>
      </c>
      <c r="K548" s="10">
        <f>I548*(1-J548)</f>
        <v/>
      </c>
      <c r="L548" s="11" t="n">
        <v>1</v>
      </c>
      <c r="M548" s="10">
        <f>K548*L548</f>
        <v/>
      </c>
      <c r="N548" s="8" t="n">
        <v>21.66</v>
      </c>
      <c r="O548" s="10">
        <f>N548*L548</f>
        <v/>
      </c>
      <c r="P548" s="10">
        <f>M548-O548</f>
        <v/>
      </c>
      <c r="Q548" s="11" t="inlineStr">
        <is>
          <t>No</t>
        </is>
      </c>
      <c r="R548" s="11" t="n">
        <v>0</v>
      </c>
      <c r="S548" s="10">
        <f>M548-(R548*K548)</f>
        <v/>
      </c>
      <c r="T548" s="12">
        <f>VLOOKUP(E548,Dim_Product!$A$2:$Q$61,3,FALSE)</f>
        <v/>
      </c>
      <c r="U548" s="12">
        <f>VLOOKUP(E548,Dim_Product!$A$2:$Q$61,4,FALSE)</f>
        <v/>
      </c>
      <c r="V548" s="12">
        <f>VLOOKUP(D548,Dim_Customer!$A$2:$I$121,6,FALSE)</f>
        <v/>
      </c>
      <c r="W548" s="12">
        <f>VLOOKUP(G548,Dim_Channel!$A$2:$B$5,2,FALSE)</f>
        <v/>
      </c>
      <c r="X548" s="12">
        <f>VLOOKUP(H548,Dim_Promotion!$A$2:$G$11,2,FALSE)</f>
        <v/>
      </c>
    </row>
    <row r="549">
      <c r="A549" s="4" t="inlineStr">
        <is>
          <t>SL0548</t>
        </is>
      </c>
      <c r="B549" t="inlineStr">
        <is>
          <t>O010274</t>
        </is>
      </c>
      <c r="C549" t="n">
        <v>20250801</v>
      </c>
      <c r="D549" s="4" t="inlineStr">
        <is>
          <t>C040</t>
        </is>
      </c>
      <c r="E549" s="4" t="inlineStr">
        <is>
          <t>P004</t>
        </is>
      </c>
      <c r="F549" t="inlineStr">
        <is>
          <t>XL</t>
        </is>
      </c>
      <c r="G549" s="4" t="inlineStr">
        <is>
          <t>CH04</t>
        </is>
      </c>
      <c r="H549" s="4" t="inlineStr">
        <is>
          <t>PR00</t>
        </is>
      </c>
      <c r="I549" s="8" t="n">
        <v>42</v>
      </c>
      <c r="J549" s="9" t="n">
        <v>0</v>
      </c>
      <c r="K549" s="10">
        <f>I549*(1-J549)</f>
        <v/>
      </c>
      <c r="L549" s="11" t="n">
        <v>1</v>
      </c>
      <c r="M549" s="10">
        <f>K549*L549</f>
        <v/>
      </c>
      <c r="N549" s="8" t="n">
        <v>19.31</v>
      </c>
      <c r="O549" s="10">
        <f>N549*L549</f>
        <v/>
      </c>
      <c r="P549" s="10">
        <f>M549-O549</f>
        <v/>
      </c>
      <c r="Q549" s="11" t="inlineStr">
        <is>
          <t>No</t>
        </is>
      </c>
      <c r="R549" s="11" t="n">
        <v>0</v>
      </c>
      <c r="S549" s="10">
        <f>M549-(R549*K549)</f>
        <v/>
      </c>
      <c r="T549" s="12">
        <f>VLOOKUP(E549,Dim_Product!$A$2:$Q$61,3,FALSE)</f>
        <v/>
      </c>
      <c r="U549" s="12">
        <f>VLOOKUP(E549,Dim_Product!$A$2:$Q$61,4,FALSE)</f>
        <v/>
      </c>
      <c r="V549" s="12">
        <f>VLOOKUP(D549,Dim_Customer!$A$2:$I$121,6,FALSE)</f>
        <v/>
      </c>
      <c r="W549" s="12">
        <f>VLOOKUP(G549,Dim_Channel!$A$2:$B$5,2,FALSE)</f>
        <v/>
      </c>
      <c r="X549" s="12">
        <f>VLOOKUP(H549,Dim_Promotion!$A$2:$G$11,2,FALSE)</f>
        <v/>
      </c>
    </row>
    <row r="550">
      <c r="A550" s="4" t="inlineStr">
        <is>
          <t>SL0549</t>
        </is>
      </c>
      <c r="B550" t="inlineStr">
        <is>
          <t>O010275</t>
        </is>
      </c>
      <c r="C550" t="n">
        <v>20250618</v>
      </c>
      <c r="D550" s="4" t="inlineStr">
        <is>
          <t>C110</t>
        </is>
      </c>
      <c r="E550" s="4" t="inlineStr">
        <is>
          <t>P026</t>
        </is>
      </c>
      <c r="F550" t="inlineStr">
        <is>
          <t>XL</t>
        </is>
      </c>
      <c r="G550" s="4" t="inlineStr">
        <is>
          <t>CH03</t>
        </is>
      </c>
      <c r="H550" s="4" t="inlineStr">
        <is>
          <t>PR00</t>
        </is>
      </c>
      <c r="I550" s="8" t="n">
        <v>94</v>
      </c>
      <c r="J550" s="9" t="n">
        <v>0</v>
      </c>
      <c r="K550" s="10">
        <f>I550*(1-J550)</f>
        <v/>
      </c>
      <c r="L550" s="11" t="n">
        <v>1</v>
      </c>
      <c r="M550" s="10">
        <f>K550*L550</f>
        <v/>
      </c>
      <c r="N550" s="8" t="n">
        <v>44.87</v>
      </c>
      <c r="O550" s="10">
        <f>N550*L550</f>
        <v/>
      </c>
      <c r="P550" s="10">
        <f>M550-O550</f>
        <v/>
      </c>
      <c r="Q550" s="11" t="inlineStr">
        <is>
          <t>No</t>
        </is>
      </c>
      <c r="R550" s="11" t="n">
        <v>0</v>
      </c>
      <c r="S550" s="10">
        <f>M550-(R550*K550)</f>
        <v/>
      </c>
      <c r="T550" s="12">
        <f>VLOOKUP(E550,Dim_Product!$A$2:$Q$61,3,FALSE)</f>
        <v/>
      </c>
      <c r="U550" s="12">
        <f>VLOOKUP(E550,Dim_Product!$A$2:$Q$61,4,FALSE)</f>
        <v/>
      </c>
      <c r="V550" s="12">
        <f>VLOOKUP(D550,Dim_Customer!$A$2:$I$121,6,FALSE)</f>
        <v/>
      </c>
      <c r="W550" s="12">
        <f>VLOOKUP(G550,Dim_Channel!$A$2:$B$5,2,FALSE)</f>
        <v/>
      </c>
      <c r="X550" s="12">
        <f>VLOOKUP(H550,Dim_Promotion!$A$2:$G$11,2,FALSE)</f>
        <v/>
      </c>
    </row>
    <row r="551">
      <c r="A551" s="4" t="inlineStr">
        <is>
          <t>SL0550</t>
        </is>
      </c>
      <c r="B551" t="inlineStr">
        <is>
          <t>O010275</t>
        </is>
      </c>
      <c r="C551" t="n">
        <v>20251127</v>
      </c>
      <c r="D551" s="4" t="inlineStr">
        <is>
          <t>C090</t>
        </is>
      </c>
      <c r="E551" s="4" t="inlineStr">
        <is>
          <t>P002</t>
        </is>
      </c>
      <c r="F551" t="inlineStr">
        <is>
          <t>L</t>
        </is>
      </c>
      <c r="G551" s="4" t="inlineStr">
        <is>
          <t>CH04</t>
        </is>
      </c>
      <c r="H551" s="4" t="inlineStr">
        <is>
          <t>PR00</t>
        </is>
      </c>
      <c r="I551" s="8" t="n">
        <v>42</v>
      </c>
      <c r="J551" s="9" t="n">
        <v>0</v>
      </c>
      <c r="K551" s="10">
        <f>I551*(1-J551)</f>
        <v/>
      </c>
      <c r="L551" s="11" t="n">
        <v>1</v>
      </c>
      <c r="M551" s="10">
        <f>K551*L551</f>
        <v/>
      </c>
      <c r="N551" s="8" t="n">
        <v>17.51</v>
      </c>
      <c r="O551" s="10">
        <f>N551*L551</f>
        <v/>
      </c>
      <c r="P551" s="10">
        <f>M551-O551</f>
        <v/>
      </c>
      <c r="Q551" s="11" t="inlineStr">
        <is>
          <t>No</t>
        </is>
      </c>
      <c r="R551" s="11" t="n">
        <v>0</v>
      </c>
      <c r="S551" s="10">
        <f>M551-(R551*K551)</f>
        <v/>
      </c>
      <c r="T551" s="12">
        <f>VLOOKUP(E551,Dim_Product!$A$2:$Q$61,3,FALSE)</f>
        <v/>
      </c>
      <c r="U551" s="12">
        <f>VLOOKUP(E551,Dim_Product!$A$2:$Q$61,4,FALSE)</f>
        <v/>
      </c>
      <c r="V551" s="12">
        <f>VLOOKUP(D551,Dim_Customer!$A$2:$I$121,6,FALSE)</f>
        <v/>
      </c>
      <c r="W551" s="12">
        <f>VLOOKUP(G551,Dim_Channel!$A$2:$B$5,2,FALSE)</f>
        <v/>
      </c>
      <c r="X551" s="12">
        <f>VLOOKUP(H551,Dim_Promotion!$A$2:$G$11,2,FALSE)</f>
        <v/>
      </c>
    </row>
    <row r="552">
      <c r="A552" s="4" t="inlineStr">
        <is>
          <t>SL0551</t>
        </is>
      </c>
      <c r="B552" t="inlineStr">
        <is>
          <t>O010276</t>
        </is>
      </c>
      <c r="C552" t="n">
        <v>20251013</v>
      </c>
      <c r="D552" s="4" t="inlineStr">
        <is>
          <t>C008</t>
        </is>
      </c>
      <c r="E552" s="4" t="inlineStr">
        <is>
          <t>P059</t>
        </is>
      </c>
      <c r="F552" t="inlineStr">
        <is>
          <t>XL</t>
        </is>
      </c>
      <c r="G552" s="4" t="inlineStr">
        <is>
          <t>CH01</t>
        </is>
      </c>
      <c r="H552" s="4" t="inlineStr">
        <is>
          <t>PR00</t>
        </is>
      </c>
      <c r="I552" s="8" t="n">
        <v>72</v>
      </c>
      <c r="J552" s="9" t="n">
        <v>0</v>
      </c>
      <c r="K552" s="10">
        <f>I552*(1-J552)</f>
        <v/>
      </c>
      <c r="L552" s="11" t="n">
        <v>3</v>
      </c>
      <c r="M552" s="10">
        <f>K552*L552</f>
        <v/>
      </c>
      <c r="N552" s="8" t="n">
        <v>34.9</v>
      </c>
      <c r="O552" s="10">
        <f>N552*L552</f>
        <v/>
      </c>
      <c r="P552" s="10">
        <f>M552-O552</f>
        <v/>
      </c>
      <c r="Q552" s="11" t="inlineStr">
        <is>
          <t>No</t>
        </is>
      </c>
      <c r="R552" s="11" t="n">
        <v>0</v>
      </c>
      <c r="S552" s="10">
        <f>M552-(R552*K552)</f>
        <v/>
      </c>
      <c r="T552" s="12">
        <f>VLOOKUP(E552,Dim_Product!$A$2:$Q$61,3,FALSE)</f>
        <v/>
      </c>
      <c r="U552" s="12">
        <f>VLOOKUP(E552,Dim_Product!$A$2:$Q$61,4,FALSE)</f>
        <v/>
      </c>
      <c r="V552" s="12">
        <f>VLOOKUP(D552,Dim_Customer!$A$2:$I$121,6,FALSE)</f>
        <v/>
      </c>
      <c r="W552" s="12">
        <f>VLOOKUP(G552,Dim_Channel!$A$2:$B$5,2,FALSE)</f>
        <v/>
      </c>
      <c r="X552" s="12">
        <f>VLOOKUP(H552,Dim_Promotion!$A$2:$G$11,2,FALSE)</f>
        <v/>
      </c>
    </row>
    <row r="553">
      <c r="A553" s="4" t="inlineStr">
        <is>
          <t>SL0552</t>
        </is>
      </c>
      <c r="B553" t="inlineStr">
        <is>
          <t>O010276</t>
        </is>
      </c>
      <c r="C553" t="n">
        <v>20251010</v>
      </c>
      <c r="D553" s="4" t="inlineStr">
        <is>
          <t>C105</t>
        </is>
      </c>
      <c r="E553" s="4" t="inlineStr">
        <is>
          <t>P060</t>
        </is>
      </c>
      <c r="F553" t="inlineStr">
        <is>
          <t>M</t>
        </is>
      </c>
      <c r="G553" s="4" t="inlineStr">
        <is>
          <t>CH02</t>
        </is>
      </c>
      <c r="H553" s="4" t="inlineStr">
        <is>
          <t>PR00</t>
        </is>
      </c>
      <c r="I553" s="8" t="n">
        <v>73</v>
      </c>
      <c r="J553" s="9" t="n">
        <v>0</v>
      </c>
      <c r="K553" s="10">
        <f>I553*(1-J553)</f>
        <v/>
      </c>
      <c r="L553" s="11" t="n">
        <v>1</v>
      </c>
      <c r="M553" s="10">
        <f>K553*L553</f>
        <v/>
      </c>
      <c r="N553" s="8" t="n">
        <v>36.42</v>
      </c>
      <c r="O553" s="10">
        <f>N553*L553</f>
        <v/>
      </c>
      <c r="P553" s="10">
        <f>M553-O553</f>
        <v/>
      </c>
      <c r="Q553" s="11" t="inlineStr">
        <is>
          <t>No</t>
        </is>
      </c>
      <c r="R553" s="11" t="n">
        <v>0</v>
      </c>
      <c r="S553" s="10">
        <f>M553-(R553*K553)</f>
        <v/>
      </c>
      <c r="T553" s="12">
        <f>VLOOKUP(E553,Dim_Product!$A$2:$Q$61,3,FALSE)</f>
        <v/>
      </c>
      <c r="U553" s="12">
        <f>VLOOKUP(E553,Dim_Product!$A$2:$Q$61,4,FALSE)</f>
        <v/>
      </c>
      <c r="V553" s="12">
        <f>VLOOKUP(D553,Dim_Customer!$A$2:$I$121,6,FALSE)</f>
        <v/>
      </c>
      <c r="W553" s="12">
        <f>VLOOKUP(G553,Dim_Channel!$A$2:$B$5,2,FALSE)</f>
        <v/>
      </c>
      <c r="X553" s="12">
        <f>VLOOKUP(H553,Dim_Promotion!$A$2:$G$11,2,FALSE)</f>
        <v/>
      </c>
    </row>
    <row r="554">
      <c r="A554" s="4" t="inlineStr">
        <is>
          <t>SL0553</t>
        </is>
      </c>
      <c r="B554" t="inlineStr">
        <is>
          <t>O010277</t>
        </is>
      </c>
      <c r="C554" t="n">
        <v>20251007</v>
      </c>
      <c r="D554" s="4" t="inlineStr">
        <is>
          <t>C090</t>
        </is>
      </c>
      <c r="E554" s="4" t="inlineStr">
        <is>
          <t>P051</t>
        </is>
      </c>
      <c r="F554" t="inlineStr">
        <is>
          <t>S</t>
        </is>
      </c>
      <c r="G554" s="4" t="inlineStr">
        <is>
          <t>CH04</t>
        </is>
      </c>
      <c r="H554" s="4" t="inlineStr">
        <is>
          <t>PR00</t>
        </is>
      </c>
      <c r="I554" s="8" t="n">
        <v>70</v>
      </c>
      <c r="J554" s="9" t="n">
        <v>0</v>
      </c>
      <c r="K554" s="10">
        <f>I554*(1-J554)</f>
        <v/>
      </c>
      <c r="L554" s="11" t="n">
        <v>1</v>
      </c>
      <c r="M554" s="10">
        <f>K554*L554</f>
        <v/>
      </c>
      <c r="N554" s="8" t="n">
        <v>28.7</v>
      </c>
      <c r="O554" s="10">
        <f>N554*L554</f>
        <v/>
      </c>
      <c r="P554" s="10">
        <f>M554-O554</f>
        <v/>
      </c>
      <c r="Q554" s="11" t="inlineStr">
        <is>
          <t>No</t>
        </is>
      </c>
      <c r="R554" s="11" t="n">
        <v>0</v>
      </c>
      <c r="S554" s="10">
        <f>M554-(R554*K554)</f>
        <v/>
      </c>
      <c r="T554" s="12">
        <f>VLOOKUP(E554,Dim_Product!$A$2:$Q$61,3,FALSE)</f>
        <v/>
      </c>
      <c r="U554" s="12">
        <f>VLOOKUP(E554,Dim_Product!$A$2:$Q$61,4,FALSE)</f>
        <v/>
      </c>
      <c r="V554" s="12">
        <f>VLOOKUP(D554,Dim_Customer!$A$2:$I$121,6,FALSE)</f>
        <v/>
      </c>
      <c r="W554" s="12">
        <f>VLOOKUP(G554,Dim_Channel!$A$2:$B$5,2,FALSE)</f>
        <v/>
      </c>
      <c r="X554" s="12">
        <f>VLOOKUP(H554,Dim_Promotion!$A$2:$G$11,2,FALSE)</f>
        <v/>
      </c>
    </row>
    <row r="555">
      <c r="A555" s="4" t="inlineStr">
        <is>
          <t>SL0554</t>
        </is>
      </c>
      <c r="B555" t="inlineStr">
        <is>
          <t>O010277</t>
        </is>
      </c>
      <c r="C555" t="n">
        <v>20251010</v>
      </c>
      <c r="D555" s="4" t="inlineStr">
        <is>
          <t>C115</t>
        </is>
      </c>
      <c r="E555" s="4" t="inlineStr">
        <is>
          <t>P008</t>
        </is>
      </c>
      <c r="F555" t="inlineStr">
        <is>
          <t>L</t>
        </is>
      </c>
      <c r="G555" s="4" t="inlineStr">
        <is>
          <t>CH03</t>
        </is>
      </c>
      <c r="H555" s="4" t="inlineStr">
        <is>
          <t>PR00</t>
        </is>
      </c>
      <c r="I555" s="8" t="n">
        <v>54</v>
      </c>
      <c r="J555" s="9" t="n">
        <v>0</v>
      </c>
      <c r="K555" s="10">
        <f>I555*(1-J555)</f>
        <v/>
      </c>
      <c r="L555" s="11" t="n">
        <v>1</v>
      </c>
      <c r="M555" s="10">
        <f>K555*L555</f>
        <v/>
      </c>
      <c r="N555" s="8" t="n">
        <v>23.62</v>
      </c>
      <c r="O555" s="10">
        <f>N555*L555</f>
        <v/>
      </c>
      <c r="P555" s="10">
        <f>M555-O555</f>
        <v/>
      </c>
      <c r="Q555" s="11" t="inlineStr">
        <is>
          <t>No</t>
        </is>
      </c>
      <c r="R555" s="11" t="n">
        <v>0</v>
      </c>
      <c r="S555" s="10">
        <f>M555-(R555*K555)</f>
        <v/>
      </c>
      <c r="T555" s="12">
        <f>VLOOKUP(E555,Dim_Product!$A$2:$Q$61,3,FALSE)</f>
        <v/>
      </c>
      <c r="U555" s="12">
        <f>VLOOKUP(E555,Dim_Product!$A$2:$Q$61,4,FALSE)</f>
        <v/>
      </c>
      <c r="V555" s="12">
        <f>VLOOKUP(D555,Dim_Customer!$A$2:$I$121,6,FALSE)</f>
        <v/>
      </c>
      <c r="W555" s="12">
        <f>VLOOKUP(G555,Dim_Channel!$A$2:$B$5,2,FALSE)</f>
        <v/>
      </c>
      <c r="X555" s="12">
        <f>VLOOKUP(H555,Dim_Promotion!$A$2:$G$11,2,FALSE)</f>
        <v/>
      </c>
    </row>
    <row r="556">
      <c r="A556" s="4" t="inlineStr">
        <is>
          <t>SL0555</t>
        </is>
      </c>
      <c r="B556" t="inlineStr">
        <is>
          <t>O010278</t>
        </is>
      </c>
      <c r="C556" t="n">
        <v>20250614</v>
      </c>
      <c r="D556" s="4" t="inlineStr">
        <is>
          <t>C087</t>
        </is>
      </c>
      <c r="E556" s="4" t="inlineStr">
        <is>
          <t>P010</t>
        </is>
      </c>
      <c r="F556" t="inlineStr">
        <is>
          <t>XL</t>
        </is>
      </c>
      <c r="G556" s="4" t="inlineStr">
        <is>
          <t>CH02</t>
        </is>
      </c>
      <c r="H556" s="4" t="inlineStr">
        <is>
          <t>PR04</t>
        </is>
      </c>
      <c r="I556" s="8" t="n">
        <v>48</v>
      </c>
      <c r="J556" s="9" t="n">
        <v>0.12</v>
      </c>
      <c r="K556" s="10">
        <f>I556*(1-J556)</f>
        <v/>
      </c>
      <c r="L556" s="11" t="n">
        <v>1</v>
      </c>
      <c r="M556" s="10">
        <f>K556*L556</f>
        <v/>
      </c>
      <c r="N556" s="8" t="n">
        <v>20.08</v>
      </c>
      <c r="O556" s="10">
        <f>N556*L556</f>
        <v/>
      </c>
      <c r="P556" s="10">
        <f>M556-O556</f>
        <v/>
      </c>
      <c r="Q556" s="11" t="inlineStr">
        <is>
          <t>Yes</t>
        </is>
      </c>
      <c r="R556" s="11" t="n">
        <v>1</v>
      </c>
      <c r="S556" s="10">
        <f>M556-(R556*K556)</f>
        <v/>
      </c>
      <c r="T556" s="12">
        <f>VLOOKUP(E556,Dim_Product!$A$2:$Q$61,3,FALSE)</f>
        <v/>
      </c>
      <c r="U556" s="12">
        <f>VLOOKUP(E556,Dim_Product!$A$2:$Q$61,4,FALSE)</f>
        <v/>
      </c>
      <c r="V556" s="12">
        <f>VLOOKUP(D556,Dim_Customer!$A$2:$I$121,6,FALSE)</f>
        <v/>
      </c>
      <c r="W556" s="12">
        <f>VLOOKUP(G556,Dim_Channel!$A$2:$B$5,2,FALSE)</f>
        <v/>
      </c>
      <c r="X556" s="12">
        <f>VLOOKUP(H556,Dim_Promotion!$A$2:$G$11,2,FALSE)</f>
        <v/>
      </c>
    </row>
    <row r="557">
      <c r="A557" s="4" t="inlineStr">
        <is>
          <t>SL0556</t>
        </is>
      </c>
      <c r="B557" t="inlineStr">
        <is>
          <t>O010278</t>
        </is>
      </c>
      <c r="C557" t="n">
        <v>20250610</v>
      </c>
      <c r="D557" s="4" t="inlineStr">
        <is>
          <t>C089</t>
        </is>
      </c>
      <c r="E557" s="4" t="inlineStr">
        <is>
          <t>P035</t>
        </is>
      </c>
      <c r="F557" t="inlineStr">
        <is>
          <t>L</t>
        </is>
      </c>
      <c r="G557" s="4" t="inlineStr">
        <is>
          <t>CH03</t>
        </is>
      </c>
      <c r="H557" s="4" t="inlineStr">
        <is>
          <t>PR00</t>
        </is>
      </c>
      <c r="I557" s="8" t="n">
        <v>86</v>
      </c>
      <c r="J557" s="9" t="n">
        <v>0</v>
      </c>
      <c r="K557" s="10">
        <f>I557*(1-J557)</f>
        <v/>
      </c>
      <c r="L557" s="11" t="n">
        <v>2</v>
      </c>
      <c r="M557" s="10">
        <f>K557*L557</f>
        <v/>
      </c>
      <c r="N557" s="8" t="n">
        <v>44.37</v>
      </c>
      <c r="O557" s="10">
        <f>N557*L557</f>
        <v/>
      </c>
      <c r="P557" s="10">
        <f>M557-O557</f>
        <v/>
      </c>
      <c r="Q557" s="11" t="inlineStr">
        <is>
          <t>No</t>
        </is>
      </c>
      <c r="R557" s="11" t="n">
        <v>0</v>
      </c>
      <c r="S557" s="10">
        <f>M557-(R557*K557)</f>
        <v/>
      </c>
      <c r="T557" s="12">
        <f>VLOOKUP(E557,Dim_Product!$A$2:$Q$61,3,FALSE)</f>
        <v/>
      </c>
      <c r="U557" s="12">
        <f>VLOOKUP(E557,Dim_Product!$A$2:$Q$61,4,FALSE)</f>
        <v/>
      </c>
      <c r="V557" s="12">
        <f>VLOOKUP(D557,Dim_Customer!$A$2:$I$121,6,FALSE)</f>
        <v/>
      </c>
      <c r="W557" s="12">
        <f>VLOOKUP(G557,Dim_Channel!$A$2:$B$5,2,FALSE)</f>
        <v/>
      </c>
      <c r="X557" s="12">
        <f>VLOOKUP(H557,Dim_Promotion!$A$2:$G$11,2,FALSE)</f>
        <v/>
      </c>
    </row>
    <row r="558">
      <c r="A558" s="4" t="inlineStr">
        <is>
          <t>SL0557</t>
        </is>
      </c>
      <c r="B558" t="inlineStr">
        <is>
          <t>O010279</t>
        </is>
      </c>
      <c r="C558" t="n">
        <v>20250421</v>
      </c>
      <c r="D558" s="4" t="inlineStr">
        <is>
          <t>C057</t>
        </is>
      </c>
      <c r="E558" s="4" t="inlineStr">
        <is>
          <t>P021</t>
        </is>
      </c>
      <c r="F558" t="inlineStr">
        <is>
          <t>S</t>
        </is>
      </c>
      <c r="G558" s="4" t="inlineStr">
        <is>
          <t>CH04</t>
        </is>
      </c>
      <c r="H558" s="4" t="inlineStr">
        <is>
          <t>PR00</t>
        </is>
      </c>
      <c r="I558" s="8" t="n">
        <v>52</v>
      </c>
      <c r="J558" s="9" t="n">
        <v>0</v>
      </c>
      <c r="K558" s="10">
        <f>I558*(1-J558)</f>
        <v/>
      </c>
      <c r="L558" s="11" t="n">
        <v>1</v>
      </c>
      <c r="M558" s="10">
        <f>K558*L558</f>
        <v/>
      </c>
      <c r="N558" s="8" t="n">
        <v>29.1</v>
      </c>
      <c r="O558" s="10">
        <f>N558*L558</f>
        <v/>
      </c>
      <c r="P558" s="10">
        <f>M558-O558</f>
        <v/>
      </c>
      <c r="Q558" s="11" t="inlineStr">
        <is>
          <t>No</t>
        </is>
      </c>
      <c r="R558" s="11" t="n">
        <v>0</v>
      </c>
      <c r="S558" s="10">
        <f>M558-(R558*K558)</f>
        <v/>
      </c>
      <c r="T558" s="12">
        <f>VLOOKUP(E558,Dim_Product!$A$2:$Q$61,3,FALSE)</f>
        <v/>
      </c>
      <c r="U558" s="12">
        <f>VLOOKUP(E558,Dim_Product!$A$2:$Q$61,4,FALSE)</f>
        <v/>
      </c>
      <c r="V558" s="12">
        <f>VLOOKUP(D558,Dim_Customer!$A$2:$I$121,6,FALSE)</f>
        <v/>
      </c>
      <c r="W558" s="12">
        <f>VLOOKUP(G558,Dim_Channel!$A$2:$B$5,2,FALSE)</f>
        <v/>
      </c>
      <c r="X558" s="12">
        <f>VLOOKUP(H558,Dim_Promotion!$A$2:$G$11,2,FALSE)</f>
        <v/>
      </c>
    </row>
    <row r="559">
      <c r="A559" s="4" t="inlineStr">
        <is>
          <t>SL0558</t>
        </is>
      </c>
      <c r="B559" t="inlineStr">
        <is>
          <t>O010279</t>
        </is>
      </c>
      <c r="C559" t="n">
        <v>20250904</v>
      </c>
      <c r="D559" s="4" t="inlineStr">
        <is>
          <t>C102</t>
        </is>
      </c>
      <c r="E559" s="4" t="inlineStr">
        <is>
          <t>P035</t>
        </is>
      </c>
      <c r="F559" t="inlineStr">
        <is>
          <t>XXL</t>
        </is>
      </c>
      <c r="G559" s="4" t="inlineStr">
        <is>
          <t>CH03</t>
        </is>
      </c>
      <c r="H559" s="4" t="inlineStr">
        <is>
          <t>PR00</t>
        </is>
      </c>
      <c r="I559" s="8" t="n">
        <v>88</v>
      </c>
      <c r="J559" s="9" t="n">
        <v>0</v>
      </c>
      <c r="K559" s="10">
        <f>I559*(1-J559)</f>
        <v/>
      </c>
      <c r="L559" s="11" t="n">
        <v>1</v>
      </c>
      <c r="M559" s="10">
        <f>K559*L559</f>
        <v/>
      </c>
      <c r="N559" s="8" t="n">
        <v>42.3</v>
      </c>
      <c r="O559" s="10">
        <f>N559*L559</f>
        <v/>
      </c>
      <c r="P559" s="10">
        <f>M559-O559</f>
        <v/>
      </c>
      <c r="Q559" s="11" t="inlineStr">
        <is>
          <t>No</t>
        </is>
      </c>
      <c r="R559" s="11" t="n">
        <v>0</v>
      </c>
      <c r="S559" s="10">
        <f>M559-(R559*K559)</f>
        <v/>
      </c>
      <c r="T559" s="12">
        <f>VLOOKUP(E559,Dim_Product!$A$2:$Q$61,3,FALSE)</f>
        <v/>
      </c>
      <c r="U559" s="12">
        <f>VLOOKUP(E559,Dim_Product!$A$2:$Q$61,4,FALSE)</f>
        <v/>
      </c>
      <c r="V559" s="12">
        <f>VLOOKUP(D559,Dim_Customer!$A$2:$I$121,6,FALSE)</f>
        <v/>
      </c>
      <c r="W559" s="12">
        <f>VLOOKUP(G559,Dim_Channel!$A$2:$B$5,2,FALSE)</f>
        <v/>
      </c>
      <c r="X559" s="12">
        <f>VLOOKUP(H559,Dim_Promotion!$A$2:$G$11,2,FALSE)</f>
        <v/>
      </c>
    </row>
    <row r="560">
      <c r="A560" s="4" t="inlineStr">
        <is>
          <t>SL0559</t>
        </is>
      </c>
      <c r="B560" t="inlineStr">
        <is>
          <t>O010280</t>
        </is>
      </c>
      <c r="C560" t="n">
        <v>20251106</v>
      </c>
      <c r="D560" s="4" t="inlineStr">
        <is>
          <t>C052</t>
        </is>
      </c>
      <c r="E560" s="4" t="inlineStr">
        <is>
          <t>P048</t>
        </is>
      </c>
      <c r="F560" t="inlineStr">
        <is>
          <t>M</t>
        </is>
      </c>
      <c r="G560" s="4" t="inlineStr">
        <is>
          <t>CH02</t>
        </is>
      </c>
      <c r="H560" s="4" t="inlineStr">
        <is>
          <t>PR00</t>
        </is>
      </c>
      <c r="I560" s="8" t="n">
        <v>69</v>
      </c>
      <c r="J560" s="9" t="n">
        <v>0</v>
      </c>
      <c r="K560" s="10">
        <f>I560*(1-J560)</f>
        <v/>
      </c>
      <c r="L560" s="11" t="n">
        <v>1</v>
      </c>
      <c r="M560" s="10">
        <f>K560*L560</f>
        <v/>
      </c>
      <c r="N560" s="8" t="n">
        <v>34</v>
      </c>
      <c r="O560" s="10">
        <f>N560*L560</f>
        <v/>
      </c>
      <c r="P560" s="10">
        <f>M560-O560</f>
        <v/>
      </c>
      <c r="Q560" s="11" t="inlineStr">
        <is>
          <t>No</t>
        </is>
      </c>
      <c r="R560" s="11" t="n">
        <v>0</v>
      </c>
      <c r="S560" s="10">
        <f>M560-(R560*K560)</f>
        <v/>
      </c>
      <c r="T560" s="12">
        <f>VLOOKUP(E560,Dim_Product!$A$2:$Q$61,3,FALSE)</f>
        <v/>
      </c>
      <c r="U560" s="12">
        <f>VLOOKUP(E560,Dim_Product!$A$2:$Q$61,4,FALSE)</f>
        <v/>
      </c>
      <c r="V560" s="12">
        <f>VLOOKUP(D560,Dim_Customer!$A$2:$I$121,6,FALSE)</f>
        <v/>
      </c>
      <c r="W560" s="12">
        <f>VLOOKUP(G560,Dim_Channel!$A$2:$B$5,2,FALSE)</f>
        <v/>
      </c>
      <c r="X560" s="12">
        <f>VLOOKUP(H560,Dim_Promotion!$A$2:$G$11,2,FALSE)</f>
        <v/>
      </c>
    </row>
    <row r="561">
      <c r="A561" s="4" t="inlineStr">
        <is>
          <t>SL0560</t>
        </is>
      </c>
      <c r="B561" t="inlineStr">
        <is>
          <t>O010280</t>
        </is>
      </c>
      <c r="C561" t="n">
        <v>20251121</v>
      </c>
      <c r="D561" s="4" t="inlineStr">
        <is>
          <t>C016</t>
        </is>
      </c>
      <c r="E561" s="4" t="inlineStr">
        <is>
          <t>P044</t>
        </is>
      </c>
      <c r="F561" t="inlineStr">
        <is>
          <t>M</t>
        </is>
      </c>
      <c r="G561" s="4" t="inlineStr">
        <is>
          <t>CH01</t>
        </is>
      </c>
      <c r="H561" s="4" t="inlineStr">
        <is>
          <t>PR00</t>
        </is>
      </c>
      <c r="I561" s="8" t="n">
        <v>76</v>
      </c>
      <c r="J561" s="9" t="n">
        <v>0</v>
      </c>
      <c r="K561" s="10">
        <f>I561*(1-J561)</f>
        <v/>
      </c>
      <c r="L561" s="11" t="n">
        <v>1</v>
      </c>
      <c r="M561" s="10">
        <f>K561*L561</f>
        <v/>
      </c>
      <c r="N561" s="8" t="n">
        <v>35.98</v>
      </c>
      <c r="O561" s="10">
        <f>N561*L561</f>
        <v/>
      </c>
      <c r="P561" s="10">
        <f>M561-O561</f>
        <v/>
      </c>
      <c r="Q561" s="11" t="inlineStr">
        <is>
          <t>No</t>
        </is>
      </c>
      <c r="R561" s="11" t="n">
        <v>0</v>
      </c>
      <c r="S561" s="10">
        <f>M561-(R561*K561)</f>
        <v/>
      </c>
      <c r="T561" s="12">
        <f>VLOOKUP(E561,Dim_Product!$A$2:$Q$61,3,FALSE)</f>
        <v/>
      </c>
      <c r="U561" s="12">
        <f>VLOOKUP(E561,Dim_Product!$A$2:$Q$61,4,FALSE)</f>
        <v/>
      </c>
      <c r="V561" s="12">
        <f>VLOOKUP(D561,Dim_Customer!$A$2:$I$121,6,FALSE)</f>
        <v/>
      </c>
      <c r="W561" s="12">
        <f>VLOOKUP(G561,Dim_Channel!$A$2:$B$5,2,FALSE)</f>
        <v/>
      </c>
      <c r="X561" s="12">
        <f>VLOOKUP(H561,Dim_Promotion!$A$2:$G$11,2,FALSE)</f>
        <v/>
      </c>
    </row>
    <row r="562">
      <c r="A562" s="4" t="inlineStr">
        <is>
          <t>SL0561</t>
        </is>
      </c>
      <c r="B562" t="inlineStr">
        <is>
          <t>O010281</t>
        </is>
      </c>
      <c r="C562" t="n">
        <v>20250307</v>
      </c>
      <c r="D562" s="4" t="inlineStr">
        <is>
          <t>C084</t>
        </is>
      </c>
      <c r="E562" s="4" t="inlineStr">
        <is>
          <t>P009</t>
        </is>
      </c>
      <c r="F562" t="inlineStr">
        <is>
          <t>XL</t>
        </is>
      </c>
      <c r="G562" s="4" t="inlineStr">
        <is>
          <t>CH01</t>
        </is>
      </c>
      <c r="H562" s="4" t="inlineStr">
        <is>
          <t>PR03</t>
        </is>
      </c>
      <c r="I562" s="8" t="n">
        <v>50</v>
      </c>
      <c r="J562" s="9" t="n">
        <v>0.08</v>
      </c>
      <c r="K562" s="10">
        <f>I562*(1-J562)</f>
        <v/>
      </c>
      <c r="L562" s="11" t="n">
        <v>1</v>
      </c>
      <c r="M562" s="10">
        <f>K562*L562</f>
        <v/>
      </c>
      <c r="N562" s="8" t="n">
        <v>19.72</v>
      </c>
      <c r="O562" s="10">
        <f>N562*L562</f>
        <v/>
      </c>
      <c r="P562" s="10">
        <f>M562-O562</f>
        <v/>
      </c>
      <c r="Q562" s="11" t="inlineStr">
        <is>
          <t>No</t>
        </is>
      </c>
      <c r="R562" s="11" t="n">
        <v>0</v>
      </c>
      <c r="S562" s="10">
        <f>M562-(R562*K562)</f>
        <v/>
      </c>
      <c r="T562" s="12">
        <f>VLOOKUP(E562,Dim_Product!$A$2:$Q$61,3,FALSE)</f>
        <v/>
      </c>
      <c r="U562" s="12">
        <f>VLOOKUP(E562,Dim_Product!$A$2:$Q$61,4,FALSE)</f>
        <v/>
      </c>
      <c r="V562" s="12">
        <f>VLOOKUP(D562,Dim_Customer!$A$2:$I$121,6,FALSE)</f>
        <v/>
      </c>
      <c r="W562" s="12">
        <f>VLOOKUP(G562,Dim_Channel!$A$2:$B$5,2,FALSE)</f>
        <v/>
      </c>
      <c r="X562" s="12">
        <f>VLOOKUP(H562,Dim_Promotion!$A$2:$G$11,2,FALSE)</f>
        <v/>
      </c>
    </row>
    <row r="563">
      <c r="A563" s="4" t="inlineStr">
        <is>
          <t>SL0562</t>
        </is>
      </c>
      <c r="B563" t="inlineStr">
        <is>
          <t>O010281</t>
        </is>
      </c>
      <c r="C563" t="n">
        <v>20251222</v>
      </c>
      <c r="D563" s="4" t="inlineStr">
        <is>
          <t>C001</t>
        </is>
      </c>
      <c r="E563" s="4" t="inlineStr">
        <is>
          <t>P014</t>
        </is>
      </c>
      <c r="F563" t="inlineStr">
        <is>
          <t>XL</t>
        </is>
      </c>
      <c r="G563" s="4" t="inlineStr">
        <is>
          <t>CH04</t>
        </is>
      </c>
      <c r="H563" s="4" t="inlineStr">
        <is>
          <t>PR00</t>
        </is>
      </c>
      <c r="I563" s="8" t="n">
        <v>60</v>
      </c>
      <c r="J563" s="9" t="n">
        <v>0</v>
      </c>
      <c r="K563" s="10">
        <f>I563*(1-J563)</f>
        <v/>
      </c>
      <c r="L563" s="11" t="n">
        <v>1</v>
      </c>
      <c r="M563" s="10">
        <f>K563*L563</f>
        <v/>
      </c>
      <c r="N563" s="8" t="n">
        <v>27.59</v>
      </c>
      <c r="O563" s="10">
        <f>N563*L563</f>
        <v/>
      </c>
      <c r="P563" s="10">
        <f>M563-O563</f>
        <v/>
      </c>
      <c r="Q563" s="11" t="inlineStr">
        <is>
          <t>No</t>
        </is>
      </c>
      <c r="R563" s="11" t="n">
        <v>0</v>
      </c>
      <c r="S563" s="10">
        <f>M563-(R563*K563)</f>
        <v/>
      </c>
      <c r="T563" s="12">
        <f>VLOOKUP(E563,Dim_Product!$A$2:$Q$61,3,FALSE)</f>
        <v/>
      </c>
      <c r="U563" s="12">
        <f>VLOOKUP(E563,Dim_Product!$A$2:$Q$61,4,FALSE)</f>
        <v/>
      </c>
      <c r="V563" s="12">
        <f>VLOOKUP(D563,Dim_Customer!$A$2:$I$121,6,FALSE)</f>
        <v/>
      </c>
      <c r="W563" s="12">
        <f>VLOOKUP(G563,Dim_Channel!$A$2:$B$5,2,FALSE)</f>
        <v/>
      </c>
      <c r="X563" s="12">
        <f>VLOOKUP(H563,Dim_Promotion!$A$2:$G$11,2,FALSE)</f>
        <v/>
      </c>
    </row>
    <row r="564">
      <c r="A564" s="4" t="inlineStr">
        <is>
          <t>SL0563</t>
        </is>
      </c>
      <c r="B564" t="inlineStr">
        <is>
          <t>O010282</t>
        </is>
      </c>
      <c r="C564" t="n">
        <v>20251212</v>
      </c>
      <c r="D564" s="4" t="inlineStr">
        <is>
          <t>C078</t>
        </is>
      </c>
      <c r="E564" s="4" t="inlineStr">
        <is>
          <t>P031</t>
        </is>
      </c>
      <c r="F564" t="inlineStr">
        <is>
          <t>XS</t>
        </is>
      </c>
      <c r="G564" s="4" t="inlineStr">
        <is>
          <t>CH03</t>
        </is>
      </c>
      <c r="H564" s="4" t="inlineStr">
        <is>
          <t>PR00</t>
        </is>
      </c>
      <c r="I564" s="8" t="n">
        <v>112</v>
      </c>
      <c r="J564" s="9" t="n">
        <v>0</v>
      </c>
      <c r="K564" s="10">
        <f>I564*(1-J564)</f>
        <v/>
      </c>
      <c r="L564" s="11" t="n">
        <v>1</v>
      </c>
      <c r="M564" s="10">
        <f>K564*L564</f>
        <v/>
      </c>
      <c r="N564" s="8" t="n">
        <v>56.73</v>
      </c>
      <c r="O564" s="10">
        <f>N564*L564</f>
        <v/>
      </c>
      <c r="P564" s="10">
        <f>M564-O564</f>
        <v/>
      </c>
      <c r="Q564" s="11" t="inlineStr">
        <is>
          <t>No</t>
        </is>
      </c>
      <c r="R564" s="11" t="n">
        <v>0</v>
      </c>
      <c r="S564" s="10">
        <f>M564-(R564*K564)</f>
        <v/>
      </c>
      <c r="T564" s="12">
        <f>VLOOKUP(E564,Dim_Product!$A$2:$Q$61,3,FALSE)</f>
        <v/>
      </c>
      <c r="U564" s="12">
        <f>VLOOKUP(E564,Dim_Product!$A$2:$Q$61,4,FALSE)</f>
        <v/>
      </c>
      <c r="V564" s="12">
        <f>VLOOKUP(D564,Dim_Customer!$A$2:$I$121,6,FALSE)</f>
        <v/>
      </c>
      <c r="W564" s="12">
        <f>VLOOKUP(G564,Dim_Channel!$A$2:$B$5,2,FALSE)</f>
        <v/>
      </c>
      <c r="X564" s="12">
        <f>VLOOKUP(H564,Dim_Promotion!$A$2:$G$11,2,FALSE)</f>
        <v/>
      </c>
    </row>
    <row r="565">
      <c r="A565" s="4" t="inlineStr">
        <is>
          <t>SL0564</t>
        </is>
      </c>
      <c r="B565" t="inlineStr">
        <is>
          <t>O010282</t>
        </is>
      </c>
      <c r="C565" t="n">
        <v>20250318</v>
      </c>
      <c r="D565" s="4" t="inlineStr">
        <is>
          <t>C028</t>
        </is>
      </c>
      <c r="E565" s="4" t="inlineStr">
        <is>
          <t>P034</t>
        </is>
      </c>
      <c r="F565" t="inlineStr">
        <is>
          <t>L</t>
        </is>
      </c>
      <c r="G565" s="4" t="inlineStr">
        <is>
          <t>CH01</t>
        </is>
      </c>
      <c r="H565" s="4" t="inlineStr">
        <is>
          <t>PR00</t>
        </is>
      </c>
      <c r="I565" s="8" t="n">
        <v>90</v>
      </c>
      <c r="J565" s="9" t="n">
        <v>0</v>
      </c>
      <c r="K565" s="10">
        <f>I565*(1-J565)</f>
        <v/>
      </c>
      <c r="L565" s="11" t="n">
        <v>1</v>
      </c>
      <c r="M565" s="10">
        <f>K565*L565</f>
        <v/>
      </c>
      <c r="N565" s="8" t="n">
        <v>43.34</v>
      </c>
      <c r="O565" s="10">
        <f>N565*L565</f>
        <v/>
      </c>
      <c r="P565" s="10">
        <f>M565-O565</f>
        <v/>
      </c>
      <c r="Q565" s="11" t="inlineStr">
        <is>
          <t>No</t>
        </is>
      </c>
      <c r="R565" s="11" t="n">
        <v>0</v>
      </c>
      <c r="S565" s="10">
        <f>M565-(R565*K565)</f>
        <v/>
      </c>
      <c r="T565" s="12">
        <f>VLOOKUP(E565,Dim_Product!$A$2:$Q$61,3,FALSE)</f>
        <v/>
      </c>
      <c r="U565" s="12">
        <f>VLOOKUP(E565,Dim_Product!$A$2:$Q$61,4,FALSE)</f>
        <v/>
      </c>
      <c r="V565" s="12">
        <f>VLOOKUP(D565,Dim_Customer!$A$2:$I$121,6,FALSE)</f>
        <v/>
      </c>
      <c r="W565" s="12">
        <f>VLOOKUP(G565,Dim_Channel!$A$2:$B$5,2,FALSE)</f>
        <v/>
      </c>
      <c r="X565" s="12">
        <f>VLOOKUP(H565,Dim_Promotion!$A$2:$G$11,2,FALSE)</f>
        <v/>
      </c>
    </row>
    <row r="566">
      <c r="A566" s="4" t="inlineStr">
        <is>
          <t>SL0565</t>
        </is>
      </c>
      <c r="B566" t="inlineStr">
        <is>
          <t>O010283</t>
        </is>
      </c>
      <c r="C566" t="n">
        <v>20250623</v>
      </c>
      <c r="D566" s="4" t="inlineStr">
        <is>
          <t>C019</t>
        </is>
      </c>
      <c r="E566" s="4" t="inlineStr">
        <is>
          <t>P031</t>
        </is>
      </c>
      <c r="F566" t="inlineStr">
        <is>
          <t>M</t>
        </is>
      </c>
      <c r="G566" s="4" t="inlineStr">
        <is>
          <t>CH04</t>
        </is>
      </c>
      <c r="H566" s="4" t="inlineStr">
        <is>
          <t>PR05</t>
        </is>
      </c>
      <c r="I566" s="8" t="n">
        <v>112</v>
      </c>
      <c r="J566" s="9" t="n">
        <v>0.2</v>
      </c>
      <c r="K566" s="10">
        <f>I566*(1-J566)</f>
        <v/>
      </c>
      <c r="L566" s="11" t="n">
        <v>1</v>
      </c>
      <c r="M566" s="10">
        <f>K566*L566</f>
        <v/>
      </c>
      <c r="N566" s="8" t="n">
        <v>55.76</v>
      </c>
      <c r="O566" s="10">
        <f>N566*L566</f>
        <v/>
      </c>
      <c r="P566" s="10">
        <f>M566-O566</f>
        <v/>
      </c>
      <c r="Q566" s="11" t="inlineStr">
        <is>
          <t>No</t>
        </is>
      </c>
      <c r="R566" s="11" t="n">
        <v>0</v>
      </c>
      <c r="S566" s="10">
        <f>M566-(R566*K566)</f>
        <v/>
      </c>
      <c r="T566" s="12">
        <f>VLOOKUP(E566,Dim_Product!$A$2:$Q$61,3,FALSE)</f>
        <v/>
      </c>
      <c r="U566" s="12">
        <f>VLOOKUP(E566,Dim_Product!$A$2:$Q$61,4,FALSE)</f>
        <v/>
      </c>
      <c r="V566" s="12">
        <f>VLOOKUP(D566,Dim_Customer!$A$2:$I$121,6,FALSE)</f>
        <v/>
      </c>
      <c r="W566" s="12">
        <f>VLOOKUP(G566,Dim_Channel!$A$2:$B$5,2,FALSE)</f>
        <v/>
      </c>
      <c r="X566" s="12">
        <f>VLOOKUP(H566,Dim_Promotion!$A$2:$G$11,2,FALSE)</f>
        <v/>
      </c>
    </row>
    <row r="567">
      <c r="A567" s="4" t="inlineStr">
        <is>
          <t>SL0566</t>
        </is>
      </c>
      <c r="B567" t="inlineStr">
        <is>
          <t>O010283</t>
        </is>
      </c>
      <c r="C567" t="n">
        <v>20250706</v>
      </c>
      <c r="D567" s="4" t="inlineStr">
        <is>
          <t>C054</t>
        </is>
      </c>
      <c r="E567" s="4" t="inlineStr">
        <is>
          <t>P048</t>
        </is>
      </c>
      <c r="F567" t="inlineStr">
        <is>
          <t>L</t>
        </is>
      </c>
      <c r="G567" s="4" t="inlineStr">
        <is>
          <t>CH01</t>
        </is>
      </c>
      <c r="H567" s="4" t="inlineStr">
        <is>
          <t>PR00</t>
        </is>
      </c>
      <c r="I567" s="8" t="n">
        <v>68</v>
      </c>
      <c r="J567" s="9" t="n">
        <v>0</v>
      </c>
      <c r="K567" s="10">
        <f>I567*(1-J567)</f>
        <v/>
      </c>
      <c r="L567" s="11" t="n">
        <v>1</v>
      </c>
      <c r="M567" s="10">
        <f>K567*L567</f>
        <v/>
      </c>
      <c r="N567" s="8" t="n">
        <v>32.56</v>
      </c>
      <c r="O567" s="10">
        <f>N567*L567</f>
        <v/>
      </c>
      <c r="P567" s="10">
        <f>M567-O567</f>
        <v/>
      </c>
      <c r="Q567" s="11" t="inlineStr">
        <is>
          <t>No</t>
        </is>
      </c>
      <c r="R567" s="11" t="n">
        <v>0</v>
      </c>
      <c r="S567" s="10">
        <f>M567-(R567*K567)</f>
        <v/>
      </c>
      <c r="T567" s="12">
        <f>VLOOKUP(E567,Dim_Product!$A$2:$Q$61,3,FALSE)</f>
        <v/>
      </c>
      <c r="U567" s="12">
        <f>VLOOKUP(E567,Dim_Product!$A$2:$Q$61,4,FALSE)</f>
        <v/>
      </c>
      <c r="V567" s="12">
        <f>VLOOKUP(D567,Dim_Customer!$A$2:$I$121,6,FALSE)</f>
        <v/>
      </c>
      <c r="W567" s="12">
        <f>VLOOKUP(G567,Dim_Channel!$A$2:$B$5,2,FALSE)</f>
        <v/>
      </c>
      <c r="X567" s="12">
        <f>VLOOKUP(H567,Dim_Promotion!$A$2:$G$11,2,FALSE)</f>
        <v/>
      </c>
    </row>
    <row r="568">
      <c r="A568" s="4" t="inlineStr">
        <is>
          <t>SL0567</t>
        </is>
      </c>
      <c r="B568" t="inlineStr">
        <is>
          <t>O010284</t>
        </is>
      </c>
      <c r="C568" t="n">
        <v>20250121</v>
      </c>
      <c r="D568" s="4" t="inlineStr">
        <is>
          <t>C012</t>
        </is>
      </c>
      <c r="E568" s="4" t="inlineStr">
        <is>
          <t>P020</t>
        </is>
      </c>
      <c r="F568" t="inlineStr">
        <is>
          <t>S</t>
        </is>
      </c>
      <c r="G568" s="4" t="inlineStr">
        <is>
          <t>CH04</t>
        </is>
      </c>
      <c r="H568" s="4" t="inlineStr">
        <is>
          <t>PR00</t>
        </is>
      </c>
      <c r="I568" s="8" t="n">
        <v>64</v>
      </c>
      <c r="J568" s="9" t="n">
        <v>0.08</v>
      </c>
      <c r="K568" s="10">
        <f>I568*(1-J568)</f>
        <v/>
      </c>
      <c r="L568" s="11" t="n">
        <v>1</v>
      </c>
      <c r="M568" s="10">
        <f>K568*L568</f>
        <v/>
      </c>
      <c r="N568" s="8" t="n">
        <v>29.59</v>
      </c>
      <c r="O568" s="10">
        <f>N568*L568</f>
        <v/>
      </c>
      <c r="P568" s="10">
        <f>M568-O568</f>
        <v/>
      </c>
      <c r="Q568" s="11" t="inlineStr">
        <is>
          <t>No</t>
        </is>
      </c>
      <c r="R568" s="11" t="n">
        <v>0</v>
      </c>
      <c r="S568" s="10">
        <f>M568-(R568*K568)</f>
        <v/>
      </c>
      <c r="T568" s="12">
        <f>VLOOKUP(E568,Dim_Product!$A$2:$Q$61,3,FALSE)</f>
        <v/>
      </c>
      <c r="U568" s="12">
        <f>VLOOKUP(E568,Dim_Product!$A$2:$Q$61,4,FALSE)</f>
        <v/>
      </c>
      <c r="V568" s="12">
        <f>VLOOKUP(D568,Dim_Customer!$A$2:$I$121,6,FALSE)</f>
        <v/>
      </c>
      <c r="W568" s="12">
        <f>VLOOKUP(G568,Dim_Channel!$A$2:$B$5,2,FALSE)</f>
        <v/>
      </c>
      <c r="X568" s="12">
        <f>VLOOKUP(H568,Dim_Promotion!$A$2:$G$11,2,FALSE)</f>
        <v/>
      </c>
    </row>
    <row r="569">
      <c r="A569" s="4" t="inlineStr">
        <is>
          <t>SL0568</t>
        </is>
      </c>
      <c r="B569" t="inlineStr">
        <is>
          <t>O010284</t>
        </is>
      </c>
      <c r="C569" t="n">
        <v>20250324</v>
      </c>
      <c r="D569" s="4" t="inlineStr">
        <is>
          <t>C113</t>
        </is>
      </c>
      <c r="E569" s="4" t="inlineStr">
        <is>
          <t>P028</t>
        </is>
      </c>
      <c r="F569" t="inlineStr">
        <is>
          <t>L</t>
        </is>
      </c>
      <c r="G569" s="4" t="inlineStr">
        <is>
          <t>CH04</t>
        </is>
      </c>
      <c r="H569" s="4" t="inlineStr">
        <is>
          <t>PR00</t>
        </is>
      </c>
      <c r="I569" s="8" t="n">
        <v>95</v>
      </c>
      <c r="J569" s="9" t="n">
        <v>0</v>
      </c>
      <c r="K569" s="10">
        <f>I569*(1-J569)</f>
        <v/>
      </c>
      <c r="L569" s="11" t="n">
        <v>1</v>
      </c>
      <c r="M569" s="10">
        <f>K569*L569</f>
        <v/>
      </c>
      <c r="N569" s="8" t="n">
        <v>49.77</v>
      </c>
      <c r="O569" s="10">
        <f>N569*L569</f>
        <v/>
      </c>
      <c r="P569" s="10">
        <f>M569-O569</f>
        <v/>
      </c>
      <c r="Q569" s="11" t="inlineStr">
        <is>
          <t>No</t>
        </is>
      </c>
      <c r="R569" s="11" t="n">
        <v>0</v>
      </c>
      <c r="S569" s="10">
        <f>M569-(R569*K569)</f>
        <v/>
      </c>
      <c r="T569" s="12">
        <f>VLOOKUP(E569,Dim_Product!$A$2:$Q$61,3,FALSE)</f>
        <v/>
      </c>
      <c r="U569" s="12">
        <f>VLOOKUP(E569,Dim_Product!$A$2:$Q$61,4,FALSE)</f>
        <v/>
      </c>
      <c r="V569" s="12">
        <f>VLOOKUP(D569,Dim_Customer!$A$2:$I$121,6,FALSE)</f>
        <v/>
      </c>
      <c r="W569" s="12">
        <f>VLOOKUP(G569,Dim_Channel!$A$2:$B$5,2,FALSE)</f>
        <v/>
      </c>
      <c r="X569" s="12">
        <f>VLOOKUP(H569,Dim_Promotion!$A$2:$G$11,2,FALSE)</f>
        <v/>
      </c>
    </row>
    <row r="570">
      <c r="A570" s="4" t="inlineStr">
        <is>
          <t>SL0569</t>
        </is>
      </c>
      <c r="B570" t="inlineStr">
        <is>
          <t>O010285</t>
        </is>
      </c>
      <c r="C570" t="n">
        <v>20250524</v>
      </c>
      <c r="D570" s="4" t="inlineStr">
        <is>
          <t>C087</t>
        </is>
      </c>
      <c r="E570" s="4" t="inlineStr">
        <is>
          <t>P027</t>
        </is>
      </c>
      <c r="F570" t="inlineStr">
        <is>
          <t>S</t>
        </is>
      </c>
      <c r="G570" s="4" t="inlineStr">
        <is>
          <t>CH02</t>
        </is>
      </c>
      <c r="H570" s="4" t="inlineStr">
        <is>
          <t>PR00</t>
        </is>
      </c>
      <c r="I570" s="8" t="n">
        <v>93</v>
      </c>
      <c r="J570" s="9" t="n">
        <v>0</v>
      </c>
      <c r="K570" s="10">
        <f>I570*(1-J570)</f>
        <v/>
      </c>
      <c r="L570" s="11" t="n">
        <v>1</v>
      </c>
      <c r="M570" s="10">
        <f>K570*L570</f>
        <v/>
      </c>
      <c r="N570" s="8" t="n">
        <v>44.82</v>
      </c>
      <c r="O570" s="10">
        <f>N570*L570</f>
        <v/>
      </c>
      <c r="P570" s="10">
        <f>M570-O570</f>
        <v/>
      </c>
      <c r="Q570" s="11" t="inlineStr">
        <is>
          <t>No</t>
        </is>
      </c>
      <c r="R570" s="11" t="n">
        <v>0</v>
      </c>
      <c r="S570" s="10">
        <f>M570-(R570*K570)</f>
        <v/>
      </c>
      <c r="T570" s="12">
        <f>VLOOKUP(E570,Dim_Product!$A$2:$Q$61,3,FALSE)</f>
        <v/>
      </c>
      <c r="U570" s="12">
        <f>VLOOKUP(E570,Dim_Product!$A$2:$Q$61,4,FALSE)</f>
        <v/>
      </c>
      <c r="V570" s="12">
        <f>VLOOKUP(D570,Dim_Customer!$A$2:$I$121,6,FALSE)</f>
        <v/>
      </c>
      <c r="W570" s="12">
        <f>VLOOKUP(G570,Dim_Channel!$A$2:$B$5,2,FALSE)</f>
        <v/>
      </c>
      <c r="X570" s="12">
        <f>VLOOKUP(H570,Dim_Promotion!$A$2:$G$11,2,FALSE)</f>
        <v/>
      </c>
    </row>
    <row r="571">
      <c r="A571" s="4" t="inlineStr">
        <is>
          <t>SL0570</t>
        </is>
      </c>
      <c r="B571" t="inlineStr">
        <is>
          <t>O010285</t>
        </is>
      </c>
      <c r="C571" t="n">
        <v>20250912</v>
      </c>
      <c r="D571" s="4" t="inlineStr">
        <is>
          <t>C091</t>
        </is>
      </c>
      <c r="E571" s="4" t="inlineStr">
        <is>
          <t>P046</t>
        </is>
      </c>
      <c r="F571" t="inlineStr">
        <is>
          <t>S</t>
        </is>
      </c>
      <c r="G571" s="4" t="inlineStr">
        <is>
          <t>CH02</t>
        </is>
      </c>
      <c r="H571" s="4" t="inlineStr">
        <is>
          <t>PR00</t>
        </is>
      </c>
      <c r="I571" s="8" t="n">
        <v>66</v>
      </c>
      <c r="J571" s="9" t="n">
        <v>0</v>
      </c>
      <c r="K571" s="10">
        <f>I571*(1-J571)</f>
        <v/>
      </c>
      <c r="L571" s="11" t="n">
        <v>2</v>
      </c>
      <c r="M571" s="10">
        <f>K571*L571</f>
        <v/>
      </c>
      <c r="N571" s="8" t="n">
        <v>33.33</v>
      </c>
      <c r="O571" s="10">
        <f>N571*L571</f>
        <v/>
      </c>
      <c r="P571" s="10">
        <f>M571-O571</f>
        <v/>
      </c>
      <c r="Q571" s="11" t="inlineStr">
        <is>
          <t>No</t>
        </is>
      </c>
      <c r="R571" s="11" t="n">
        <v>0</v>
      </c>
      <c r="S571" s="10">
        <f>M571-(R571*K571)</f>
        <v/>
      </c>
      <c r="T571" s="12">
        <f>VLOOKUP(E571,Dim_Product!$A$2:$Q$61,3,FALSE)</f>
        <v/>
      </c>
      <c r="U571" s="12">
        <f>VLOOKUP(E571,Dim_Product!$A$2:$Q$61,4,FALSE)</f>
        <v/>
      </c>
      <c r="V571" s="12">
        <f>VLOOKUP(D571,Dim_Customer!$A$2:$I$121,6,FALSE)</f>
        <v/>
      </c>
      <c r="W571" s="12">
        <f>VLOOKUP(G571,Dim_Channel!$A$2:$B$5,2,FALSE)</f>
        <v/>
      </c>
      <c r="X571" s="12">
        <f>VLOOKUP(H571,Dim_Promotion!$A$2:$G$11,2,FALSE)</f>
        <v/>
      </c>
    </row>
    <row r="572">
      <c r="A572" s="4" t="inlineStr">
        <is>
          <t>SL0571</t>
        </is>
      </c>
      <c r="B572" t="inlineStr">
        <is>
          <t>O010286</t>
        </is>
      </c>
      <c r="C572" t="n">
        <v>20250623</v>
      </c>
      <c r="D572" s="4" t="inlineStr">
        <is>
          <t>C113</t>
        </is>
      </c>
      <c r="E572" s="4" t="inlineStr">
        <is>
          <t>P055</t>
        </is>
      </c>
      <c r="F572" t="inlineStr">
        <is>
          <t>M</t>
        </is>
      </c>
      <c r="G572" s="4" t="inlineStr">
        <is>
          <t>CH01</t>
        </is>
      </c>
      <c r="H572" s="4" t="inlineStr">
        <is>
          <t>PR00</t>
        </is>
      </c>
      <c r="I572" s="8" t="n">
        <v>68</v>
      </c>
      <c r="J572" s="9" t="n">
        <v>0</v>
      </c>
      <c r="K572" s="10">
        <f>I572*(1-J572)</f>
        <v/>
      </c>
      <c r="L572" s="11" t="n">
        <v>1</v>
      </c>
      <c r="M572" s="10">
        <f>K572*L572</f>
        <v/>
      </c>
      <c r="N572" s="8" t="n">
        <v>33.48</v>
      </c>
      <c r="O572" s="10">
        <f>N572*L572</f>
        <v/>
      </c>
      <c r="P572" s="10">
        <f>M572-O572</f>
        <v/>
      </c>
      <c r="Q572" s="11" t="inlineStr">
        <is>
          <t>No</t>
        </is>
      </c>
      <c r="R572" s="11" t="n">
        <v>0</v>
      </c>
      <c r="S572" s="10">
        <f>M572-(R572*K572)</f>
        <v/>
      </c>
      <c r="T572" s="12">
        <f>VLOOKUP(E572,Dim_Product!$A$2:$Q$61,3,FALSE)</f>
        <v/>
      </c>
      <c r="U572" s="12">
        <f>VLOOKUP(E572,Dim_Product!$A$2:$Q$61,4,FALSE)</f>
        <v/>
      </c>
      <c r="V572" s="12">
        <f>VLOOKUP(D572,Dim_Customer!$A$2:$I$121,6,FALSE)</f>
        <v/>
      </c>
      <c r="W572" s="12">
        <f>VLOOKUP(G572,Dim_Channel!$A$2:$B$5,2,FALSE)</f>
        <v/>
      </c>
      <c r="X572" s="12">
        <f>VLOOKUP(H572,Dim_Promotion!$A$2:$G$11,2,FALSE)</f>
        <v/>
      </c>
    </row>
    <row r="573">
      <c r="A573" s="4" t="inlineStr">
        <is>
          <t>SL0572</t>
        </is>
      </c>
      <c r="B573" t="inlineStr">
        <is>
          <t>O010286</t>
        </is>
      </c>
      <c r="C573" t="n">
        <v>20250219</v>
      </c>
      <c r="D573" s="4" t="inlineStr">
        <is>
          <t>C008</t>
        </is>
      </c>
      <c r="E573" s="4" t="inlineStr">
        <is>
          <t>P005</t>
        </is>
      </c>
      <c r="F573" t="inlineStr">
        <is>
          <t>XL</t>
        </is>
      </c>
      <c r="G573" s="4" t="inlineStr">
        <is>
          <t>CH03</t>
        </is>
      </c>
      <c r="H573" s="4" t="inlineStr">
        <is>
          <t>PR00</t>
        </is>
      </c>
      <c r="I573" s="8" t="n">
        <v>53</v>
      </c>
      <c r="J573" s="9" t="n">
        <v>0</v>
      </c>
      <c r="K573" s="10">
        <f>I573*(1-J573)</f>
        <v/>
      </c>
      <c r="L573" s="11" t="n">
        <v>1</v>
      </c>
      <c r="M573" s="10">
        <f>K573*L573</f>
        <v/>
      </c>
      <c r="N573" s="8" t="n">
        <v>20.72</v>
      </c>
      <c r="O573" s="10">
        <f>N573*L573</f>
        <v/>
      </c>
      <c r="P573" s="10">
        <f>M573-O573</f>
        <v/>
      </c>
      <c r="Q573" s="11" t="inlineStr">
        <is>
          <t>No</t>
        </is>
      </c>
      <c r="R573" s="11" t="n">
        <v>0</v>
      </c>
      <c r="S573" s="10">
        <f>M573-(R573*K573)</f>
        <v/>
      </c>
      <c r="T573" s="12">
        <f>VLOOKUP(E573,Dim_Product!$A$2:$Q$61,3,FALSE)</f>
        <v/>
      </c>
      <c r="U573" s="12">
        <f>VLOOKUP(E573,Dim_Product!$A$2:$Q$61,4,FALSE)</f>
        <v/>
      </c>
      <c r="V573" s="12">
        <f>VLOOKUP(D573,Dim_Customer!$A$2:$I$121,6,FALSE)</f>
        <v/>
      </c>
      <c r="W573" s="12">
        <f>VLOOKUP(G573,Dim_Channel!$A$2:$B$5,2,FALSE)</f>
        <v/>
      </c>
      <c r="X573" s="12">
        <f>VLOOKUP(H573,Dim_Promotion!$A$2:$G$11,2,FALSE)</f>
        <v/>
      </c>
    </row>
    <row r="574">
      <c r="A574" s="4" t="inlineStr">
        <is>
          <t>SL0573</t>
        </is>
      </c>
      <c r="B574" t="inlineStr">
        <is>
          <t>O010287</t>
        </is>
      </c>
      <c r="C574" t="n">
        <v>20250722</v>
      </c>
      <c r="D574" s="4" t="inlineStr">
        <is>
          <t>C087</t>
        </is>
      </c>
      <c r="E574" s="4" t="inlineStr">
        <is>
          <t>P023</t>
        </is>
      </c>
      <c r="F574" t="inlineStr">
        <is>
          <t>XL</t>
        </is>
      </c>
      <c r="G574" s="4" t="inlineStr">
        <is>
          <t>CH03</t>
        </is>
      </c>
      <c r="H574" s="4" t="inlineStr">
        <is>
          <t>PR00</t>
        </is>
      </c>
      <c r="I574" s="8" t="n">
        <v>58</v>
      </c>
      <c r="J574" s="9" t="n">
        <v>0</v>
      </c>
      <c r="K574" s="10">
        <f>I574*(1-J574)</f>
        <v/>
      </c>
      <c r="L574" s="11" t="n">
        <v>2</v>
      </c>
      <c r="M574" s="10">
        <f>K574*L574</f>
        <v/>
      </c>
      <c r="N574" s="8" t="n">
        <v>25.86</v>
      </c>
      <c r="O574" s="10">
        <f>N574*L574</f>
        <v/>
      </c>
      <c r="P574" s="10">
        <f>M574-O574</f>
        <v/>
      </c>
      <c r="Q574" s="11" t="inlineStr">
        <is>
          <t>No</t>
        </is>
      </c>
      <c r="R574" s="11" t="n">
        <v>0</v>
      </c>
      <c r="S574" s="10">
        <f>M574-(R574*K574)</f>
        <v/>
      </c>
      <c r="T574" s="12">
        <f>VLOOKUP(E574,Dim_Product!$A$2:$Q$61,3,FALSE)</f>
        <v/>
      </c>
      <c r="U574" s="12">
        <f>VLOOKUP(E574,Dim_Product!$A$2:$Q$61,4,FALSE)</f>
        <v/>
      </c>
      <c r="V574" s="12">
        <f>VLOOKUP(D574,Dim_Customer!$A$2:$I$121,6,FALSE)</f>
        <v/>
      </c>
      <c r="W574" s="12">
        <f>VLOOKUP(G574,Dim_Channel!$A$2:$B$5,2,FALSE)</f>
        <v/>
      </c>
      <c r="X574" s="12">
        <f>VLOOKUP(H574,Dim_Promotion!$A$2:$G$11,2,FALSE)</f>
        <v/>
      </c>
    </row>
    <row r="575">
      <c r="A575" s="4" t="inlineStr">
        <is>
          <t>SL0574</t>
        </is>
      </c>
      <c r="B575" t="inlineStr">
        <is>
          <t>O010287</t>
        </is>
      </c>
      <c r="C575" t="n">
        <v>20251227</v>
      </c>
      <c r="D575" s="4" t="inlineStr">
        <is>
          <t>C113</t>
        </is>
      </c>
      <c r="E575" s="4" t="inlineStr">
        <is>
          <t>P057</t>
        </is>
      </c>
      <c r="F575" t="inlineStr">
        <is>
          <t>S</t>
        </is>
      </c>
      <c r="G575" s="4" t="inlineStr">
        <is>
          <t>CH01</t>
        </is>
      </c>
      <c r="H575" s="4" t="inlineStr">
        <is>
          <t>PR00</t>
        </is>
      </c>
      <c r="I575" s="8" t="n">
        <v>76</v>
      </c>
      <c r="J575" s="9" t="n">
        <v>0</v>
      </c>
      <c r="K575" s="10">
        <f>I575*(1-J575)</f>
        <v/>
      </c>
      <c r="L575" s="11" t="n">
        <v>2</v>
      </c>
      <c r="M575" s="10">
        <f>K575*L575</f>
        <v/>
      </c>
      <c r="N575" s="8" t="n">
        <v>34.67</v>
      </c>
      <c r="O575" s="10">
        <f>N575*L575</f>
        <v/>
      </c>
      <c r="P575" s="10">
        <f>M575-O575</f>
        <v/>
      </c>
      <c r="Q575" s="11" t="inlineStr">
        <is>
          <t>No</t>
        </is>
      </c>
      <c r="R575" s="11" t="n">
        <v>0</v>
      </c>
      <c r="S575" s="10">
        <f>M575-(R575*K575)</f>
        <v/>
      </c>
      <c r="T575" s="12">
        <f>VLOOKUP(E575,Dim_Product!$A$2:$Q$61,3,FALSE)</f>
        <v/>
      </c>
      <c r="U575" s="12">
        <f>VLOOKUP(E575,Dim_Product!$A$2:$Q$61,4,FALSE)</f>
        <v/>
      </c>
      <c r="V575" s="12">
        <f>VLOOKUP(D575,Dim_Customer!$A$2:$I$121,6,FALSE)</f>
        <v/>
      </c>
      <c r="W575" s="12">
        <f>VLOOKUP(G575,Dim_Channel!$A$2:$B$5,2,FALSE)</f>
        <v/>
      </c>
      <c r="X575" s="12">
        <f>VLOOKUP(H575,Dim_Promotion!$A$2:$G$11,2,FALSE)</f>
        <v/>
      </c>
    </row>
    <row r="576">
      <c r="A576" s="4" t="inlineStr">
        <is>
          <t>SL0575</t>
        </is>
      </c>
      <c r="B576" t="inlineStr">
        <is>
          <t>O010288</t>
        </is>
      </c>
      <c r="C576" t="n">
        <v>20250312</v>
      </c>
      <c r="D576" s="4" t="inlineStr">
        <is>
          <t>C007</t>
        </is>
      </c>
      <c r="E576" s="4" t="inlineStr">
        <is>
          <t>P024</t>
        </is>
      </c>
      <c r="F576" t="inlineStr">
        <is>
          <t>M</t>
        </is>
      </c>
      <c r="G576" s="4" t="inlineStr">
        <is>
          <t>CH01</t>
        </is>
      </c>
      <c r="H576" s="4" t="inlineStr">
        <is>
          <t>PR00</t>
        </is>
      </c>
      <c r="I576" s="8" t="n">
        <v>62</v>
      </c>
      <c r="J576" s="9" t="n">
        <v>0</v>
      </c>
      <c r="K576" s="10">
        <f>I576*(1-J576)</f>
        <v/>
      </c>
      <c r="L576" s="11" t="n">
        <v>2</v>
      </c>
      <c r="M576" s="10">
        <f>K576*L576</f>
        <v/>
      </c>
      <c r="N576" s="8" t="n">
        <v>27.85</v>
      </c>
      <c r="O576" s="10">
        <f>N576*L576</f>
        <v/>
      </c>
      <c r="P576" s="10">
        <f>M576-O576</f>
        <v/>
      </c>
      <c r="Q576" s="11" t="inlineStr">
        <is>
          <t>No</t>
        </is>
      </c>
      <c r="R576" s="11" t="n">
        <v>0</v>
      </c>
      <c r="S576" s="10">
        <f>M576-(R576*K576)</f>
        <v/>
      </c>
      <c r="T576" s="12">
        <f>VLOOKUP(E576,Dim_Product!$A$2:$Q$61,3,FALSE)</f>
        <v/>
      </c>
      <c r="U576" s="12">
        <f>VLOOKUP(E576,Dim_Product!$A$2:$Q$61,4,FALSE)</f>
        <v/>
      </c>
      <c r="V576" s="12">
        <f>VLOOKUP(D576,Dim_Customer!$A$2:$I$121,6,FALSE)</f>
        <v/>
      </c>
      <c r="W576" s="12">
        <f>VLOOKUP(G576,Dim_Channel!$A$2:$B$5,2,FALSE)</f>
        <v/>
      </c>
      <c r="X576" s="12">
        <f>VLOOKUP(H576,Dim_Promotion!$A$2:$G$11,2,FALSE)</f>
        <v/>
      </c>
    </row>
    <row r="577">
      <c r="A577" s="4" t="inlineStr">
        <is>
          <t>SL0576</t>
        </is>
      </c>
      <c r="B577" t="inlineStr">
        <is>
          <t>O010288</t>
        </is>
      </c>
      <c r="C577" t="n">
        <v>20250709</v>
      </c>
      <c r="D577" s="4" t="inlineStr">
        <is>
          <t>C028</t>
        </is>
      </c>
      <c r="E577" s="4" t="inlineStr">
        <is>
          <t>P001</t>
        </is>
      </c>
      <c r="F577" t="inlineStr">
        <is>
          <t>M</t>
        </is>
      </c>
      <c r="G577" s="4" t="inlineStr">
        <is>
          <t>CH04</t>
        </is>
      </c>
      <c r="H577" s="4" t="inlineStr">
        <is>
          <t>PR04</t>
        </is>
      </c>
      <c r="I577" s="8" t="n">
        <v>42</v>
      </c>
      <c r="J577" s="9" t="n">
        <v>0.12</v>
      </c>
      <c r="K577" s="10">
        <f>I577*(1-J577)</f>
        <v/>
      </c>
      <c r="L577" s="11" t="n">
        <v>2</v>
      </c>
      <c r="M577" s="10">
        <f>K577*L577</f>
        <v/>
      </c>
      <c r="N577" s="8" t="n">
        <v>16.7</v>
      </c>
      <c r="O577" s="10">
        <f>N577*L577</f>
        <v/>
      </c>
      <c r="P577" s="10">
        <f>M577-O577</f>
        <v/>
      </c>
      <c r="Q577" s="11" t="inlineStr">
        <is>
          <t>No</t>
        </is>
      </c>
      <c r="R577" s="11" t="n">
        <v>0</v>
      </c>
      <c r="S577" s="10">
        <f>M577-(R577*K577)</f>
        <v/>
      </c>
      <c r="T577" s="12">
        <f>VLOOKUP(E577,Dim_Product!$A$2:$Q$61,3,FALSE)</f>
        <v/>
      </c>
      <c r="U577" s="12">
        <f>VLOOKUP(E577,Dim_Product!$A$2:$Q$61,4,FALSE)</f>
        <v/>
      </c>
      <c r="V577" s="12">
        <f>VLOOKUP(D577,Dim_Customer!$A$2:$I$121,6,FALSE)</f>
        <v/>
      </c>
      <c r="W577" s="12">
        <f>VLOOKUP(G577,Dim_Channel!$A$2:$B$5,2,FALSE)</f>
        <v/>
      </c>
      <c r="X577" s="12">
        <f>VLOOKUP(H577,Dim_Promotion!$A$2:$G$11,2,FALSE)</f>
        <v/>
      </c>
    </row>
    <row r="578">
      <c r="A578" s="4" t="inlineStr">
        <is>
          <t>SL0577</t>
        </is>
      </c>
      <c r="B578" t="inlineStr">
        <is>
          <t>O010289</t>
        </is>
      </c>
      <c r="C578" t="n">
        <v>20250816</v>
      </c>
      <c r="D578" s="4" t="inlineStr">
        <is>
          <t>C008</t>
        </is>
      </c>
      <c r="E578" s="4" t="inlineStr">
        <is>
          <t>P020</t>
        </is>
      </c>
      <c r="F578" t="inlineStr">
        <is>
          <t>S</t>
        </is>
      </c>
      <c r="G578" s="4" t="inlineStr">
        <is>
          <t>CH01</t>
        </is>
      </c>
      <c r="H578" s="4" t="inlineStr">
        <is>
          <t>PR00</t>
        </is>
      </c>
      <c r="I578" s="8" t="n">
        <v>64</v>
      </c>
      <c r="J578" s="9" t="n">
        <v>0</v>
      </c>
      <c r="K578" s="10">
        <f>I578*(1-J578)</f>
        <v/>
      </c>
      <c r="L578" s="11" t="n">
        <v>1</v>
      </c>
      <c r="M578" s="10">
        <f>K578*L578</f>
        <v/>
      </c>
      <c r="N578" s="8" t="n">
        <v>29.42</v>
      </c>
      <c r="O578" s="10">
        <f>N578*L578</f>
        <v/>
      </c>
      <c r="P578" s="10">
        <f>M578-O578</f>
        <v/>
      </c>
      <c r="Q578" s="11" t="inlineStr">
        <is>
          <t>No</t>
        </is>
      </c>
      <c r="R578" s="11" t="n">
        <v>0</v>
      </c>
      <c r="S578" s="10">
        <f>M578-(R578*K578)</f>
        <v/>
      </c>
      <c r="T578" s="12">
        <f>VLOOKUP(E578,Dim_Product!$A$2:$Q$61,3,FALSE)</f>
        <v/>
      </c>
      <c r="U578" s="12">
        <f>VLOOKUP(E578,Dim_Product!$A$2:$Q$61,4,FALSE)</f>
        <v/>
      </c>
      <c r="V578" s="12">
        <f>VLOOKUP(D578,Dim_Customer!$A$2:$I$121,6,FALSE)</f>
        <v/>
      </c>
      <c r="W578" s="12">
        <f>VLOOKUP(G578,Dim_Channel!$A$2:$B$5,2,FALSE)</f>
        <v/>
      </c>
      <c r="X578" s="12">
        <f>VLOOKUP(H578,Dim_Promotion!$A$2:$G$11,2,FALSE)</f>
        <v/>
      </c>
    </row>
    <row r="579">
      <c r="A579" s="4" t="inlineStr">
        <is>
          <t>SL0578</t>
        </is>
      </c>
      <c r="B579" t="inlineStr">
        <is>
          <t>O010289</t>
        </is>
      </c>
      <c r="C579" t="n">
        <v>20250317</v>
      </c>
      <c r="D579" s="4" t="inlineStr">
        <is>
          <t>C066</t>
        </is>
      </c>
      <c r="E579" s="4" t="inlineStr">
        <is>
          <t>P053</t>
        </is>
      </c>
      <c r="F579" t="inlineStr">
        <is>
          <t>L</t>
        </is>
      </c>
      <c r="G579" s="4" t="inlineStr">
        <is>
          <t>CH01</t>
        </is>
      </c>
      <c r="H579" s="4" t="inlineStr">
        <is>
          <t>PR00</t>
        </is>
      </c>
      <c r="I579" s="8" t="n">
        <v>75</v>
      </c>
      <c r="J579" s="9" t="n">
        <v>0</v>
      </c>
      <c r="K579" s="10">
        <f>I579*(1-J579)</f>
        <v/>
      </c>
      <c r="L579" s="11" t="n">
        <v>1</v>
      </c>
      <c r="M579" s="10">
        <f>K579*L579</f>
        <v/>
      </c>
      <c r="N579" s="8" t="n">
        <v>33.93</v>
      </c>
      <c r="O579" s="10">
        <f>N579*L579</f>
        <v/>
      </c>
      <c r="P579" s="10">
        <f>M579-O579</f>
        <v/>
      </c>
      <c r="Q579" s="11" t="inlineStr">
        <is>
          <t>No</t>
        </is>
      </c>
      <c r="R579" s="11" t="n">
        <v>0</v>
      </c>
      <c r="S579" s="10">
        <f>M579-(R579*K579)</f>
        <v/>
      </c>
      <c r="T579" s="12">
        <f>VLOOKUP(E579,Dim_Product!$A$2:$Q$61,3,FALSE)</f>
        <v/>
      </c>
      <c r="U579" s="12">
        <f>VLOOKUP(E579,Dim_Product!$A$2:$Q$61,4,FALSE)</f>
        <v/>
      </c>
      <c r="V579" s="12">
        <f>VLOOKUP(D579,Dim_Customer!$A$2:$I$121,6,FALSE)</f>
        <v/>
      </c>
      <c r="W579" s="12">
        <f>VLOOKUP(G579,Dim_Channel!$A$2:$B$5,2,FALSE)</f>
        <v/>
      </c>
      <c r="X579" s="12">
        <f>VLOOKUP(H579,Dim_Promotion!$A$2:$G$11,2,FALSE)</f>
        <v/>
      </c>
    </row>
    <row r="580">
      <c r="A580" s="4" t="inlineStr">
        <is>
          <t>SL0579</t>
        </is>
      </c>
      <c r="B580" t="inlineStr">
        <is>
          <t>O010290</t>
        </is>
      </c>
      <c r="C580" t="n">
        <v>20250326</v>
      </c>
      <c r="D580" s="4" t="inlineStr">
        <is>
          <t>C035</t>
        </is>
      </c>
      <c r="E580" s="4" t="inlineStr">
        <is>
          <t>P006</t>
        </is>
      </c>
      <c r="F580" t="inlineStr">
        <is>
          <t>XL</t>
        </is>
      </c>
      <c r="G580" s="4" t="inlineStr">
        <is>
          <t>CH01</t>
        </is>
      </c>
      <c r="H580" s="4" t="inlineStr">
        <is>
          <t>PR00</t>
        </is>
      </c>
      <c r="I580" s="8" t="n">
        <v>46</v>
      </c>
      <c r="J580" s="9" t="n">
        <v>0</v>
      </c>
      <c r="K580" s="10">
        <f>I580*(1-J580)</f>
        <v/>
      </c>
      <c r="L580" s="11" t="n">
        <v>2</v>
      </c>
      <c r="M580" s="10">
        <f>K580*L580</f>
        <v/>
      </c>
      <c r="N580" s="8" t="n">
        <v>21.47</v>
      </c>
      <c r="O580" s="10">
        <f>N580*L580</f>
        <v/>
      </c>
      <c r="P580" s="10">
        <f>M580-O580</f>
        <v/>
      </c>
      <c r="Q580" s="11" t="inlineStr">
        <is>
          <t>No</t>
        </is>
      </c>
      <c r="R580" s="11" t="n">
        <v>0</v>
      </c>
      <c r="S580" s="10">
        <f>M580-(R580*K580)</f>
        <v/>
      </c>
      <c r="T580" s="12">
        <f>VLOOKUP(E580,Dim_Product!$A$2:$Q$61,3,FALSE)</f>
        <v/>
      </c>
      <c r="U580" s="12">
        <f>VLOOKUP(E580,Dim_Product!$A$2:$Q$61,4,FALSE)</f>
        <v/>
      </c>
      <c r="V580" s="12">
        <f>VLOOKUP(D580,Dim_Customer!$A$2:$I$121,6,FALSE)</f>
        <v/>
      </c>
      <c r="W580" s="12">
        <f>VLOOKUP(G580,Dim_Channel!$A$2:$B$5,2,FALSE)</f>
        <v/>
      </c>
      <c r="X580" s="12">
        <f>VLOOKUP(H580,Dim_Promotion!$A$2:$G$11,2,FALSE)</f>
        <v/>
      </c>
    </row>
    <row r="581">
      <c r="A581" s="4" t="inlineStr">
        <is>
          <t>SL0580</t>
        </is>
      </c>
      <c r="B581" t="inlineStr">
        <is>
          <t>O010290</t>
        </is>
      </c>
      <c r="C581" t="n">
        <v>20250505</v>
      </c>
      <c r="D581" s="4" t="inlineStr">
        <is>
          <t>C051</t>
        </is>
      </c>
      <c r="E581" s="4" t="inlineStr">
        <is>
          <t>P024</t>
        </is>
      </c>
      <c r="F581" t="inlineStr">
        <is>
          <t>S</t>
        </is>
      </c>
      <c r="G581" s="4" t="inlineStr">
        <is>
          <t>CH02</t>
        </is>
      </c>
      <c r="H581" s="4" t="inlineStr">
        <is>
          <t>PR00</t>
        </is>
      </c>
      <c r="I581" s="8" t="n">
        <v>60</v>
      </c>
      <c r="J581" s="9" t="n">
        <v>0</v>
      </c>
      <c r="K581" s="10">
        <f>I581*(1-J581)</f>
        <v/>
      </c>
      <c r="L581" s="11" t="n">
        <v>1</v>
      </c>
      <c r="M581" s="10">
        <f>K581*L581</f>
        <v/>
      </c>
      <c r="N581" s="8" t="n">
        <v>27.25</v>
      </c>
      <c r="O581" s="10">
        <f>N581*L581</f>
        <v/>
      </c>
      <c r="P581" s="10">
        <f>M581-O581</f>
        <v/>
      </c>
      <c r="Q581" s="11" t="inlineStr">
        <is>
          <t>No</t>
        </is>
      </c>
      <c r="R581" s="11" t="n">
        <v>0</v>
      </c>
      <c r="S581" s="10">
        <f>M581-(R581*K581)</f>
        <v/>
      </c>
      <c r="T581" s="12">
        <f>VLOOKUP(E581,Dim_Product!$A$2:$Q$61,3,FALSE)</f>
        <v/>
      </c>
      <c r="U581" s="12">
        <f>VLOOKUP(E581,Dim_Product!$A$2:$Q$61,4,FALSE)</f>
        <v/>
      </c>
      <c r="V581" s="12">
        <f>VLOOKUP(D581,Dim_Customer!$A$2:$I$121,6,FALSE)</f>
        <v/>
      </c>
      <c r="W581" s="12">
        <f>VLOOKUP(G581,Dim_Channel!$A$2:$B$5,2,FALSE)</f>
        <v/>
      </c>
      <c r="X581" s="12">
        <f>VLOOKUP(H581,Dim_Promotion!$A$2:$G$11,2,FALSE)</f>
        <v/>
      </c>
    </row>
    <row r="582">
      <c r="A582" s="4" t="inlineStr">
        <is>
          <t>SL0581</t>
        </is>
      </c>
      <c r="B582" t="inlineStr">
        <is>
          <t>O010291</t>
        </is>
      </c>
      <c r="C582" t="n">
        <v>20250905</v>
      </c>
      <c r="D582" s="4" t="inlineStr">
        <is>
          <t>C042</t>
        </is>
      </c>
      <c r="E582" s="4" t="inlineStr">
        <is>
          <t>P023</t>
        </is>
      </c>
      <c r="F582" t="inlineStr">
        <is>
          <t>L</t>
        </is>
      </c>
      <c r="G582" s="4" t="inlineStr">
        <is>
          <t>CH03</t>
        </is>
      </c>
      <c r="H582" s="4" t="inlineStr">
        <is>
          <t>PR00</t>
        </is>
      </c>
      <c r="I582" s="8" t="n">
        <v>54</v>
      </c>
      <c r="J582" s="9" t="n">
        <v>0</v>
      </c>
      <c r="K582" s="10">
        <f>I582*(1-J582)</f>
        <v/>
      </c>
      <c r="L582" s="11" t="n">
        <v>2</v>
      </c>
      <c r="M582" s="10">
        <f>K582*L582</f>
        <v/>
      </c>
      <c r="N582" s="8" t="n">
        <v>25.68</v>
      </c>
      <c r="O582" s="10">
        <f>N582*L582</f>
        <v/>
      </c>
      <c r="P582" s="10">
        <f>M582-O582</f>
        <v/>
      </c>
      <c r="Q582" s="11" t="inlineStr">
        <is>
          <t>No</t>
        </is>
      </c>
      <c r="R582" s="11" t="n">
        <v>0</v>
      </c>
      <c r="S582" s="10">
        <f>M582-(R582*K582)</f>
        <v/>
      </c>
      <c r="T582" s="12">
        <f>VLOOKUP(E582,Dim_Product!$A$2:$Q$61,3,FALSE)</f>
        <v/>
      </c>
      <c r="U582" s="12">
        <f>VLOOKUP(E582,Dim_Product!$A$2:$Q$61,4,FALSE)</f>
        <v/>
      </c>
      <c r="V582" s="12">
        <f>VLOOKUP(D582,Dim_Customer!$A$2:$I$121,6,FALSE)</f>
        <v/>
      </c>
      <c r="W582" s="12">
        <f>VLOOKUP(G582,Dim_Channel!$A$2:$B$5,2,FALSE)</f>
        <v/>
      </c>
      <c r="X582" s="12">
        <f>VLOOKUP(H582,Dim_Promotion!$A$2:$G$11,2,FALSE)</f>
        <v/>
      </c>
    </row>
    <row r="583">
      <c r="A583" s="4" t="inlineStr">
        <is>
          <t>SL0582</t>
        </is>
      </c>
      <c r="B583" t="inlineStr">
        <is>
          <t>O010291</t>
        </is>
      </c>
      <c r="C583" t="n">
        <v>20250122</v>
      </c>
      <c r="D583" s="4" t="inlineStr">
        <is>
          <t>C031</t>
        </is>
      </c>
      <c r="E583" s="4" t="inlineStr">
        <is>
          <t>P024</t>
        </is>
      </c>
      <c r="F583" t="inlineStr">
        <is>
          <t>S</t>
        </is>
      </c>
      <c r="G583" s="4" t="inlineStr">
        <is>
          <t>CH01</t>
        </is>
      </c>
      <c r="H583" s="4" t="inlineStr">
        <is>
          <t>PR00</t>
        </is>
      </c>
      <c r="I583" s="8" t="n">
        <v>60</v>
      </c>
      <c r="J583" s="9" t="n">
        <v>0.08</v>
      </c>
      <c r="K583" s="10">
        <f>I583*(1-J583)</f>
        <v/>
      </c>
      <c r="L583" s="11" t="n">
        <v>1</v>
      </c>
      <c r="M583" s="10">
        <f>K583*L583</f>
        <v/>
      </c>
      <c r="N583" s="8" t="n">
        <v>27.64</v>
      </c>
      <c r="O583" s="10">
        <f>N583*L583</f>
        <v/>
      </c>
      <c r="P583" s="10">
        <f>M583-O583</f>
        <v/>
      </c>
      <c r="Q583" s="11" t="inlineStr">
        <is>
          <t>No</t>
        </is>
      </c>
      <c r="R583" s="11" t="n">
        <v>0</v>
      </c>
      <c r="S583" s="10">
        <f>M583-(R583*K583)</f>
        <v/>
      </c>
      <c r="T583" s="12">
        <f>VLOOKUP(E583,Dim_Product!$A$2:$Q$61,3,FALSE)</f>
        <v/>
      </c>
      <c r="U583" s="12">
        <f>VLOOKUP(E583,Dim_Product!$A$2:$Q$61,4,FALSE)</f>
        <v/>
      </c>
      <c r="V583" s="12">
        <f>VLOOKUP(D583,Dim_Customer!$A$2:$I$121,6,FALSE)</f>
        <v/>
      </c>
      <c r="W583" s="12">
        <f>VLOOKUP(G583,Dim_Channel!$A$2:$B$5,2,FALSE)</f>
        <v/>
      </c>
      <c r="X583" s="12">
        <f>VLOOKUP(H583,Dim_Promotion!$A$2:$G$11,2,FALSE)</f>
        <v/>
      </c>
    </row>
    <row r="584">
      <c r="A584" s="4" t="inlineStr">
        <is>
          <t>SL0583</t>
        </is>
      </c>
      <c r="B584" t="inlineStr">
        <is>
          <t>O010292</t>
        </is>
      </c>
      <c r="C584" t="n">
        <v>20250504</v>
      </c>
      <c r="D584" s="4" t="inlineStr">
        <is>
          <t>C111</t>
        </is>
      </c>
      <c r="E584" s="4" t="inlineStr">
        <is>
          <t>P015</t>
        </is>
      </c>
      <c r="F584" t="inlineStr">
        <is>
          <t>L</t>
        </is>
      </c>
      <c r="G584" s="4" t="inlineStr">
        <is>
          <t>CH02</t>
        </is>
      </c>
      <c r="H584" s="4" t="inlineStr">
        <is>
          <t>PR00</t>
        </is>
      </c>
      <c r="I584" s="8" t="n">
        <v>54</v>
      </c>
      <c r="J584" s="9" t="n">
        <v>0</v>
      </c>
      <c r="K584" s="10">
        <f>I584*(1-J584)</f>
        <v/>
      </c>
      <c r="L584" s="11" t="n">
        <v>1</v>
      </c>
      <c r="M584" s="10">
        <f>K584*L584</f>
        <v/>
      </c>
      <c r="N584" s="8" t="n">
        <v>26.26</v>
      </c>
      <c r="O584" s="10">
        <f>N584*L584</f>
        <v/>
      </c>
      <c r="P584" s="10">
        <f>M584-O584</f>
        <v/>
      </c>
      <c r="Q584" s="11" t="inlineStr">
        <is>
          <t>No</t>
        </is>
      </c>
      <c r="R584" s="11" t="n">
        <v>0</v>
      </c>
      <c r="S584" s="10">
        <f>M584-(R584*K584)</f>
        <v/>
      </c>
      <c r="T584" s="12">
        <f>VLOOKUP(E584,Dim_Product!$A$2:$Q$61,3,FALSE)</f>
        <v/>
      </c>
      <c r="U584" s="12">
        <f>VLOOKUP(E584,Dim_Product!$A$2:$Q$61,4,FALSE)</f>
        <v/>
      </c>
      <c r="V584" s="12">
        <f>VLOOKUP(D584,Dim_Customer!$A$2:$I$121,6,FALSE)</f>
        <v/>
      </c>
      <c r="W584" s="12">
        <f>VLOOKUP(G584,Dim_Channel!$A$2:$B$5,2,FALSE)</f>
        <v/>
      </c>
      <c r="X584" s="12">
        <f>VLOOKUP(H584,Dim_Promotion!$A$2:$G$11,2,FALSE)</f>
        <v/>
      </c>
    </row>
    <row r="585">
      <c r="A585" s="4" t="inlineStr">
        <is>
          <t>SL0584</t>
        </is>
      </c>
      <c r="B585" t="inlineStr">
        <is>
          <t>O010292</t>
        </is>
      </c>
      <c r="C585" t="n">
        <v>20251219</v>
      </c>
      <c r="D585" s="4" t="inlineStr">
        <is>
          <t>C081</t>
        </is>
      </c>
      <c r="E585" s="4" t="inlineStr">
        <is>
          <t>P037</t>
        </is>
      </c>
      <c r="F585" t="inlineStr">
        <is>
          <t>XS</t>
        </is>
      </c>
      <c r="G585" s="4" t="inlineStr">
        <is>
          <t>CH01</t>
        </is>
      </c>
      <c r="H585" s="4" t="inlineStr">
        <is>
          <t>PR00</t>
        </is>
      </c>
      <c r="I585" s="8" t="n">
        <v>73</v>
      </c>
      <c r="J585" s="9" t="n">
        <v>0</v>
      </c>
      <c r="K585" s="10">
        <f>I585*(1-J585)</f>
        <v/>
      </c>
      <c r="L585" s="11" t="n">
        <v>1</v>
      </c>
      <c r="M585" s="10">
        <f>K585*L585</f>
        <v/>
      </c>
      <c r="N585" s="8" t="n">
        <v>32.74</v>
      </c>
      <c r="O585" s="10">
        <f>N585*L585</f>
        <v/>
      </c>
      <c r="P585" s="10">
        <f>M585-O585</f>
        <v/>
      </c>
      <c r="Q585" s="11" t="inlineStr">
        <is>
          <t>No</t>
        </is>
      </c>
      <c r="R585" s="11" t="n">
        <v>0</v>
      </c>
      <c r="S585" s="10">
        <f>M585-(R585*K585)</f>
        <v/>
      </c>
      <c r="T585" s="12">
        <f>VLOOKUP(E585,Dim_Product!$A$2:$Q$61,3,FALSE)</f>
        <v/>
      </c>
      <c r="U585" s="12">
        <f>VLOOKUP(E585,Dim_Product!$A$2:$Q$61,4,FALSE)</f>
        <v/>
      </c>
      <c r="V585" s="12">
        <f>VLOOKUP(D585,Dim_Customer!$A$2:$I$121,6,FALSE)</f>
        <v/>
      </c>
      <c r="W585" s="12">
        <f>VLOOKUP(G585,Dim_Channel!$A$2:$B$5,2,FALSE)</f>
        <v/>
      </c>
      <c r="X585" s="12">
        <f>VLOOKUP(H585,Dim_Promotion!$A$2:$G$11,2,FALSE)</f>
        <v/>
      </c>
    </row>
    <row r="586">
      <c r="A586" s="4" t="inlineStr">
        <is>
          <t>SL0585</t>
        </is>
      </c>
      <c r="B586" t="inlineStr">
        <is>
          <t>O010293</t>
        </is>
      </c>
      <c r="C586" t="n">
        <v>20250617</v>
      </c>
      <c r="D586" s="4" t="inlineStr">
        <is>
          <t>C040</t>
        </is>
      </c>
      <c r="E586" s="4" t="inlineStr">
        <is>
          <t>P012</t>
        </is>
      </c>
      <c r="F586" t="inlineStr">
        <is>
          <t>S</t>
        </is>
      </c>
      <c r="G586" s="4" t="inlineStr">
        <is>
          <t>CH03</t>
        </is>
      </c>
      <c r="H586" s="4" t="inlineStr">
        <is>
          <t>PR00</t>
        </is>
      </c>
      <c r="I586" s="8" t="n">
        <v>42</v>
      </c>
      <c r="J586" s="9" t="n">
        <v>0</v>
      </c>
      <c r="K586" s="10">
        <f>I586*(1-J586)</f>
        <v/>
      </c>
      <c r="L586" s="11" t="n">
        <v>1</v>
      </c>
      <c r="M586" s="10">
        <f>K586*L586</f>
        <v/>
      </c>
      <c r="N586" s="8" t="n">
        <v>21.93</v>
      </c>
      <c r="O586" s="10">
        <f>N586*L586</f>
        <v/>
      </c>
      <c r="P586" s="10">
        <f>M586-O586</f>
        <v/>
      </c>
      <c r="Q586" s="11" t="inlineStr">
        <is>
          <t>No</t>
        </is>
      </c>
      <c r="R586" s="11" t="n">
        <v>0</v>
      </c>
      <c r="S586" s="10">
        <f>M586-(R586*K586)</f>
        <v/>
      </c>
      <c r="T586" s="12">
        <f>VLOOKUP(E586,Dim_Product!$A$2:$Q$61,3,FALSE)</f>
        <v/>
      </c>
      <c r="U586" s="12">
        <f>VLOOKUP(E586,Dim_Product!$A$2:$Q$61,4,FALSE)</f>
        <v/>
      </c>
      <c r="V586" s="12">
        <f>VLOOKUP(D586,Dim_Customer!$A$2:$I$121,6,FALSE)</f>
        <v/>
      </c>
      <c r="W586" s="12">
        <f>VLOOKUP(G586,Dim_Channel!$A$2:$B$5,2,FALSE)</f>
        <v/>
      </c>
      <c r="X586" s="12">
        <f>VLOOKUP(H586,Dim_Promotion!$A$2:$G$11,2,FALSE)</f>
        <v/>
      </c>
    </row>
    <row r="587">
      <c r="A587" s="4" t="inlineStr">
        <is>
          <t>SL0586</t>
        </is>
      </c>
      <c r="B587" t="inlineStr">
        <is>
          <t>O010293</t>
        </is>
      </c>
      <c r="C587" t="n">
        <v>20250611</v>
      </c>
      <c r="D587" s="4" t="inlineStr">
        <is>
          <t>C115</t>
        </is>
      </c>
      <c r="E587" s="4" t="inlineStr">
        <is>
          <t>P003</t>
        </is>
      </c>
      <c r="F587" t="inlineStr">
        <is>
          <t>S</t>
        </is>
      </c>
      <c r="G587" s="4" t="inlineStr">
        <is>
          <t>CH03</t>
        </is>
      </c>
      <c r="H587" s="4" t="inlineStr">
        <is>
          <t>PR00</t>
        </is>
      </c>
      <c r="I587" s="8" t="n">
        <v>43</v>
      </c>
      <c r="J587" s="9" t="n">
        <v>0</v>
      </c>
      <c r="K587" s="10">
        <f>I587*(1-J587)</f>
        <v/>
      </c>
      <c r="L587" s="11" t="n">
        <v>1</v>
      </c>
      <c r="M587" s="10">
        <f>K587*L587</f>
        <v/>
      </c>
      <c r="N587" s="8" t="n">
        <v>20.33</v>
      </c>
      <c r="O587" s="10">
        <f>N587*L587</f>
        <v/>
      </c>
      <c r="P587" s="10">
        <f>M587-O587</f>
        <v/>
      </c>
      <c r="Q587" s="11" t="inlineStr">
        <is>
          <t>No</t>
        </is>
      </c>
      <c r="R587" s="11" t="n">
        <v>0</v>
      </c>
      <c r="S587" s="10">
        <f>M587-(R587*K587)</f>
        <v/>
      </c>
      <c r="T587" s="12">
        <f>VLOOKUP(E587,Dim_Product!$A$2:$Q$61,3,FALSE)</f>
        <v/>
      </c>
      <c r="U587" s="12">
        <f>VLOOKUP(E587,Dim_Product!$A$2:$Q$61,4,FALSE)</f>
        <v/>
      </c>
      <c r="V587" s="12">
        <f>VLOOKUP(D587,Dim_Customer!$A$2:$I$121,6,FALSE)</f>
        <v/>
      </c>
      <c r="W587" s="12">
        <f>VLOOKUP(G587,Dim_Channel!$A$2:$B$5,2,FALSE)</f>
        <v/>
      </c>
      <c r="X587" s="12">
        <f>VLOOKUP(H587,Dim_Promotion!$A$2:$G$11,2,FALSE)</f>
        <v/>
      </c>
    </row>
    <row r="588">
      <c r="A588" s="4" t="inlineStr">
        <is>
          <t>SL0587</t>
        </is>
      </c>
      <c r="B588" t="inlineStr">
        <is>
          <t>O010294</t>
        </is>
      </c>
      <c r="C588" t="n">
        <v>20250416</v>
      </c>
      <c r="D588" s="4" t="inlineStr">
        <is>
          <t>C047</t>
        </is>
      </c>
      <c r="E588" s="4" t="inlineStr">
        <is>
          <t>P019</t>
        </is>
      </c>
      <c r="F588" t="inlineStr">
        <is>
          <t>M</t>
        </is>
      </c>
      <c r="G588" s="4" t="inlineStr">
        <is>
          <t>CH04</t>
        </is>
      </c>
      <c r="H588" s="4" t="inlineStr">
        <is>
          <t>PR00</t>
        </is>
      </c>
      <c r="I588" s="8" t="n">
        <v>64</v>
      </c>
      <c r="J588" s="9" t="n">
        <v>0</v>
      </c>
      <c r="K588" s="10">
        <f>I588*(1-J588)</f>
        <v/>
      </c>
      <c r="L588" s="11" t="n">
        <v>2</v>
      </c>
      <c r="M588" s="10">
        <f>K588*L588</f>
        <v/>
      </c>
      <c r="N588" s="8" t="n">
        <v>32.05</v>
      </c>
      <c r="O588" s="10">
        <f>N588*L588</f>
        <v/>
      </c>
      <c r="P588" s="10">
        <f>M588-O588</f>
        <v/>
      </c>
      <c r="Q588" s="11" t="inlineStr">
        <is>
          <t>No</t>
        </is>
      </c>
      <c r="R588" s="11" t="n">
        <v>0</v>
      </c>
      <c r="S588" s="10">
        <f>M588-(R588*K588)</f>
        <v/>
      </c>
      <c r="T588" s="12">
        <f>VLOOKUP(E588,Dim_Product!$A$2:$Q$61,3,FALSE)</f>
        <v/>
      </c>
      <c r="U588" s="12">
        <f>VLOOKUP(E588,Dim_Product!$A$2:$Q$61,4,FALSE)</f>
        <v/>
      </c>
      <c r="V588" s="12">
        <f>VLOOKUP(D588,Dim_Customer!$A$2:$I$121,6,FALSE)</f>
        <v/>
      </c>
      <c r="W588" s="12">
        <f>VLOOKUP(G588,Dim_Channel!$A$2:$B$5,2,FALSE)</f>
        <v/>
      </c>
      <c r="X588" s="12">
        <f>VLOOKUP(H588,Dim_Promotion!$A$2:$G$11,2,FALSE)</f>
        <v/>
      </c>
    </row>
    <row r="589">
      <c r="A589" s="4" t="inlineStr">
        <is>
          <t>SL0588</t>
        </is>
      </c>
      <c r="B589" t="inlineStr">
        <is>
          <t>O010294</t>
        </is>
      </c>
      <c r="C589" t="n">
        <v>20250712</v>
      </c>
      <c r="D589" s="4" t="inlineStr">
        <is>
          <t>C031</t>
        </is>
      </c>
      <c r="E589" s="4" t="inlineStr">
        <is>
          <t>P038</t>
        </is>
      </c>
      <c r="F589" t="inlineStr">
        <is>
          <t>S</t>
        </is>
      </c>
      <c r="G589" s="4" t="inlineStr">
        <is>
          <t>CH04</t>
        </is>
      </c>
      <c r="H589" s="4" t="inlineStr">
        <is>
          <t>PR00</t>
        </is>
      </c>
      <c r="I589" s="8" t="n">
        <v>72</v>
      </c>
      <c r="J589" s="9" t="n">
        <v>0</v>
      </c>
      <c r="K589" s="10">
        <f>I589*(1-J589)</f>
        <v/>
      </c>
      <c r="L589" s="11" t="n">
        <v>1</v>
      </c>
      <c r="M589" s="10">
        <f>K589*L589</f>
        <v/>
      </c>
      <c r="N589" s="8" t="n">
        <v>34.26</v>
      </c>
      <c r="O589" s="10">
        <f>N589*L589</f>
        <v/>
      </c>
      <c r="P589" s="10">
        <f>M589-O589</f>
        <v/>
      </c>
      <c r="Q589" s="11" t="inlineStr">
        <is>
          <t>No</t>
        </is>
      </c>
      <c r="R589" s="11" t="n">
        <v>0</v>
      </c>
      <c r="S589" s="10">
        <f>M589-(R589*K589)</f>
        <v/>
      </c>
      <c r="T589" s="12">
        <f>VLOOKUP(E589,Dim_Product!$A$2:$Q$61,3,FALSE)</f>
        <v/>
      </c>
      <c r="U589" s="12">
        <f>VLOOKUP(E589,Dim_Product!$A$2:$Q$61,4,FALSE)</f>
        <v/>
      </c>
      <c r="V589" s="12">
        <f>VLOOKUP(D589,Dim_Customer!$A$2:$I$121,6,FALSE)</f>
        <v/>
      </c>
      <c r="W589" s="12">
        <f>VLOOKUP(G589,Dim_Channel!$A$2:$B$5,2,FALSE)</f>
        <v/>
      </c>
      <c r="X589" s="12">
        <f>VLOOKUP(H589,Dim_Promotion!$A$2:$G$11,2,FALSE)</f>
        <v/>
      </c>
    </row>
    <row r="590">
      <c r="A590" s="4" t="inlineStr">
        <is>
          <t>SL0589</t>
        </is>
      </c>
      <c r="B590" t="inlineStr">
        <is>
          <t>O010295</t>
        </is>
      </c>
      <c r="C590" t="n">
        <v>20251107</v>
      </c>
      <c r="D590" s="4" t="inlineStr">
        <is>
          <t>C091</t>
        </is>
      </c>
      <c r="E590" s="4" t="inlineStr">
        <is>
          <t>P025</t>
        </is>
      </c>
      <c r="F590" t="inlineStr">
        <is>
          <t>XL</t>
        </is>
      </c>
      <c r="G590" s="4" t="inlineStr">
        <is>
          <t>CH02</t>
        </is>
      </c>
      <c r="H590" s="4" t="inlineStr">
        <is>
          <t>PR00</t>
        </is>
      </c>
      <c r="I590" s="8" t="n">
        <v>96</v>
      </c>
      <c r="J590" s="9" t="n">
        <v>0</v>
      </c>
      <c r="K590" s="10">
        <f>I590*(1-J590)</f>
        <v/>
      </c>
      <c r="L590" s="11" t="n">
        <v>4</v>
      </c>
      <c r="M590" s="10">
        <f>K590*L590</f>
        <v/>
      </c>
      <c r="N590" s="8" t="n">
        <v>44.65</v>
      </c>
      <c r="O590" s="10">
        <f>N590*L590</f>
        <v/>
      </c>
      <c r="P590" s="10">
        <f>M590-O590</f>
        <v/>
      </c>
      <c r="Q590" s="11" t="inlineStr">
        <is>
          <t>No</t>
        </is>
      </c>
      <c r="R590" s="11" t="n">
        <v>0</v>
      </c>
      <c r="S590" s="10">
        <f>M590-(R590*K590)</f>
        <v/>
      </c>
      <c r="T590" s="12">
        <f>VLOOKUP(E590,Dim_Product!$A$2:$Q$61,3,FALSE)</f>
        <v/>
      </c>
      <c r="U590" s="12">
        <f>VLOOKUP(E590,Dim_Product!$A$2:$Q$61,4,FALSE)</f>
        <v/>
      </c>
      <c r="V590" s="12">
        <f>VLOOKUP(D590,Dim_Customer!$A$2:$I$121,6,FALSE)</f>
        <v/>
      </c>
      <c r="W590" s="12">
        <f>VLOOKUP(G590,Dim_Channel!$A$2:$B$5,2,FALSE)</f>
        <v/>
      </c>
      <c r="X590" s="12">
        <f>VLOOKUP(H590,Dim_Promotion!$A$2:$G$11,2,FALSE)</f>
        <v/>
      </c>
    </row>
    <row r="591">
      <c r="A591" s="4" t="inlineStr">
        <is>
          <t>SL0590</t>
        </is>
      </c>
      <c r="B591" t="inlineStr">
        <is>
          <t>O010295</t>
        </is>
      </c>
      <c r="C591" t="n">
        <v>20250107</v>
      </c>
      <c r="D591" s="4" t="inlineStr">
        <is>
          <t>C054</t>
        </is>
      </c>
      <c r="E591" s="4" t="inlineStr">
        <is>
          <t>P032</t>
        </is>
      </c>
      <c r="F591" t="inlineStr">
        <is>
          <t>L</t>
        </is>
      </c>
      <c r="G591" s="4" t="inlineStr">
        <is>
          <t>CH04</t>
        </is>
      </c>
      <c r="H591" s="4" t="inlineStr">
        <is>
          <t>PR00</t>
        </is>
      </c>
      <c r="I591" s="8" t="n">
        <v>114</v>
      </c>
      <c r="J591" s="9" t="n">
        <v>0</v>
      </c>
      <c r="K591" s="10">
        <f>I591*(1-J591)</f>
        <v/>
      </c>
      <c r="L591" s="11" t="n">
        <v>1</v>
      </c>
      <c r="M591" s="10">
        <f>K591*L591</f>
        <v/>
      </c>
      <c r="N591" s="8" t="n">
        <v>57.29</v>
      </c>
      <c r="O591" s="10">
        <f>N591*L591</f>
        <v/>
      </c>
      <c r="P591" s="10">
        <f>M591-O591</f>
        <v/>
      </c>
      <c r="Q591" s="11" t="inlineStr">
        <is>
          <t>No</t>
        </is>
      </c>
      <c r="R591" s="11" t="n">
        <v>0</v>
      </c>
      <c r="S591" s="10">
        <f>M591-(R591*K591)</f>
        <v/>
      </c>
      <c r="T591" s="12">
        <f>VLOOKUP(E591,Dim_Product!$A$2:$Q$61,3,FALSE)</f>
        <v/>
      </c>
      <c r="U591" s="12">
        <f>VLOOKUP(E591,Dim_Product!$A$2:$Q$61,4,FALSE)</f>
        <v/>
      </c>
      <c r="V591" s="12">
        <f>VLOOKUP(D591,Dim_Customer!$A$2:$I$121,6,FALSE)</f>
        <v/>
      </c>
      <c r="W591" s="12">
        <f>VLOOKUP(G591,Dim_Channel!$A$2:$B$5,2,FALSE)</f>
        <v/>
      </c>
      <c r="X591" s="12">
        <f>VLOOKUP(H591,Dim_Promotion!$A$2:$G$11,2,FALSE)</f>
        <v/>
      </c>
    </row>
    <row r="592">
      <c r="A592" s="4" t="inlineStr">
        <is>
          <t>SL0591</t>
        </is>
      </c>
      <c r="B592" t="inlineStr">
        <is>
          <t>O010296</t>
        </is>
      </c>
      <c r="C592" t="n">
        <v>20250214</v>
      </c>
      <c r="D592" s="4" t="inlineStr">
        <is>
          <t>C068</t>
        </is>
      </c>
      <c r="E592" s="4" t="inlineStr">
        <is>
          <t>P056</t>
        </is>
      </c>
      <c r="F592" t="inlineStr">
        <is>
          <t>XS</t>
        </is>
      </c>
      <c r="G592" s="4" t="inlineStr">
        <is>
          <t>CH02</t>
        </is>
      </c>
      <c r="H592" s="4" t="inlineStr">
        <is>
          <t>PR00</t>
        </is>
      </c>
      <c r="I592" s="8" t="n">
        <v>68</v>
      </c>
      <c r="J592" s="9" t="n">
        <v>0</v>
      </c>
      <c r="K592" s="10">
        <f>I592*(1-J592)</f>
        <v/>
      </c>
      <c r="L592" s="11" t="n">
        <v>1</v>
      </c>
      <c r="M592" s="10">
        <f>K592*L592</f>
        <v/>
      </c>
      <c r="N592" s="8" t="n">
        <v>34.23</v>
      </c>
      <c r="O592" s="10">
        <f>N592*L592</f>
        <v/>
      </c>
      <c r="P592" s="10">
        <f>M592-O592</f>
        <v/>
      </c>
      <c r="Q592" s="11" t="inlineStr">
        <is>
          <t>No</t>
        </is>
      </c>
      <c r="R592" s="11" t="n">
        <v>0</v>
      </c>
      <c r="S592" s="10">
        <f>M592-(R592*K592)</f>
        <v/>
      </c>
      <c r="T592" s="12">
        <f>VLOOKUP(E592,Dim_Product!$A$2:$Q$61,3,FALSE)</f>
        <v/>
      </c>
      <c r="U592" s="12">
        <f>VLOOKUP(E592,Dim_Product!$A$2:$Q$61,4,FALSE)</f>
        <v/>
      </c>
      <c r="V592" s="12">
        <f>VLOOKUP(D592,Dim_Customer!$A$2:$I$121,6,FALSE)</f>
        <v/>
      </c>
      <c r="W592" s="12">
        <f>VLOOKUP(G592,Dim_Channel!$A$2:$B$5,2,FALSE)</f>
        <v/>
      </c>
      <c r="X592" s="12">
        <f>VLOOKUP(H592,Dim_Promotion!$A$2:$G$11,2,FALSE)</f>
        <v/>
      </c>
    </row>
    <row r="593">
      <c r="A593" s="4" t="inlineStr">
        <is>
          <t>SL0592</t>
        </is>
      </c>
      <c r="B593" t="inlineStr">
        <is>
          <t>O010296</t>
        </is>
      </c>
      <c r="C593" t="n">
        <v>20251207</v>
      </c>
      <c r="D593" s="4" t="inlineStr">
        <is>
          <t>C095</t>
        </is>
      </c>
      <c r="E593" s="4" t="inlineStr">
        <is>
          <t>P048</t>
        </is>
      </c>
      <c r="F593" t="inlineStr">
        <is>
          <t>M</t>
        </is>
      </c>
      <c r="G593" s="4" t="inlineStr">
        <is>
          <t>CH04</t>
        </is>
      </c>
      <c r="H593" s="4" t="inlineStr">
        <is>
          <t>PR00</t>
        </is>
      </c>
      <c r="I593" s="8" t="n">
        <v>70</v>
      </c>
      <c r="J593" s="9" t="n">
        <v>0</v>
      </c>
      <c r="K593" s="10">
        <f>I593*(1-J593)</f>
        <v/>
      </c>
      <c r="L593" s="11" t="n">
        <v>1</v>
      </c>
      <c r="M593" s="10">
        <f>K593*L593</f>
        <v/>
      </c>
      <c r="N593" s="8" t="n">
        <v>33.88</v>
      </c>
      <c r="O593" s="10">
        <f>N593*L593</f>
        <v/>
      </c>
      <c r="P593" s="10">
        <f>M593-O593</f>
        <v/>
      </c>
      <c r="Q593" s="11" t="inlineStr">
        <is>
          <t>No</t>
        </is>
      </c>
      <c r="R593" s="11" t="n">
        <v>0</v>
      </c>
      <c r="S593" s="10">
        <f>M593-(R593*K593)</f>
        <v/>
      </c>
      <c r="T593" s="12">
        <f>VLOOKUP(E593,Dim_Product!$A$2:$Q$61,3,FALSE)</f>
        <v/>
      </c>
      <c r="U593" s="12">
        <f>VLOOKUP(E593,Dim_Product!$A$2:$Q$61,4,FALSE)</f>
        <v/>
      </c>
      <c r="V593" s="12">
        <f>VLOOKUP(D593,Dim_Customer!$A$2:$I$121,6,FALSE)</f>
        <v/>
      </c>
      <c r="W593" s="12">
        <f>VLOOKUP(G593,Dim_Channel!$A$2:$B$5,2,FALSE)</f>
        <v/>
      </c>
      <c r="X593" s="12">
        <f>VLOOKUP(H593,Dim_Promotion!$A$2:$G$11,2,FALSE)</f>
        <v/>
      </c>
    </row>
    <row r="594">
      <c r="A594" s="4" t="inlineStr">
        <is>
          <t>SL0593</t>
        </is>
      </c>
      <c r="B594" t="inlineStr">
        <is>
          <t>O010297</t>
        </is>
      </c>
      <c r="C594" t="n">
        <v>20250406</v>
      </c>
      <c r="D594" s="4" t="inlineStr">
        <is>
          <t>C001</t>
        </is>
      </c>
      <c r="E594" s="4" t="inlineStr">
        <is>
          <t>P009</t>
        </is>
      </c>
      <c r="F594" t="inlineStr">
        <is>
          <t>L</t>
        </is>
      </c>
      <c r="G594" s="4" t="inlineStr">
        <is>
          <t>CH04</t>
        </is>
      </c>
      <c r="H594" s="4" t="inlineStr">
        <is>
          <t>PR03</t>
        </is>
      </c>
      <c r="I594" s="8" t="n">
        <v>49</v>
      </c>
      <c r="J594" s="9" t="n">
        <v>0.08</v>
      </c>
      <c r="K594" s="10">
        <f>I594*(1-J594)</f>
        <v/>
      </c>
      <c r="L594" s="11" t="n">
        <v>1</v>
      </c>
      <c r="M594" s="10">
        <f>K594*L594</f>
        <v/>
      </c>
      <c r="N594" s="8" t="n">
        <v>19.44</v>
      </c>
      <c r="O594" s="10">
        <f>N594*L594</f>
        <v/>
      </c>
      <c r="P594" s="10">
        <f>M594-O594</f>
        <v/>
      </c>
      <c r="Q594" s="11" t="inlineStr">
        <is>
          <t>No</t>
        </is>
      </c>
      <c r="R594" s="11" t="n">
        <v>0</v>
      </c>
      <c r="S594" s="10">
        <f>M594-(R594*K594)</f>
        <v/>
      </c>
      <c r="T594" s="12">
        <f>VLOOKUP(E594,Dim_Product!$A$2:$Q$61,3,FALSE)</f>
        <v/>
      </c>
      <c r="U594" s="12">
        <f>VLOOKUP(E594,Dim_Product!$A$2:$Q$61,4,FALSE)</f>
        <v/>
      </c>
      <c r="V594" s="12">
        <f>VLOOKUP(D594,Dim_Customer!$A$2:$I$121,6,FALSE)</f>
        <v/>
      </c>
      <c r="W594" s="12">
        <f>VLOOKUP(G594,Dim_Channel!$A$2:$B$5,2,FALSE)</f>
        <v/>
      </c>
      <c r="X594" s="12">
        <f>VLOOKUP(H594,Dim_Promotion!$A$2:$G$11,2,FALSE)</f>
        <v/>
      </c>
    </row>
    <row r="595">
      <c r="A595" s="4" t="inlineStr">
        <is>
          <t>SL0594</t>
        </is>
      </c>
      <c r="B595" t="inlineStr">
        <is>
          <t>O010297</t>
        </is>
      </c>
      <c r="C595" t="n">
        <v>20251110</v>
      </c>
      <c r="D595" s="4" t="inlineStr">
        <is>
          <t>C091</t>
        </is>
      </c>
      <c r="E595" s="4" t="inlineStr">
        <is>
          <t>P015</t>
        </is>
      </c>
      <c r="F595" t="inlineStr">
        <is>
          <t>M</t>
        </is>
      </c>
      <c r="G595" s="4" t="inlineStr">
        <is>
          <t>CH02</t>
        </is>
      </c>
      <c r="H595" s="4" t="inlineStr">
        <is>
          <t>PR00</t>
        </is>
      </c>
      <c r="I595" s="8" t="n">
        <v>56</v>
      </c>
      <c r="J595" s="9" t="n">
        <v>0</v>
      </c>
      <c r="K595" s="10">
        <f>I595*(1-J595)</f>
        <v/>
      </c>
      <c r="L595" s="11" t="n">
        <v>3</v>
      </c>
      <c r="M595" s="10">
        <f>K595*L595</f>
        <v/>
      </c>
      <c r="N595" s="8" t="n">
        <v>25.91</v>
      </c>
      <c r="O595" s="10">
        <f>N595*L595</f>
        <v/>
      </c>
      <c r="P595" s="10">
        <f>M595-O595</f>
        <v/>
      </c>
      <c r="Q595" s="11" t="inlineStr">
        <is>
          <t>No</t>
        </is>
      </c>
      <c r="R595" s="11" t="n">
        <v>0</v>
      </c>
      <c r="S595" s="10">
        <f>M595-(R595*K595)</f>
        <v/>
      </c>
      <c r="T595" s="12">
        <f>VLOOKUP(E595,Dim_Product!$A$2:$Q$61,3,FALSE)</f>
        <v/>
      </c>
      <c r="U595" s="12">
        <f>VLOOKUP(E595,Dim_Product!$A$2:$Q$61,4,FALSE)</f>
        <v/>
      </c>
      <c r="V595" s="12">
        <f>VLOOKUP(D595,Dim_Customer!$A$2:$I$121,6,FALSE)</f>
        <v/>
      </c>
      <c r="W595" s="12">
        <f>VLOOKUP(G595,Dim_Channel!$A$2:$B$5,2,FALSE)</f>
        <v/>
      </c>
      <c r="X595" s="12">
        <f>VLOOKUP(H595,Dim_Promotion!$A$2:$G$11,2,FALSE)</f>
        <v/>
      </c>
    </row>
    <row r="596">
      <c r="A596" s="4" t="inlineStr">
        <is>
          <t>SL0595</t>
        </is>
      </c>
      <c r="B596" t="inlineStr">
        <is>
          <t>O010298</t>
        </is>
      </c>
      <c r="C596" t="n">
        <v>20251102</v>
      </c>
      <c r="D596" s="4" t="inlineStr">
        <is>
          <t>C083</t>
        </is>
      </c>
      <c r="E596" s="4" t="inlineStr">
        <is>
          <t>P012</t>
        </is>
      </c>
      <c r="F596" t="inlineStr">
        <is>
          <t>L</t>
        </is>
      </c>
      <c r="G596" s="4" t="inlineStr">
        <is>
          <t>CH02</t>
        </is>
      </c>
      <c r="H596" s="4" t="inlineStr">
        <is>
          <t>PR00</t>
        </is>
      </c>
      <c r="I596" s="8" t="n">
        <v>44</v>
      </c>
      <c r="J596" s="9" t="n">
        <v>0</v>
      </c>
      <c r="K596" s="10">
        <f>I596*(1-J596)</f>
        <v/>
      </c>
      <c r="L596" s="11" t="n">
        <v>1</v>
      </c>
      <c r="M596" s="10">
        <f>K596*L596</f>
        <v/>
      </c>
      <c r="N596" s="8" t="n">
        <v>22.49</v>
      </c>
      <c r="O596" s="10">
        <f>N596*L596</f>
        <v/>
      </c>
      <c r="P596" s="10">
        <f>M596-O596</f>
        <v/>
      </c>
      <c r="Q596" s="11" t="inlineStr">
        <is>
          <t>No</t>
        </is>
      </c>
      <c r="R596" s="11" t="n">
        <v>0</v>
      </c>
      <c r="S596" s="10">
        <f>M596-(R596*K596)</f>
        <v/>
      </c>
      <c r="T596" s="12">
        <f>VLOOKUP(E596,Dim_Product!$A$2:$Q$61,3,FALSE)</f>
        <v/>
      </c>
      <c r="U596" s="12">
        <f>VLOOKUP(E596,Dim_Product!$A$2:$Q$61,4,FALSE)</f>
        <v/>
      </c>
      <c r="V596" s="12">
        <f>VLOOKUP(D596,Dim_Customer!$A$2:$I$121,6,FALSE)</f>
        <v/>
      </c>
      <c r="W596" s="12">
        <f>VLOOKUP(G596,Dim_Channel!$A$2:$B$5,2,FALSE)</f>
        <v/>
      </c>
      <c r="X596" s="12">
        <f>VLOOKUP(H596,Dim_Promotion!$A$2:$G$11,2,FALSE)</f>
        <v/>
      </c>
    </row>
    <row r="597">
      <c r="A597" s="4" t="inlineStr">
        <is>
          <t>SL0596</t>
        </is>
      </c>
      <c r="B597" t="inlineStr">
        <is>
          <t>O010298</t>
        </is>
      </c>
      <c r="C597" t="n">
        <v>20251014</v>
      </c>
      <c r="D597" s="4" t="inlineStr">
        <is>
          <t>C115</t>
        </is>
      </c>
      <c r="E597" s="4" t="inlineStr">
        <is>
          <t>P036</t>
        </is>
      </c>
      <c r="F597" t="inlineStr">
        <is>
          <t>S</t>
        </is>
      </c>
      <c r="G597" s="4" t="inlineStr">
        <is>
          <t>CH03</t>
        </is>
      </c>
      <c r="H597" s="4" t="inlineStr">
        <is>
          <t>PR07</t>
        </is>
      </c>
      <c r="I597" s="8" t="n">
        <v>88</v>
      </c>
      <c r="J597" s="9" t="n">
        <v>0.12</v>
      </c>
      <c r="K597" s="10">
        <f>I597*(1-J597)</f>
        <v/>
      </c>
      <c r="L597" s="11" t="n">
        <v>2</v>
      </c>
      <c r="M597" s="10">
        <f>K597*L597</f>
        <v/>
      </c>
      <c r="N597" s="8" t="n">
        <v>41.86</v>
      </c>
      <c r="O597" s="10">
        <f>N597*L597</f>
        <v/>
      </c>
      <c r="P597" s="10">
        <f>M597-O597</f>
        <v/>
      </c>
      <c r="Q597" s="11" t="inlineStr">
        <is>
          <t>No</t>
        </is>
      </c>
      <c r="R597" s="11" t="n">
        <v>0</v>
      </c>
      <c r="S597" s="10">
        <f>M597-(R597*K597)</f>
        <v/>
      </c>
      <c r="T597" s="12">
        <f>VLOOKUP(E597,Dim_Product!$A$2:$Q$61,3,FALSE)</f>
        <v/>
      </c>
      <c r="U597" s="12">
        <f>VLOOKUP(E597,Dim_Product!$A$2:$Q$61,4,FALSE)</f>
        <v/>
      </c>
      <c r="V597" s="12">
        <f>VLOOKUP(D597,Dim_Customer!$A$2:$I$121,6,FALSE)</f>
        <v/>
      </c>
      <c r="W597" s="12">
        <f>VLOOKUP(G597,Dim_Channel!$A$2:$B$5,2,FALSE)</f>
        <v/>
      </c>
      <c r="X597" s="12">
        <f>VLOOKUP(H597,Dim_Promotion!$A$2:$G$11,2,FALSE)</f>
        <v/>
      </c>
    </row>
    <row r="598">
      <c r="A598" s="4" t="inlineStr">
        <is>
          <t>SL0597</t>
        </is>
      </c>
      <c r="B598" t="inlineStr">
        <is>
          <t>O010299</t>
        </is>
      </c>
      <c r="C598" t="n">
        <v>20250122</v>
      </c>
      <c r="D598" s="4" t="inlineStr">
        <is>
          <t>C112</t>
        </is>
      </c>
      <c r="E598" s="4" t="inlineStr">
        <is>
          <t>P022</t>
        </is>
      </c>
      <c r="F598" t="inlineStr">
        <is>
          <t>XL</t>
        </is>
      </c>
      <c r="G598" s="4" t="inlineStr">
        <is>
          <t>CH02</t>
        </is>
      </c>
      <c r="H598" s="4" t="inlineStr">
        <is>
          <t>PR00</t>
        </is>
      </c>
      <c r="I598" s="8" t="n">
        <v>61</v>
      </c>
      <c r="J598" s="9" t="n">
        <v>0</v>
      </c>
      <c r="K598" s="10">
        <f>I598*(1-J598)</f>
        <v/>
      </c>
      <c r="L598" s="11" t="n">
        <v>1</v>
      </c>
      <c r="M598" s="10">
        <f>K598*L598</f>
        <v/>
      </c>
      <c r="N598" s="8" t="n">
        <v>25.9</v>
      </c>
      <c r="O598" s="10">
        <f>N598*L598</f>
        <v/>
      </c>
      <c r="P598" s="10">
        <f>M598-O598</f>
        <v/>
      </c>
      <c r="Q598" s="11" t="inlineStr">
        <is>
          <t>No</t>
        </is>
      </c>
      <c r="R598" s="11" t="n">
        <v>0</v>
      </c>
      <c r="S598" s="10">
        <f>M598-(R598*K598)</f>
        <v/>
      </c>
      <c r="T598" s="12">
        <f>VLOOKUP(E598,Dim_Product!$A$2:$Q$61,3,FALSE)</f>
        <v/>
      </c>
      <c r="U598" s="12">
        <f>VLOOKUP(E598,Dim_Product!$A$2:$Q$61,4,FALSE)</f>
        <v/>
      </c>
      <c r="V598" s="12">
        <f>VLOOKUP(D598,Dim_Customer!$A$2:$I$121,6,FALSE)</f>
        <v/>
      </c>
      <c r="W598" s="12">
        <f>VLOOKUP(G598,Dim_Channel!$A$2:$B$5,2,FALSE)</f>
        <v/>
      </c>
      <c r="X598" s="12">
        <f>VLOOKUP(H598,Dim_Promotion!$A$2:$G$11,2,FALSE)</f>
        <v/>
      </c>
    </row>
    <row r="599">
      <c r="A599" s="4" t="inlineStr">
        <is>
          <t>SL0598</t>
        </is>
      </c>
      <c r="B599" t="inlineStr">
        <is>
          <t>O010299</t>
        </is>
      </c>
      <c r="C599" t="n">
        <v>20251125</v>
      </c>
      <c r="D599" s="4" t="inlineStr">
        <is>
          <t>C051</t>
        </is>
      </c>
      <c r="E599" s="4" t="inlineStr">
        <is>
          <t>P009</t>
        </is>
      </c>
      <c r="F599" t="inlineStr">
        <is>
          <t>L</t>
        </is>
      </c>
      <c r="G599" s="4" t="inlineStr">
        <is>
          <t>CH01</t>
        </is>
      </c>
      <c r="H599" s="4" t="inlineStr">
        <is>
          <t>PR08</t>
        </is>
      </c>
      <c r="I599" s="8" t="n">
        <v>46</v>
      </c>
      <c r="J599" s="9" t="n">
        <v>0.25</v>
      </c>
      <c r="K599" s="10">
        <f>I599*(1-J599)</f>
        <v/>
      </c>
      <c r="L599" s="11" t="n">
        <v>1</v>
      </c>
      <c r="M599" s="10">
        <f>K599*L599</f>
        <v/>
      </c>
      <c r="N599" s="8" t="n">
        <v>19.14</v>
      </c>
      <c r="O599" s="10">
        <f>N599*L599</f>
        <v/>
      </c>
      <c r="P599" s="10">
        <f>M599-O599</f>
        <v/>
      </c>
      <c r="Q599" s="11" t="inlineStr">
        <is>
          <t>No</t>
        </is>
      </c>
      <c r="R599" s="11" t="n">
        <v>0</v>
      </c>
      <c r="S599" s="10">
        <f>M599-(R599*K599)</f>
        <v/>
      </c>
      <c r="T599" s="12">
        <f>VLOOKUP(E599,Dim_Product!$A$2:$Q$61,3,FALSE)</f>
        <v/>
      </c>
      <c r="U599" s="12">
        <f>VLOOKUP(E599,Dim_Product!$A$2:$Q$61,4,FALSE)</f>
        <v/>
      </c>
      <c r="V599" s="12">
        <f>VLOOKUP(D599,Dim_Customer!$A$2:$I$121,6,FALSE)</f>
        <v/>
      </c>
      <c r="W599" s="12">
        <f>VLOOKUP(G599,Dim_Channel!$A$2:$B$5,2,FALSE)</f>
        <v/>
      </c>
      <c r="X599" s="12">
        <f>VLOOKUP(H599,Dim_Promotion!$A$2:$G$11,2,FALSE)</f>
        <v/>
      </c>
    </row>
    <row r="600">
      <c r="A600" s="4" t="inlineStr">
        <is>
          <t>SL0599</t>
        </is>
      </c>
      <c r="B600" t="inlineStr">
        <is>
          <t>O010300</t>
        </is>
      </c>
      <c r="C600" t="n">
        <v>20250319</v>
      </c>
      <c r="D600" s="4" t="inlineStr">
        <is>
          <t>C063</t>
        </is>
      </c>
      <c r="E600" s="4" t="inlineStr">
        <is>
          <t>P057</t>
        </is>
      </c>
      <c r="F600" t="inlineStr">
        <is>
          <t>M</t>
        </is>
      </c>
      <c r="G600" s="4" t="inlineStr">
        <is>
          <t>CH01</t>
        </is>
      </c>
      <c r="H600" s="4" t="inlineStr">
        <is>
          <t>PR00</t>
        </is>
      </c>
      <c r="I600" s="8" t="n">
        <v>76</v>
      </c>
      <c r="J600" s="9" t="n">
        <v>0</v>
      </c>
      <c r="K600" s="10">
        <f>I600*(1-J600)</f>
        <v/>
      </c>
      <c r="L600" s="11" t="n">
        <v>1</v>
      </c>
      <c r="M600" s="10">
        <f>K600*L600</f>
        <v/>
      </c>
      <c r="N600" s="8" t="n">
        <v>34.6</v>
      </c>
      <c r="O600" s="10">
        <f>N600*L600</f>
        <v/>
      </c>
      <c r="P600" s="10">
        <f>M600-O600</f>
        <v/>
      </c>
      <c r="Q600" s="11" t="inlineStr">
        <is>
          <t>No</t>
        </is>
      </c>
      <c r="R600" s="11" t="n">
        <v>0</v>
      </c>
      <c r="S600" s="10">
        <f>M600-(R600*K600)</f>
        <v/>
      </c>
      <c r="T600" s="12">
        <f>VLOOKUP(E600,Dim_Product!$A$2:$Q$61,3,FALSE)</f>
        <v/>
      </c>
      <c r="U600" s="12">
        <f>VLOOKUP(E600,Dim_Product!$A$2:$Q$61,4,FALSE)</f>
        <v/>
      </c>
      <c r="V600" s="12">
        <f>VLOOKUP(D600,Dim_Customer!$A$2:$I$121,6,FALSE)</f>
        <v/>
      </c>
      <c r="W600" s="12">
        <f>VLOOKUP(G600,Dim_Channel!$A$2:$B$5,2,FALSE)</f>
        <v/>
      </c>
      <c r="X600" s="12">
        <f>VLOOKUP(H600,Dim_Promotion!$A$2:$G$11,2,FALSE)</f>
        <v/>
      </c>
    </row>
    <row r="601">
      <c r="A601" s="4" t="inlineStr">
        <is>
          <t>SL0600</t>
        </is>
      </c>
      <c r="B601" t="inlineStr">
        <is>
          <t>O010300</t>
        </is>
      </c>
      <c r="C601" t="n">
        <v>20250621</v>
      </c>
      <c r="D601" s="4" t="inlineStr">
        <is>
          <t>C052</t>
        </is>
      </c>
      <c r="E601" s="4" t="inlineStr">
        <is>
          <t>P006</t>
        </is>
      </c>
      <c r="F601" t="inlineStr">
        <is>
          <t>L</t>
        </is>
      </c>
      <c r="G601" s="4" t="inlineStr">
        <is>
          <t>CH03</t>
        </is>
      </c>
      <c r="H601" s="4" t="inlineStr">
        <is>
          <t>PR04</t>
        </is>
      </c>
      <c r="I601" s="8" t="n">
        <v>47</v>
      </c>
      <c r="J601" s="9" t="n">
        <v>0.12</v>
      </c>
      <c r="K601" s="10">
        <f>I601*(1-J601)</f>
        <v/>
      </c>
      <c r="L601" s="11" t="n">
        <v>1</v>
      </c>
      <c r="M601" s="10">
        <f>K601*L601</f>
        <v/>
      </c>
      <c r="N601" s="8" t="n">
        <v>20.72</v>
      </c>
      <c r="O601" s="10">
        <f>N601*L601</f>
        <v/>
      </c>
      <c r="P601" s="10">
        <f>M601-O601</f>
        <v/>
      </c>
      <c r="Q601" s="11" t="inlineStr">
        <is>
          <t>Yes</t>
        </is>
      </c>
      <c r="R601" s="11" t="n">
        <v>1</v>
      </c>
      <c r="S601" s="10">
        <f>M601-(R601*K601)</f>
        <v/>
      </c>
      <c r="T601" s="12">
        <f>VLOOKUP(E601,Dim_Product!$A$2:$Q$61,3,FALSE)</f>
        <v/>
      </c>
      <c r="U601" s="12">
        <f>VLOOKUP(E601,Dim_Product!$A$2:$Q$61,4,FALSE)</f>
        <v/>
      </c>
      <c r="V601" s="12">
        <f>VLOOKUP(D601,Dim_Customer!$A$2:$I$121,6,FALSE)</f>
        <v/>
      </c>
      <c r="W601" s="12">
        <f>VLOOKUP(G601,Dim_Channel!$A$2:$B$5,2,FALSE)</f>
        <v/>
      </c>
      <c r="X601" s="12">
        <f>VLOOKUP(H601,Dim_Promotion!$A$2:$G$11,2,FALSE)</f>
        <v/>
      </c>
    </row>
    <row r="602">
      <c r="A602" s="4" t="inlineStr">
        <is>
          <t>SL0601</t>
        </is>
      </c>
      <c r="B602" t="inlineStr">
        <is>
          <t>O010301</t>
        </is>
      </c>
      <c r="C602" t="n">
        <v>20250325</v>
      </c>
      <c r="D602" s="4" t="inlineStr">
        <is>
          <t>C011</t>
        </is>
      </c>
      <c r="E602" s="4" t="inlineStr">
        <is>
          <t>P050</t>
        </is>
      </c>
      <c r="F602" t="inlineStr">
        <is>
          <t>S</t>
        </is>
      </c>
      <c r="G602" s="4" t="inlineStr">
        <is>
          <t>CH04</t>
        </is>
      </c>
      <c r="H602" s="4" t="inlineStr">
        <is>
          <t>PR00</t>
        </is>
      </c>
      <c r="I602" s="8" t="n">
        <v>66</v>
      </c>
      <c r="J602" s="9" t="n">
        <v>0</v>
      </c>
      <c r="K602" s="10">
        <f>I602*(1-J602)</f>
        <v/>
      </c>
      <c r="L602" s="11" t="n">
        <v>1</v>
      </c>
      <c r="M602" s="10">
        <f>K602*L602</f>
        <v/>
      </c>
      <c r="N602" s="8" t="n">
        <v>29.68</v>
      </c>
      <c r="O602" s="10">
        <f>N602*L602</f>
        <v/>
      </c>
      <c r="P602" s="10">
        <f>M602-O602</f>
        <v/>
      </c>
      <c r="Q602" s="11" t="inlineStr">
        <is>
          <t>Yes</t>
        </is>
      </c>
      <c r="R602" s="11" t="n">
        <v>1</v>
      </c>
      <c r="S602" s="10">
        <f>M602-(R602*K602)</f>
        <v/>
      </c>
      <c r="T602" s="12">
        <f>VLOOKUP(E602,Dim_Product!$A$2:$Q$61,3,FALSE)</f>
        <v/>
      </c>
      <c r="U602" s="12">
        <f>VLOOKUP(E602,Dim_Product!$A$2:$Q$61,4,FALSE)</f>
        <v/>
      </c>
      <c r="V602" s="12">
        <f>VLOOKUP(D602,Dim_Customer!$A$2:$I$121,6,FALSE)</f>
        <v/>
      </c>
      <c r="W602" s="12">
        <f>VLOOKUP(G602,Dim_Channel!$A$2:$B$5,2,FALSE)</f>
        <v/>
      </c>
      <c r="X602" s="12">
        <f>VLOOKUP(H602,Dim_Promotion!$A$2:$G$11,2,FALSE)</f>
        <v/>
      </c>
    </row>
    <row r="603">
      <c r="A603" s="4" t="inlineStr">
        <is>
          <t>SL0602</t>
        </is>
      </c>
      <c r="B603" t="inlineStr">
        <is>
          <t>O010301</t>
        </is>
      </c>
      <c r="C603" t="n">
        <v>20250904</v>
      </c>
      <c r="D603" s="4" t="inlineStr">
        <is>
          <t>C003</t>
        </is>
      </c>
      <c r="E603" s="4" t="inlineStr">
        <is>
          <t>P048</t>
        </is>
      </c>
      <c r="F603" t="inlineStr">
        <is>
          <t>S</t>
        </is>
      </c>
      <c r="G603" s="4" t="inlineStr">
        <is>
          <t>CH04</t>
        </is>
      </c>
      <c r="H603" s="4" t="inlineStr">
        <is>
          <t>PR00</t>
        </is>
      </c>
      <c r="I603" s="8" t="n">
        <v>68</v>
      </c>
      <c r="J603" s="9" t="n">
        <v>0</v>
      </c>
      <c r="K603" s="10">
        <f>I603*(1-J603)</f>
        <v/>
      </c>
      <c r="L603" s="11" t="n">
        <v>1</v>
      </c>
      <c r="M603" s="10">
        <f>K603*L603</f>
        <v/>
      </c>
      <c r="N603" s="8" t="n">
        <v>33.19</v>
      </c>
      <c r="O603" s="10">
        <f>N603*L603</f>
        <v/>
      </c>
      <c r="P603" s="10">
        <f>M603-O603</f>
        <v/>
      </c>
      <c r="Q603" s="11" t="inlineStr">
        <is>
          <t>No</t>
        </is>
      </c>
      <c r="R603" s="11" t="n">
        <v>0</v>
      </c>
      <c r="S603" s="10">
        <f>M603-(R603*K603)</f>
        <v/>
      </c>
      <c r="T603" s="12">
        <f>VLOOKUP(E603,Dim_Product!$A$2:$Q$61,3,FALSE)</f>
        <v/>
      </c>
      <c r="U603" s="12">
        <f>VLOOKUP(E603,Dim_Product!$A$2:$Q$61,4,FALSE)</f>
        <v/>
      </c>
      <c r="V603" s="12">
        <f>VLOOKUP(D603,Dim_Customer!$A$2:$I$121,6,FALSE)</f>
        <v/>
      </c>
      <c r="W603" s="12">
        <f>VLOOKUP(G603,Dim_Channel!$A$2:$B$5,2,FALSE)</f>
        <v/>
      </c>
      <c r="X603" s="12">
        <f>VLOOKUP(H603,Dim_Promotion!$A$2:$G$11,2,FALSE)</f>
        <v/>
      </c>
    </row>
    <row r="604">
      <c r="A604" s="4" t="inlineStr">
        <is>
          <t>SL0603</t>
        </is>
      </c>
      <c r="B604" t="inlineStr">
        <is>
          <t>O010302</t>
        </is>
      </c>
      <c r="C604" t="n">
        <v>20250908</v>
      </c>
      <c r="D604" s="4" t="inlineStr">
        <is>
          <t>C118</t>
        </is>
      </c>
      <c r="E604" s="4" t="inlineStr">
        <is>
          <t>P052</t>
        </is>
      </c>
      <c r="F604" t="inlineStr">
        <is>
          <t>XL</t>
        </is>
      </c>
      <c r="G604" s="4" t="inlineStr">
        <is>
          <t>CH03</t>
        </is>
      </c>
      <c r="H604" s="4" t="inlineStr">
        <is>
          <t>PR00</t>
        </is>
      </c>
      <c r="I604" s="8" t="n">
        <v>64</v>
      </c>
      <c r="J604" s="9" t="n">
        <v>0</v>
      </c>
      <c r="K604" s="10">
        <f>I604*(1-J604)</f>
        <v/>
      </c>
      <c r="L604" s="11" t="n">
        <v>4</v>
      </c>
      <c r="M604" s="10">
        <f>K604*L604</f>
        <v/>
      </c>
      <c r="N604" s="8" t="n">
        <v>30.8</v>
      </c>
      <c r="O604" s="10">
        <f>N604*L604</f>
        <v/>
      </c>
      <c r="P604" s="10">
        <f>M604-O604</f>
        <v/>
      </c>
      <c r="Q604" s="11" t="inlineStr">
        <is>
          <t>No</t>
        </is>
      </c>
      <c r="R604" s="11" t="n">
        <v>0</v>
      </c>
      <c r="S604" s="10">
        <f>M604-(R604*K604)</f>
        <v/>
      </c>
      <c r="T604" s="12">
        <f>VLOOKUP(E604,Dim_Product!$A$2:$Q$61,3,FALSE)</f>
        <v/>
      </c>
      <c r="U604" s="12">
        <f>VLOOKUP(E604,Dim_Product!$A$2:$Q$61,4,FALSE)</f>
        <v/>
      </c>
      <c r="V604" s="12">
        <f>VLOOKUP(D604,Dim_Customer!$A$2:$I$121,6,FALSE)</f>
        <v/>
      </c>
      <c r="W604" s="12">
        <f>VLOOKUP(G604,Dim_Channel!$A$2:$B$5,2,FALSE)</f>
        <v/>
      </c>
      <c r="X604" s="12">
        <f>VLOOKUP(H604,Dim_Promotion!$A$2:$G$11,2,FALSE)</f>
        <v/>
      </c>
    </row>
    <row r="605">
      <c r="A605" s="4" t="inlineStr">
        <is>
          <t>SL0604</t>
        </is>
      </c>
      <c r="B605" t="inlineStr">
        <is>
          <t>O010302</t>
        </is>
      </c>
      <c r="C605" t="n">
        <v>20250503</v>
      </c>
      <c r="D605" s="4" t="inlineStr">
        <is>
          <t>C079</t>
        </is>
      </c>
      <c r="E605" s="4" t="inlineStr">
        <is>
          <t>P019</t>
        </is>
      </c>
      <c r="F605" t="inlineStr">
        <is>
          <t>L</t>
        </is>
      </c>
      <c r="G605" s="4" t="inlineStr">
        <is>
          <t>CH01</t>
        </is>
      </c>
      <c r="H605" s="4" t="inlineStr">
        <is>
          <t>PR00</t>
        </is>
      </c>
      <c r="I605" s="8" t="n">
        <v>65</v>
      </c>
      <c r="J605" s="9" t="n">
        <v>0</v>
      </c>
      <c r="K605" s="10">
        <f>I605*(1-J605)</f>
        <v/>
      </c>
      <c r="L605" s="11" t="n">
        <v>1</v>
      </c>
      <c r="M605" s="10">
        <f>K605*L605</f>
        <v/>
      </c>
      <c r="N605" s="8" t="n">
        <v>32.51</v>
      </c>
      <c r="O605" s="10">
        <f>N605*L605</f>
        <v/>
      </c>
      <c r="P605" s="10">
        <f>M605-O605</f>
        <v/>
      </c>
      <c r="Q605" s="11" t="inlineStr">
        <is>
          <t>No</t>
        </is>
      </c>
      <c r="R605" s="11" t="n">
        <v>0</v>
      </c>
      <c r="S605" s="10">
        <f>M605-(R605*K605)</f>
        <v/>
      </c>
      <c r="T605" s="12">
        <f>VLOOKUP(E605,Dim_Product!$A$2:$Q$61,3,FALSE)</f>
        <v/>
      </c>
      <c r="U605" s="12">
        <f>VLOOKUP(E605,Dim_Product!$A$2:$Q$61,4,FALSE)</f>
        <v/>
      </c>
      <c r="V605" s="12">
        <f>VLOOKUP(D605,Dim_Customer!$A$2:$I$121,6,FALSE)</f>
        <v/>
      </c>
      <c r="W605" s="12">
        <f>VLOOKUP(G605,Dim_Channel!$A$2:$B$5,2,FALSE)</f>
        <v/>
      </c>
      <c r="X605" s="12">
        <f>VLOOKUP(H605,Dim_Promotion!$A$2:$G$11,2,FALSE)</f>
        <v/>
      </c>
    </row>
    <row r="606">
      <c r="A606" s="4" t="inlineStr">
        <is>
          <t>SL0605</t>
        </is>
      </c>
      <c r="B606" t="inlineStr">
        <is>
          <t>O010303</t>
        </is>
      </c>
      <c r="C606" t="n">
        <v>20250322</v>
      </c>
      <c r="D606" s="4" t="inlineStr">
        <is>
          <t>C088</t>
        </is>
      </c>
      <c r="E606" s="4" t="inlineStr">
        <is>
          <t>P020</t>
        </is>
      </c>
      <c r="F606" t="inlineStr">
        <is>
          <t>L</t>
        </is>
      </c>
      <c r="G606" s="4" t="inlineStr">
        <is>
          <t>CH02</t>
        </is>
      </c>
      <c r="H606" s="4" t="inlineStr">
        <is>
          <t>PR00</t>
        </is>
      </c>
      <c r="I606" s="8" t="n">
        <v>62</v>
      </c>
      <c r="J606" s="9" t="n">
        <v>0</v>
      </c>
      <c r="K606" s="10">
        <f>I606*(1-J606)</f>
        <v/>
      </c>
      <c r="L606" s="11" t="n">
        <v>2</v>
      </c>
      <c r="M606" s="10">
        <f>K606*L606</f>
        <v/>
      </c>
      <c r="N606" s="8" t="n">
        <v>30.95</v>
      </c>
      <c r="O606" s="10">
        <f>N606*L606</f>
        <v/>
      </c>
      <c r="P606" s="10">
        <f>M606-O606</f>
        <v/>
      </c>
      <c r="Q606" s="11" t="inlineStr">
        <is>
          <t>No</t>
        </is>
      </c>
      <c r="R606" s="11" t="n">
        <v>0</v>
      </c>
      <c r="S606" s="10">
        <f>M606-(R606*K606)</f>
        <v/>
      </c>
      <c r="T606" s="12">
        <f>VLOOKUP(E606,Dim_Product!$A$2:$Q$61,3,FALSE)</f>
        <v/>
      </c>
      <c r="U606" s="12">
        <f>VLOOKUP(E606,Dim_Product!$A$2:$Q$61,4,FALSE)</f>
        <v/>
      </c>
      <c r="V606" s="12">
        <f>VLOOKUP(D606,Dim_Customer!$A$2:$I$121,6,FALSE)</f>
        <v/>
      </c>
      <c r="W606" s="12">
        <f>VLOOKUP(G606,Dim_Channel!$A$2:$B$5,2,FALSE)</f>
        <v/>
      </c>
      <c r="X606" s="12">
        <f>VLOOKUP(H606,Dim_Promotion!$A$2:$G$11,2,FALSE)</f>
        <v/>
      </c>
    </row>
    <row r="607">
      <c r="A607" s="4" t="inlineStr">
        <is>
          <t>SL0606</t>
        </is>
      </c>
      <c r="B607" t="inlineStr">
        <is>
          <t>O010303</t>
        </is>
      </c>
      <c r="C607" t="n">
        <v>20251005</v>
      </c>
      <c r="D607" s="4" t="inlineStr">
        <is>
          <t>C041</t>
        </is>
      </c>
      <c r="E607" s="4" t="inlineStr">
        <is>
          <t>P008</t>
        </is>
      </c>
      <c r="F607" t="inlineStr">
        <is>
          <t>L</t>
        </is>
      </c>
      <c r="G607" s="4" t="inlineStr">
        <is>
          <t>CH04</t>
        </is>
      </c>
      <c r="H607" s="4" t="inlineStr">
        <is>
          <t>PR00</t>
        </is>
      </c>
      <c r="I607" s="8" t="n">
        <v>53</v>
      </c>
      <c r="J607" s="9" t="n">
        <v>0</v>
      </c>
      <c r="K607" s="10">
        <f>I607*(1-J607)</f>
        <v/>
      </c>
      <c r="L607" s="11" t="n">
        <v>3</v>
      </c>
      <c r="M607" s="10">
        <f>K607*L607</f>
        <v/>
      </c>
      <c r="N607" s="8" t="n">
        <v>22.92</v>
      </c>
      <c r="O607" s="10">
        <f>N607*L607</f>
        <v/>
      </c>
      <c r="P607" s="10">
        <f>M607-O607</f>
        <v/>
      </c>
      <c r="Q607" s="11" t="inlineStr">
        <is>
          <t>No</t>
        </is>
      </c>
      <c r="R607" s="11" t="n">
        <v>0</v>
      </c>
      <c r="S607" s="10">
        <f>M607-(R607*K607)</f>
        <v/>
      </c>
      <c r="T607" s="12">
        <f>VLOOKUP(E607,Dim_Product!$A$2:$Q$61,3,FALSE)</f>
        <v/>
      </c>
      <c r="U607" s="12">
        <f>VLOOKUP(E607,Dim_Product!$A$2:$Q$61,4,FALSE)</f>
        <v/>
      </c>
      <c r="V607" s="12">
        <f>VLOOKUP(D607,Dim_Customer!$A$2:$I$121,6,FALSE)</f>
        <v/>
      </c>
      <c r="W607" s="12">
        <f>VLOOKUP(G607,Dim_Channel!$A$2:$B$5,2,FALSE)</f>
        <v/>
      </c>
      <c r="X607" s="12">
        <f>VLOOKUP(H607,Dim_Promotion!$A$2:$G$11,2,FALSE)</f>
        <v/>
      </c>
    </row>
    <row r="608">
      <c r="A608" s="4" t="inlineStr">
        <is>
          <t>SL0607</t>
        </is>
      </c>
      <c r="B608" t="inlineStr">
        <is>
          <t>O010304</t>
        </is>
      </c>
      <c r="C608" t="n">
        <v>20251206</v>
      </c>
      <c r="D608" s="4" t="inlineStr">
        <is>
          <t>C099</t>
        </is>
      </c>
      <c r="E608" s="4" t="inlineStr">
        <is>
          <t>P022</t>
        </is>
      </c>
      <c r="F608" t="inlineStr">
        <is>
          <t>M</t>
        </is>
      </c>
      <c r="G608" s="4" t="inlineStr">
        <is>
          <t>CH03</t>
        </is>
      </c>
      <c r="H608" s="4" t="inlineStr">
        <is>
          <t>PR00</t>
        </is>
      </c>
      <c r="I608" s="8" t="n">
        <v>60</v>
      </c>
      <c r="J608" s="9" t="n">
        <v>0</v>
      </c>
      <c r="K608" s="10">
        <f>I608*(1-J608)</f>
        <v/>
      </c>
      <c r="L608" s="11" t="n">
        <v>1</v>
      </c>
      <c r="M608" s="10">
        <f>K608*L608</f>
        <v/>
      </c>
      <c r="N608" s="8" t="n">
        <v>26.95</v>
      </c>
      <c r="O608" s="10">
        <f>N608*L608</f>
        <v/>
      </c>
      <c r="P608" s="10">
        <f>M608-O608</f>
        <v/>
      </c>
      <c r="Q608" s="11" t="inlineStr">
        <is>
          <t>No</t>
        </is>
      </c>
      <c r="R608" s="11" t="n">
        <v>0</v>
      </c>
      <c r="S608" s="10">
        <f>M608-(R608*K608)</f>
        <v/>
      </c>
      <c r="T608" s="12">
        <f>VLOOKUP(E608,Dim_Product!$A$2:$Q$61,3,FALSE)</f>
        <v/>
      </c>
      <c r="U608" s="12">
        <f>VLOOKUP(E608,Dim_Product!$A$2:$Q$61,4,FALSE)</f>
        <v/>
      </c>
      <c r="V608" s="12">
        <f>VLOOKUP(D608,Dim_Customer!$A$2:$I$121,6,FALSE)</f>
        <v/>
      </c>
      <c r="W608" s="12">
        <f>VLOOKUP(G608,Dim_Channel!$A$2:$B$5,2,FALSE)</f>
        <v/>
      </c>
      <c r="X608" s="12">
        <f>VLOOKUP(H608,Dim_Promotion!$A$2:$G$11,2,FALSE)</f>
        <v/>
      </c>
    </row>
    <row r="609">
      <c r="A609" s="4" t="inlineStr">
        <is>
          <t>SL0608</t>
        </is>
      </c>
      <c r="B609" t="inlineStr">
        <is>
          <t>O010304</t>
        </is>
      </c>
      <c r="C609" t="n">
        <v>20250618</v>
      </c>
      <c r="D609" s="4" t="inlineStr">
        <is>
          <t>C064</t>
        </is>
      </c>
      <c r="E609" s="4" t="inlineStr">
        <is>
          <t>P031</t>
        </is>
      </c>
      <c r="F609" t="inlineStr">
        <is>
          <t>M</t>
        </is>
      </c>
      <c r="G609" s="4" t="inlineStr">
        <is>
          <t>CH02</t>
        </is>
      </c>
      <c r="H609" s="4" t="inlineStr">
        <is>
          <t>PR00</t>
        </is>
      </c>
      <c r="I609" s="8" t="n">
        <v>113</v>
      </c>
      <c r="J609" s="9" t="n">
        <v>0</v>
      </c>
      <c r="K609" s="10">
        <f>I609*(1-J609)</f>
        <v/>
      </c>
      <c r="L609" s="11" t="n">
        <v>1</v>
      </c>
      <c r="M609" s="10">
        <f>K609*L609</f>
        <v/>
      </c>
      <c r="N609" s="8" t="n">
        <v>56.46</v>
      </c>
      <c r="O609" s="10">
        <f>N609*L609</f>
        <v/>
      </c>
      <c r="P609" s="10">
        <f>M609-O609</f>
        <v/>
      </c>
      <c r="Q609" s="11" t="inlineStr">
        <is>
          <t>No</t>
        </is>
      </c>
      <c r="R609" s="11" t="n">
        <v>0</v>
      </c>
      <c r="S609" s="10">
        <f>M609-(R609*K609)</f>
        <v/>
      </c>
      <c r="T609" s="12">
        <f>VLOOKUP(E609,Dim_Product!$A$2:$Q$61,3,FALSE)</f>
        <v/>
      </c>
      <c r="U609" s="12">
        <f>VLOOKUP(E609,Dim_Product!$A$2:$Q$61,4,FALSE)</f>
        <v/>
      </c>
      <c r="V609" s="12">
        <f>VLOOKUP(D609,Dim_Customer!$A$2:$I$121,6,FALSE)</f>
        <v/>
      </c>
      <c r="W609" s="12">
        <f>VLOOKUP(G609,Dim_Channel!$A$2:$B$5,2,FALSE)</f>
        <v/>
      </c>
      <c r="X609" s="12">
        <f>VLOOKUP(H609,Dim_Promotion!$A$2:$G$11,2,FALSE)</f>
        <v/>
      </c>
    </row>
    <row r="610">
      <c r="A610" s="4" t="inlineStr">
        <is>
          <t>SL0609</t>
        </is>
      </c>
      <c r="B610" t="inlineStr">
        <is>
          <t>O010305</t>
        </is>
      </c>
      <c r="C610" t="n">
        <v>20250403</v>
      </c>
      <c r="D610" s="4" t="inlineStr">
        <is>
          <t>C031</t>
        </is>
      </c>
      <c r="E610" s="4" t="inlineStr">
        <is>
          <t>P020</t>
        </is>
      </c>
      <c r="F610" t="inlineStr">
        <is>
          <t>L</t>
        </is>
      </c>
      <c r="G610" s="4" t="inlineStr">
        <is>
          <t>CH01</t>
        </is>
      </c>
      <c r="H610" s="4" t="inlineStr">
        <is>
          <t>PR00</t>
        </is>
      </c>
      <c r="I610" s="8" t="n">
        <v>62</v>
      </c>
      <c r="J610" s="9" t="n">
        <v>0</v>
      </c>
      <c r="K610" s="10">
        <f>I610*(1-J610)</f>
        <v/>
      </c>
      <c r="L610" s="11" t="n">
        <v>1</v>
      </c>
      <c r="M610" s="10">
        <f>K610*L610</f>
        <v/>
      </c>
      <c r="N610" s="8" t="n">
        <v>30.03</v>
      </c>
      <c r="O610" s="10">
        <f>N610*L610</f>
        <v/>
      </c>
      <c r="P610" s="10">
        <f>M610-O610</f>
        <v/>
      </c>
      <c r="Q610" s="11" t="inlineStr">
        <is>
          <t>No</t>
        </is>
      </c>
      <c r="R610" s="11" t="n">
        <v>0</v>
      </c>
      <c r="S610" s="10">
        <f>M610-(R610*K610)</f>
        <v/>
      </c>
      <c r="T610" s="12">
        <f>VLOOKUP(E610,Dim_Product!$A$2:$Q$61,3,FALSE)</f>
        <v/>
      </c>
      <c r="U610" s="12">
        <f>VLOOKUP(E610,Dim_Product!$A$2:$Q$61,4,FALSE)</f>
        <v/>
      </c>
      <c r="V610" s="12">
        <f>VLOOKUP(D610,Dim_Customer!$A$2:$I$121,6,FALSE)</f>
        <v/>
      </c>
      <c r="W610" s="12">
        <f>VLOOKUP(G610,Dim_Channel!$A$2:$B$5,2,FALSE)</f>
        <v/>
      </c>
      <c r="X610" s="12">
        <f>VLOOKUP(H610,Dim_Promotion!$A$2:$G$11,2,FALSE)</f>
        <v/>
      </c>
    </row>
    <row r="611">
      <c r="A611" s="4" t="inlineStr">
        <is>
          <t>SL0610</t>
        </is>
      </c>
      <c r="B611" t="inlineStr">
        <is>
          <t>O010305</t>
        </is>
      </c>
      <c r="C611" t="n">
        <v>20251127</v>
      </c>
      <c r="D611" s="4" t="inlineStr">
        <is>
          <t>C018</t>
        </is>
      </c>
      <c r="E611" s="4" t="inlineStr">
        <is>
          <t>P016</t>
        </is>
      </c>
      <c r="F611" t="inlineStr">
        <is>
          <t>XL</t>
        </is>
      </c>
      <c r="G611" s="4" t="inlineStr">
        <is>
          <t>CH04</t>
        </is>
      </c>
      <c r="H611" s="4" t="inlineStr">
        <is>
          <t>PR08</t>
        </is>
      </c>
      <c r="I611" s="8" t="n">
        <v>58</v>
      </c>
      <c r="J611" s="9" t="n">
        <v>0.25</v>
      </c>
      <c r="K611" s="10">
        <f>I611*(1-J611)</f>
        <v/>
      </c>
      <c r="L611" s="11" t="n">
        <v>1</v>
      </c>
      <c r="M611" s="10">
        <f>K611*L611</f>
        <v/>
      </c>
      <c r="N611" s="8" t="n">
        <v>26.82</v>
      </c>
      <c r="O611" s="10">
        <f>N611*L611</f>
        <v/>
      </c>
      <c r="P611" s="10">
        <f>M611-O611</f>
        <v/>
      </c>
      <c r="Q611" s="11" t="inlineStr">
        <is>
          <t>No</t>
        </is>
      </c>
      <c r="R611" s="11" t="n">
        <v>0</v>
      </c>
      <c r="S611" s="10">
        <f>M611-(R611*K611)</f>
        <v/>
      </c>
      <c r="T611" s="12">
        <f>VLOOKUP(E611,Dim_Product!$A$2:$Q$61,3,FALSE)</f>
        <v/>
      </c>
      <c r="U611" s="12">
        <f>VLOOKUP(E611,Dim_Product!$A$2:$Q$61,4,FALSE)</f>
        <v/>
      </c>
      <c r="V611" s="12">
        <f>VLOOKUP(D611,Dim_Customer!$A$2:$I$121,6,FALSE)</f>
        <v/>
      </c>
      <c r="W611" s="12">
        <f>VLOOKUP(G611,Dim_Channel!$A$2:$B$5,2,FALSE)</f>
        <v/>
      </c>
      <c r="X611" s="12">
        <f>VLOOKUP(H611,Dim_Promotion!$A$2:$G$11,2,FALSE)</f>
        <v/>
      </c>
    </row>
    <row r="612">
      <c r="A612" s="4" t="inlineStr">
        <is>
          <t>SL0611</t>
        </is>
      </c>
      <c r="B612" t="inlineStr">
        <is>
          <t>O010306</t>
        </is>
      </c>
      <c r="C612" t="n">
        <v>20250223</v>
      </c>
      <c r="D612" s="4" t="inlineStr">
        <is>
          <t>C091</t>
        </is>
      </c>
      <c r="E612" s="4" t="inlineStr">
        <is>
          <t>P041</t>
        </is>
      </c>
      <c r="F612" t="inlineStr">
        <is>
          <t>XS</t>
        </is>
      </c>
      <c r="G612" s="4" t="inlineStr">
        <is>
          <t>CH01</t>
        </is>
      </c>
      <c r="H612" s="4" t="inlineStr">
        <is>
          <t>PR00</t>
        </is>
      </c>
      <c r="I612" s="8" t="n">
        <v>80</v>
      </c>
      <c r="J612" s="9" t="n">
        <v>0</v>
      </c>
      <c r="K612" s="10">
        <f>I612*(1-J612)</f>
        <v/>
      </c>
      <c r="L612" s="11" t="n">
        <v>2</v>
      </c>
      <c r="M612" s="10">
        <f>K612*L612</f>
        <v/>
      </c>
      <c r="N612" s="8" t="n">
        <v>37.31</v>
      </c>
      <c r="O612" s="10">
        <f>N612*L612</f>
        <v/>
      </c>
      <c r="P612" s="10">
        <f>M612-O612</f>
        <v/>
      </c>
      <c r="Q612" s="11" t="inlineStr">
        <is>
          <t>No</t>
        </is>
      </c>
      <c r="R612" s="11" t="n">
        <v>0</v>
      </c>
      <c r="S612" s="10">
        <f>M612-(R612*K612)</f>
        <v/>
      </c>
      <c r="T612" s="12">
        <f>VLOOKUP(E612,Dim_Product!$A$2:$Q$61,3,FALSE)</f>
        <v/>
      </c>
      <c r="U612" s="12">
        <f>VLOOKUP(E612,Dim_Product!$A$2:$Q$61,4,FALSE)</f>
        <v/>
      </c>
      <c r="V612" s="12">
        <f>VLOOKUP(D612,Dim_Customer!$A$2:$I$121,6,FALSE)</f>
        <v/>
      </c>
      <c r="W612" s="12">
        <f>VLOOKUP(G612,Dim_Channel!$A$2:$B$5,2,FALSE)</f>
        <v/>
      </c>
      <c r="X612" s="12">
        <f>VLOOKUP(H612,Dim_Promotion!$A$2:$G$11,2,FALSE)</f>
        <v/>
      </c>
    </row>
    <row r="613">
      <c r="A613" s="4" t="inlineStr">
        <is>
          <t>SL0612</t>
        </is>
      </c>
      <c r="B613" t="inlineStr">
        <is>
          <t>O010306</t>
        </is>
      </c>
      <c r="C613" t="n">
        <v>20250203</v>
      </c>
      <c r="D613" s="4" t="inlineStr">
        <is>
          <t>C002</t>
        </is>
      </c>
      <c r="E613" s="4" t="inlineStr">
        <is>
          <t>P008</t>
        </is>
      </c>
      <c r="F613" t="inlineStr">
        <is>
          <t>L</t>
        </is>
      </c>
      <c r="G613" s="4" t="inlineStr">
        <is>
          <t>CH03</t>
        </is>
      </c>
      <c r="H613" s="4" t="inlineStr">
        <is>
          <t>PR00</t>
        </is>
      </c>
      <c r="I613" s="8" t="n">
        <v>52</v>
      </c>
      <c r="J613" s="9" t="n">
        <v>0</v>
      </c>
      <c r="K613" s="10">
        <f>I613*(1-J613)</f>
        <v/>
      </c>
      <c r="L613" s="11" t="n">
        <v>1</v>
      </c>
      <c r="M613" s="10">
        <f>K613*L613</f>
        <v/>
      </c>
      <c r="N613" s="8" t="n">
        <v>23.54</v>
      </c>
      <c r="O613" s="10">
        <f>N613*L613</f>
        <v/>
      </c>
      <c r="P613" s="10">
        <f>M613-O613</f>
        <v/>
      </c>
      <c r="Q613" s="11" t="inlineStr">
        <is>
          <t>No</t>
        </is>
      </c>
      <c r="R613" s="11" t="n">
        <v>0</v>
      </c>
      <c r="S613" s="10">
        <f>M613-(R613*K613)</f>
        <v/>
      </c>
      <c r="T613" s="12">
        <f>VLOOKUP(E613,Dim_Product!$A$2:$Q$61,3,FALSE)</f>
        <v/>
      </c>
      <c r="U613" s="12">
        <f>VLOOKUP(E613,Dim_Product!$A$2:$Q$61,4,FALSE)</f>
        <v/>
      </c>
      <c r="V613" s="12">
        <f>VLOOKUP(D613,Dim_Customer!$A$2:$I$121,6,FALSE)</f>
        <v/>
      </c>
      <c r="W613" s="12">
        <f>VLOOKUP(G613,Dim_Channel!$A$2:$B$5,2,FALSE)</f>
        <v/>
      </c>
      <c r="X613" s="12">
        <f>VLOOKUP(H613,Dim_Promotion!$A$2:$G$11,2,FALSE)</f>
        <v/>
      </c>
    </row>
    <row r="614">
      <c r="A614" s="4" t="inlineStr">
        <is>
          <t>SL0613</t>
        </is>
      </c>
      <c r="B614" t="inlineStr">
        <is>
          <t>O010307</t>
        </is>
      </c>
      <c r="C614" t="n">
        <v>20250901</v>
      </c>
      <c r="D614" s="4" t="inlineStr">
        <is>
          <t>C037</t>
        </is>
      </c>
      <c r="E614" s="4" t="inlineStr">
        <is>
          <t>P006</t>
        </is>
      </c>
      <c r="F614" t="inlineStr">
        <is>
          <t>L</t>
        </is>
      </c>
      <c r="G614" s="4" t="inlineStr">
        <is>
          <t>CH02</t>
        </is>
      </c>
      <c r="H614" s="4" t="inlineStr">
        <is>
          <t>PR00</t>
        </is>
      </c>
      <c r="I614" s="8" t="n">
        <v>46</v>
      </c>
      <c r="J614" s="9" t="n">
        <v>0</v>
      </c>
      <c r="K614" s="10">
        <f>I614*(1-J614)</f>
        <v/>
      </c>
      <c r="L614" s="11" t="n">
        <v>1</v>
      </c>
      <c r="M614" s="10">
        <f>K614*L614</f>
        <v/>
      </c>
      <c r="N614" s="8" t="n">
        <v>21.63</v>
      </c>
      <c r="O614" s="10">
        <f>N614*L614</f>
        <v/>
      </c>
      <c r="P614" s="10">
        <f>M614-O614</f>
        <v/>
      </c>
      <c r="Q614" s="11" t="inlineStr">
        <is>
          <t>No</t>
        </is>
      </c>
      <c r="R614" s="11" t="n">
        <v>0</v>
      </c>
      <c r="S614" s="10">
        <f>M614-(R614*K614)</f>
        <v/>
      </c>
      <c r="T614" s="12">
        <f>VLOOKUP(E614,Dim_Product!$A$2:$Q$61,3,FALSE)</f>
        <v/>
      </c>
      <c r="U614" s="12">
        <f>VLOOKUP(E614,Dim_Product!$A$2:$Q$61,4,FALSE)</f>
        <v/>
      </c>
      <c r="V614" s="12">
        <f>VLOOKUP(D614,Dim_Customer!$A$2:$I$121,6,FALSE)</f>
        <v/>
      </c>
      <c r="W614" s="12">
        <f>VLOOKUP(G614,Dim_Channel!$A$2:$B$5,2,FALSE)</f>
        <v/>
      </c>
      <c r="X614" s="12">
        <f>VLOOKUP(H614,Dim_Promotion!$A$2:$G$11,2,FALSE)</f>
        <v/>
      </c>
    </row>
    <row r="615">
      <c r="A615" s="4" t="inlineStr">
        <is>
          <t>SL0614</t>
        </is>
      </c>
      <c r="B615" t="inlineStr">
        <is>
          <t>O010307</t>
        </is>
      </c>
      <c r="C615" t="n">
        <v>20251118</v>
      </c>
      <c r="D615" s="4" t="inlineStr">
        <is>
          <t>C092</t>
        </is>
      </c>
      <c r="E615" s="4" t="inlineStr">
        <is>
          <t>P049</t>
        </is>
      </c>
      <c r="F615" t="inlineStr">
        <is>
          <t>L</t>
        </is>
      </c>
      <c r="G615" s="4" t="inlineStr">
        <is>
          <t>CH04</t>
        </is>
      </c>
      <c r="H615" s="4" t="inlineStr">
        <is>
          <t>PR00</t>
        </is>
      </c>
      <c r="I615" s="8" t="n">
        <v>68</v>
      </c>
      <c r="J615" s="9" t="n">
        <v>0</v>
      </c>
      <c r="K615" s="10">
        <f>I615*(1-J615)</f>
        <v/>
      </c>
      <c r="L615" s="11" t="n">
        <v>1</v>
      </c>
      <c r="M615" s="10">
        <f>K615*L615</f>
        <v/>
      </c>
      <c r="N615" s="8" t="n">
        <v>30.12</v>
      </c>
      <c r="O615" s="10">
        <f>N615*L615</f>
        <v/>
      </c>
      <c r="P615" s="10">
        <f>M615-O615</f>
        <v/>
      </c>
      <c r="Q615" s="11" t="inlineStr">
        <is>
          <t>No</t>
        </is>
      </c>
      <c r="R615" s="11" t="n">
        <v>0</v>
      </c>
      <c r="S615" s="10">
        <f>M615-(R615*K615)</f>
        <v/>
      </c>
      <c r="T615" s="12">
        <f>VLOOKUP(E615,Dim_Product!$A$2:$Q$61,3,FALSE)</f>
        <v/>
      </c>
      <c r="U615" s="12">
        <f>VLOOKUP(E615,Dim_Product!$A$2:$Q$61,4,FALSE)</f>
        <v/>
      </c>
      <c r="V615" s="12">
        <f>VLOOKUP(D615,Dim_Customer!$A$2:$I$121,6,FALSE)</f>
        <v/>
      </c>
      <c r="W615" s="12">
        <f>VLOOKUP(G615,Dim_Channel!$A$2:$B$5,2,FALSE)</f>
        <v/>
      </c>
      <c r="X615" s="12">
        <f>VLOOKUP(H615,Dim_Promotion!$A$2:$G$11,2,FALSE)</f>
        <v/>
      </c>
    </row>
    <row r="616">
      <c r="A616" s="4" t="inlineStr">
        <is>
          <t>SL0615</t>
        </is>
      </c>
      <c r="B616" t="inlineStr">
        <is>
          <t>O010308</t>
        </is>
      </c>
      <c r="C616" t="n">
        <v>20250420</v>
      </c>
      <c r="D616" s="4" t="inlineStr">
        <is>
          <t>C008</t>
        </is>
      </c>
      <c r="E616" s="4" t="inlineStr">
        <is>
          <t>P012</t>
        </is>
      </c>
      <c r="F616" t="inlineStr">
        <is>
          <t>L</t>
        </is>
      </c>
      <c r="G616" s="4" t="inlineStr">
        <is>
          <t>CH02</t>
        </is>
      </c>
      <c r="H616" s="4" t="inlineStr">
        <is>
          <t>PR00</t>
        </is>
      </c>
      <c r="I616" s="8" t="n">
        <v>45</v>
      </c>
      <c r="J616" s="9" t="n">
        <v>0</v>
      </c>
      <c r="K616" s="10">
        <f>I616*(1-J616)</f>
        <v/>
      </c>
      <c r="L616" s="11" t="n">
        <v>1</v>
      </c>
      <c r="M616" s="10">
        <f>K616*L616</f>
        <v/>
      </c>
      <c r="N616" s="8" t="n">
        <v>22.42</v>
      </c>
      <c r="O616" s="10">
        <f>N616*L616</f>
        <v/>
      </c>
      <c r="P616" s="10">
        <f>M616-O616</f>
        <v/>
      </c>
      <c r="Q616" s="11" t="inlineStr">
        <is>
          <t>No</t>
        </is>
      </c>
      <c r="R616" s="11" t="n">
        <v>0</v>
      </c>
      <c r="S616" s="10">
        <f>M616-(R616*K616)</f>
        <v/>
      </c>
      <c r="T616" s="12">
        <f>VLOOKUP(E616,Dim_Product!$A$2:$Q$61,3,FALSE)</f>
        <v/>
      </c>
      <c r="U616" s="12">
        <f>VLOOKUP(E616,Dim_Product!$A$2:$Q$61,4,FALSE)</f>
        <v/>
      </c>
      <c r="V616" s="12">
        <f>VLOOKUP(D616,Dim_Customer!$A$2:$I$121,6,FALSE)</f>
        <v/>
      </c>
      <c r="W616" s="12">
        <f>VLOOKUP(G616,Dim_Channel!$A$2:$B$5,2,FALSE)</f>
        <v/>
      </c>
      <c r="X616" s="12">
        <f>VLOOKUP(H616,Dim_Promotion!$A$2:$G$11,2,FALSE)</f>
        <v/>
      </c>
    </row>
    <row r="617">
      <c r="A617" s="4" t="inlineStr">
        <is>
          <t>SL0616</t>
        </is>
      </c>
      <c r="B617" t="inlineStr">
        <is>
          <t>O010308</t>
        </is>
      </c>
      <c r="C617" t="n">
        <v>20250602</v>
      </c>
      <c r="D617" s="4" t="inlineStr">
        <is>
          <t>C103</t>
        </is>
      </c>
      <c r="E617" s="4" t="inlineStr">
        <is>
          <t>P021</t>
        </is>
      </c>
      <c r="F617" t="inlineStr">
        <is>
          <t>M</t>
        </is>
      </c>
      <c r="G617" s="4" t="inlineStr">
        <is>
          <t>CH01</t>
        </is>
      </c>
      <c r="H617" s="4" t="inlineStr">
        <is>
          <t>PR00</t>
        </is>
      </c>
      <c r="I617" s="8" t="n">
        <v>54</v>
      </c>
      <c r="J617" s="9" t="n">
        <v>0</v>
      </c>
      <c r="K617" s="10">
        <f>I617*(1-J617)</f>
        <v/>
      </c>
      <c r="L617" s="11" t="n">
        <v>1</v>
      </c>
      <c r="M617" s="10">
        <f>K617*L617</f>
        <v/>
      </c>
      <c r="N617" s="8" t="n">
        <v>27.91</v>
      </c>
      <c r="O617" s="10">
        <f>N617*L617</f>
        <v/>
      </c>
      <c r="P617" s="10">
        <f>M617-O617</f>
        <v/>
      </c>
      <c r="Q617" s="11" t="inlineStr">
        <is>
          <t>No</t>
        </is>
      </c>
      <c r="R617" s="11" t="n">
        <v>0</v>
      </c>
      <c r="S617" s="10">
        <f>M617-(R617*K617)</f>
        <v/>
      </c>
      <c r="T617" s="12">
        <f>VLOOKUP(E617,Dim_Product!$A$2:$Q$61,3,FALSE)</f>
        <v/>
      </c>
      <c r="U617" s="12">
        <f>VLOOKUP(E617,Dim_Product!$A$2:$Q$61,4,FALSE)</f>
        <v/>
      </c>
      <c r="V617" s="12">
        <f>VLOOKUP(D617,Dim_Customer!$A$2:$I$121,6,FALSE)</f>
        <v/>
      </c>
      <c r="W617" s="12">
        <f>VLOOKUP(G617,Dim_Channel!$A$2:$B$5,2,FALSE)</f>
        <v/>
      </c>
      <c r="X617" s="12">
        <f>VLOOKUP(H617,Dim_Promotion!$A$2:$G$11,2,FALSE)</f>
        <v/>
      </c>
    </row>
    <row r="618">
      <c r="A618" s="4" t="inlineStr">
        <is>
          <t>SL0617</t>
        </is>
      </c>
      <c r="B618" t="inlineStr">
        <is>
          <t>O010309</t>
        </is>
      </c>
      <c r="C618" t="n">
        <v>20250120</v>
      </c>
      <c r="D618" s="4" t="inlineStr">
        <is>
          <t>C002</t>
        </is>
      </c>
      <c r="E618" s="4" t="inlineStr">
        <is>
          <t>P045</t>
        </is>
      </c>
      <c r="F618" t="inlineStr">
        <is>
          <t>M</t>
        </is>
      </c>
      <c r="G618" s="4" t="inlineStr">
        <is>
          <t>CH03</t>
        </is>
      </c>
      <c r="H618" s="4" t="inlineStr">
        <is>
          <t>PR00</t>
        </is>
      </c>
      <c r="I618" s="8" t="n">
        <v>66</v>
      </c>
      <c r="J618" s="9" t="n">
        <v>0</v>
      </c>
      <c r="K618" s="10">
        <f>I618*(1-J618)</f>
        <v/>
      </c>
      <c r="L618" s="11" t="n">
        <v>1</v>
      </c>
      <c r="M618" s="10">
        <f>K618*L618</f>
        <v/>
      </c>
      <c r="N618" s="8" t="n">
        <v>33.47</v>
      </c>
      <c r="O618" s="10">
        <f>N618*L618</f>
        <v/>
      </c>
      <c r="P618" s="10">
        <f>M618-O618</f>
        <v/>
      </c>
      <c r="Q618" s="11" t="inlineStr">
        <is>
          <t>No</t>
        </is>
      </c>
      <c r="R618" s="11" t="n">
        <v>0</v>
      </c>
      <c r="S618" s="10">
        <f>M618-(R618*K618)</f>
        <v/>
      </c>
      <c r="T618" s="12">
        <f>VLOOKUP(E618,Dim_Product!$A$2:$Q$61,3,FALSE)</f>
        <v/>
      </c>
      <c r="U618" s="12">
        <f>VLOOKUP(E618,Dim_Product!$A$2:$Q$61,4,FALSE)</f>
        <v/>
      </c>
      <c r="V618" s="12">
        <f>VLOOKUP(D618,Dim_Customer!$A$2:$I$121,6,FALSE)</f>
        <v/>
      </c>
      <c r="W618" s="12">
        <f>VLOOKUP(G618,Dim_Channel!$A$2:$B$5,2,FALSE)</f>
        <v/>
      </c>
      <c r="X618" s="12">
        <f>VLOOKUP(H618,Dim_Promotion!$A$2:$G$11,2,FALSE)</f>
        <v/>
      </c>
    </row>
    <row r="619">
      <c r="A619" s="4" t="inlineStr">
        <is>
          <t>SL0618</t>
        </is>
      </c>
      <c r="B619" t="inlineStr">
        <is>
          <t>O010309</t>
        </is>
      </c>
      <c r="C619" t="n">
        <v>20251216</v>
      </c>
      <c r="D619" s="4" t="inlineStr">
        <is>
          <t>C006</t>
        </is>
      </c>
      <c r="E619" s="4" t="inlineStr">
        <is>
          <t>P003</t>
        </is>
      </c>
      <c r="F619" t="inlineStr">
        <is>
          <t>M</t>
        </is>
      </c>
      <c r="G619" s="4" t="inlineStr">
        <is>
          <t>CH04</t>
        </is>
      </c>
      <c r="H619" s="4" t="inlineStr">
        <is>
          <t>PR00</t>
        </is>
      </c>
      <c r="I619" s="8" t="n">
        <v>44</v>
      </c>
      <c r="J619" s="9" t="n">
        <v>0</v>
      </c>
      <c r="K619" s="10">
        <f>I619*(1-J619)</f>
        <v/>
      </c>
      <c r="L619" s="11" t="n">
        <v>1</v>
      </c>
      <c r="M619" s="10">
        <f>K619*L619</f>
        <v/>
      </c>
      <c r="N619" s="8" t="n">
        <v>20.5</v>
      </c>
      <c r="O619" s="10">
        <f>N619*L619</f>
        <v/>
      </c>
      <c r="P619" s="10">
        <f>M619-O619</f>
        <v/>
      </c>
      <c r="Q619" s="11" t="inlineStr">
        <is>
          <t>No</t>
        </is>
      </c>
      <c r="R619" s="11" t="n">
        <v>0</v>
      </c>
      <c r="S619" s="10">
        <f>M619-(R619*K619)</f>
        <v/>
      </c>
      <c r="T619" s="12">
        <f>VLOOKUP(E619,Dim_Product!$A$2:$Q$61,3,FALSE)</f>
        <v/>
      </c>
      <c r="U619" s="12">
        <f>VLOOKUP(E619,Dim_Product!$A$2:$Q$61,4,FALSE)</f>
        <v/>
      </c>
      <c r="V619" s="12">
        <f>VLOOKUP(D619,Dim_Customer!$A$2:$I$121,6,FALSE)</f>
        <v/>
      </c>
      <c r="W619" s="12">
        <f>VLOOKUP(G619,Dim_Channel!$A$2:$B$5,2,FALSE)</f>
        <v/>
      </c>
      <c r="X619" s="12">
        <f>VLOOKUP(H619,Dim_Promotion!$A$2:$G$11,2,FALSE)</f>
        <v/>
      </c>
    </row>
    <row r="620">
      <c r="A620" s="4" t="inlineStr">
        <is>
          <t>SL0619</t>
        </is>
      </c>
      <c r="B620" t="inlineStr">
        <is>
          <t>O010310</t>
        </is>
      </c>
      <c r="C620" t="n">
        <v>20251223</v>
      </c>
      <c r="D620" s="4" t="inlineStr">
        <is>
          <t>C087</t>
        </is>
      </c>
      <c r="E620" s="4" t="inlineStr">
        <is>
          <t>P005</t>
        </is>
      </c>
      <c r="F620" t="inlineStr">
        <is>
          <t>L</t>
        </is>
      </c>
      <c r="G620" s="4" t="inlineStr">
        <is>
          <t>CH01</t>
        </is>
      </c>
      <c r="H620" s="4" t="inlineStr">
        <is>
          <t>PR00</t>
        </is>
      </c>
      <c r="I620" s="8" t="n">
        <v>54</v>
      </c>
      <c r="J620" s="9" t="n">
        <v>0</v>
      </c>
      <c r="K620" s="10">
        <f>I620*(1-J620)</f>
        <v/>
      </c>
      <c r="L620" s="11" t="n">
        <v>2</v>
      </c>
      <c r="M620" s="10">
        <f>K620*L620</f>
        <v/>
      </c>
      <c r="N620" s="8" t="n">
        <v>20.17</v>
      </c>
      <c r="O620" s="10">
        <f>N620*L620</f>
        <v/>
      </c>
      <c r="P620" s="10">
        <f>M620-O620</f>
        <v/>
      </c>
      <c r="Q620" s="11" t="inlineStr">
        <is>
          <t>No</t>
        </is>
      </c>
      <c r="R620" s="11" t="n">
        <v>0</v>
      </c>
      <c r="S620" s="10">
        <f>M620-(R620*K620)</f>
        <v/>
      </c>
      <c r="T620" s="12">
        <f>VLOOKUP(E620,Dim_Product!$A$2:$Q$61,3,FALSE)</f>
        <v/>
      </c>
      <c r="U620" s="12">
        <f>VLOOKUP(E620,Dim_Product!$A$2:$Q$61,4,FALSE)</f>
        <v/>
      </c>
      <c r="V620" s="12">
        <f>VLOOKUP(D620,Dim_Customer!$A$2:$I$121,6,FALSE)</f>
        <v/>
      </c>
      <c r="W620" s="12">
        <f>VLOOKUP(G620,Dim_Channel!$A$2:$B$5,2,FALSE)</f>
        <v/>
      </c>
      <c r="X620" s="12">
        <f>VLOOKUP(H620,Dim_Promotion!$A$2:$G$11,2,FALSE)</f>
        <v/>
      </c>
    </row>
    <row r="621">
      <c r="A621" s="4" t="inlineStr">
        <is>
          <t>SL0620</t>
        </is>
      </c>
      <c r="B621" t="inlineStr">
        <is>
          <t>O010310</t>
        </is>
      </c>
      <c r="C621" t="n">
        <v>20250106</v>
      </c>
      <c r="D621" s="4" t="inlineStr">
        <is>
          <t>C020</t>
        </is>
      </c>
      <c r="E621" s="4" t="inlineStr">
        <is>
          <t>P040</t>
        </is>
      </c>
      <c r="F621" t="inlineStr">
        <is>
          <t>M</t>
        </is>
      </c>
      <c r="G621" s="4" t="inlineStr">
        <is>
          <t>CH04</t>
        </is>
      </c>
      <c r="H621" s="4" t="inlineStr">
        <is>
          <t>PR00</t>
        </is>
      </c>
      <c r="I621" s="8" t="n">
        <v>70</v>
      </c>
      <c r="J621" s="9" t="n">
        <v>0</v>
      </c>
      <c r="K621" s="10">
        <f>I621*(1-J621)</f>
        <v/>
      </c>
      <c r="L621" s="11" t="n">
        <v>2</v>
      </c>
      <c r="M621" s="10">
        <f>K621*L621</f>
        <v/>
      </c>
      <c r="N621" s="8" t="n">
        <v>33.65</v>
      </c>
      <c r="O621" s="10">
        <f>N621*L621</f>
        <v/>
      </c>
      <c r="P621" s="10">
        <f>M621-O621</f>
        <v/>
      </c>
      <c r="Q621" s="11" t="inlineStr">
        <is>
          <t>No</t>
        </is>
      </c>
      <c r="R621" s="11" t="n">
        <v>0</v>
      </c>
      <c r="S621" s="10">
        <f>M621-(R621*K621)</f>
        <v/>
      </c>
      <c r="T621" s="12">
        <f>VLOOKUP(E621,Dim_Product!$A$2:$Q$61,3,FALSE)</f>
        <v/>
      </c>
      <c r="U621" s="12">
        <f>VLOOKUP(E621,Dim_Product!$A$2:$Q$61,4,FALSE)</f>
        <v/>
      </c>
      <c r="V621" s="12">
        <f>VLOOKUP(D621,Dim_Customer!$A$2:$I$121,6,FALSE)</f>
        <v/>
      </c>
      <c r="W621" s="12">
        <f>VLOOKUP(G621,Dim_Channel!$A$2:$B$5,2,FALSE)</f>
        <v/>
      </c>
      <c r="X621" s="12">
        <f>VLOOKUP(H621,Dim_Promotion!$A$2:$G$11,2,FALSE)</f>
        <v/>
      </c>
    </row>
    <row r="622">
      <c r="A622" s="4" t="inlineStr">
        <is>
          <t>SL0621</t>
        </is>
      </c>
      <c r="B622" t="inlineStr">
        <is>
          <t>O010311</t>
        </is>
      </c>
      <c r="C622" t="n">
        <v>20250724</v>
      </c>
      <c r="D622" s="4" t="inlineStr">
        <is>
          <t>C078</t>
        </is>
      </c>
      <c r="E622" s="4" t="inlineStr">
        <is>
          <t>P038</t>
        </is>
      </c>
      <c r="F622" t="inlineStr">
        <is>
          <t>S</t>
        </is>
      </c>
      <c r="G622" s="4" t="inlineStr">
        <is>
          <t>CH03</t>
        </is>
      </c>
      <c r="H622" s="4" t="inlineStr">
        <is>
          <t>PR00</t>
        </is>
      </c>
      <c r="I622" s="8" t="n">
        <v>74</v>
      </c>
      <c r="J622" s="9" t="n">
        <v>0</v>
      </c>
      <c r="K622" s="10">
        <f>I622*(1-J622)</f>
        <v/>
      </c>
      <c r="L622" s="11" t="n">
        <v>1</v>
      </c>
      <c r="M622" s="10">
        <f>K622*L622</f>
        <v/>
      </c>
      <c r="N622" s="8" t="n">
        <v>34.2</v>
      </c>
      <c r="O622" s="10">
        <f>N622*L622</f>
        <v/>
      </c>
      <c r="P622" s="10">
        <f>M622-O622</f>
        <v/>
      </c>
      <c r="Q622" s="11" t="inlineStr">
        <is>
          <t>No</t>
        </is>
      </c>
      <c r="R622" s="11" t="n">
        <v>0</v>
      </c>
      <c r="S622" s="10">
        <f>M622-(R622*K622)</f>
        <v/>
      </c>
      <c r="T622" s="12">
        <f>VLOOKUP(E622,Dim_Product!$A$2:$Q$61,3,FALSE)</f>
        <v/>
      </c>
      <c r="U622" s="12">
        <f>VLOOKUP(E622,Dim_Product!$A$2:$Q$61,4,FALSE)</f>
        <v/>
      </c>
      <c r="V622" s="12">
        <f>VLOOKUP(D622,Dim_Customer!$A$2:$I$121,6,FALSE)</f>
        <v/>
      </c>
      <c r="W622" s="12">
        <f>VLOOKUP(G622,Dim_Channel!$A$2:$B$5,2,FALSE)</f>
        <v/>
      </c>
      <c r="X622" s="12">
        <f>VLOOKUP(H622,Dim_Promotion!$A$2:$G$11,2,FALSE)</f>
        <v/>
      </c>
    </row>
    <row r="623">
      <c r="A623" s="4" t="inlineStr">
        <is>
          <t>SL0622</t>
        </is>
      </c>
      <c r="B623" t="inlineStr">
        <is>
          <t>O010311</t>
        </is>
      </c>
      <c r="C623" t="n">
        <v>20251022</v>
      </c>
      <c r="D623" s="4" t="inlineStr">
        <is>
          <t>C050</t>
        </is>
      </c>
      <c r="E623" s="4" t="inlineStr">
        <is>
          <t>P005</t>
        </is>
      </c>
      <c r="F623" t="inlineStr">
        <is>
          <t>L</t>
        </is>
      </c>
      <c r="G623" s="4" t="inlineStr">
        <is>
          <t>CH01</t>
        </is>
      </c>
      <c r="H623" s="4" t="inlineStr">
        <is>
          <t>PR00</t>
        </is>
      </c>
      <c r="I623" s="8" t="n">
        <v>50</v>
      </c>
      <c r="J623" s="9" t="n">
        <v>0</v>
      </c>
      <c r="K623" s="10">
        <f>I623*(1-J623)</f>
        <v/>
      </c>
      <c r="L623" s="11" t="n">
        <v>1</v>
      </c>
      <c r="M623" s="10">
        <f>K623*L623</f>
        <v/>
      </c>
      <c r="N623" s="8" t="n">
        <v>20.15</v>
      </c>
      <c r="O623" s="10">
        <f>N623*L623</f>
        <v/>
      </c>
      <c r="P623" s="10">
        <f>M623-O623</f>
        <v/>
      </c>
      <c r="Q623" s="11" t="inlineStr">
        <is>
          <t>No</t>
        </is>
      </c>
      <c r="R623" s="11" t="n">
        <v>0</v>
      </c>
      <c r="S623" s="10">
        <f>M623-(R623*K623)</f>
        <v/>
      </c>
      <c r="T623" s="12">
        <f>VLOOKUP(E623,Dim_Product!$A$2:$Q$61,3,FALSE)</f>
        <v/>
      </c>
      <c r="U623" s="12">
        <f>VLOOKUP(E623,Dim_Product!$A$2:$Q$61,4,FALSE)</f>
        <v/>
      </c>
      <c r="V623" s="12">
        <f>VLOOKUP(D623,Dim_Customer!$A$2:$I$121,6,FALSE)</f>
        <v/>
      </c>
      <c r="W623" s="12">
        <f>VLOOKUP(G623,Dim_Channel!$A$2:$B$5,2,FALSE)</f>
        <v/>
      </c>
      <c r="X623" s="12">
        <f>VLOOKUP(H623,Dim_Promotion!$A$2:$G$11,2,FALSE)</f>
        <v/>
      </c>
    </row>
    <row r="624">
      <c r="A624" s="4" t="inlineStr">
        <is>
          <t>SL0623</t>
        </is>
      </c>
      <c r="B624" t="inlineStr">
        <is>
          <t>O010312</t>
        </is>
      </c>
      <c r="C624" t="n">
        <v>20250503</v>
      </c>
      <c r="D624" s="4" t="inlineStr">
        <is>
          <t>C036</t>
        </is>
      </c>
      <c r="E624" s="4" t="inlineStr">
        <is>
          <t>P034</t>
        </is>
      </c>
      <c r="F624" t="inlineStr">
        <is>
          <t>S</t>
        </is>
      </c>
      <c r="G624" s="4" t="inlineStr">
        <is>
          <t>CH03</t>
        </is>
      </c>
      <c r="H624" s="4" t="inlineStr">
        <is>
          <t>PR00</t>
        </is>
      </c>
      <c r="I624" s="8" t="n">
        <v>91</v>
      </c>
      <c r="J624" s="9" t="n">
        <v>0</v>
      </c>
      <c r="K624" s="10">
        <f>I624*(1-J624)</f>
        <v/>
      </c>
      <c r="L624" s="11" t="n">
        <v>3</v>
      </c>
      <c r="M624" s="10">
        <f>K624*L624</f>
        <v/>
      </c>
      <c r="N624" s="8" t="n">
        <v>45.13</v>
      </c>
      <c r="O624" s="10">
        <f>N624*L624</f>
        <v/>
      </c>
      <c r="P624" s="10">
        <f>M624-O624</f>
        <v/>
      </c>
      <c r="Q624" s="11" t="inlineStr">
        <is>
          <t>No</t>
        </is>
      </c>
      <c r="R624" s="11" t="n">
        <v>0</v>
      </c>
      <c r="S624" s="10">
        <f>M624-(R624*K624)</f>
        <v/>
      </c>
      <c r="T624" s="12">
        <f>VLOOKUP(E624,Dim_Product!$A$2:$Q$61,3,FALSE)</f>
        <v/>
      </c>
      <c r="U624" s="12">
        <f>VLOOKUP(E624,Dim_Product!$A$2:$Q$61,4,FALSE)</f>
        <v/>
      </c>
      <c r="V624" s="12">
        <f>VLOOKUP(D624,Dim_Customer!$A$2:$I$121,6,FALSE)</f>
        <v/>
      </c>
      <c r="W624" s="12">
        <f>VLOOKUP(G624,Dim_Channel!$A$2:$B$5,2,FALSE)</f>
        <v/>
      </c>
      <c r="X624" s="12">
        <f>VLOOKUP(H624,Dim_Promotion!$A$2:$G$11,2,FALSE)</f>
        <v/>
      </c>
    </row>
    <row r="625">
      <c r="A625" s="4" t="inlineStr">
        <is>
          <t>SL0624</t>
        </is>
      </c>
      <c r="B625" t="inlineStr">
        <is>
          <t>O010312</t>
        </is>
      </c>
      <c r="C625" t="n">
        <v>20251204</v>
      </c>
      <c r="D625" s="4" t="inlineStr">
        <is>
          <t>C073</t>
        </is>
      </c>
      <c r="E625" s="4" t="inlineStr">
        <is>
          <t>P028</t>
        </is>
      </c>
      <c r="F625" t="inlineStr">
        <is>
          <t>M</t>
        </is>
      </c>
      <c r="G625" s="4" t="inlineStr">
        <is>
          <t>CH02</t>
        </is>
      </c>
      <c r="H625" s="4" t="inlineStr">
        <is>
          <t>PR00</t>
        </is>
      </c>
      <c r="I625" s="8" t="n">
        <v>97</v>
      </c>
      <c r="J625" s="9" t="n">
        <v>0</v>
      </c>
      <c r="K625" s="10">
        <f>I625*(1-J625)</f>
        <v/>
      </c>
      <c r="L625" s="11" t="n">
        <v>1</v>
      </c>
      <c r="M625" s="10">
        <f>K625*L625</f>
        <v/>
      </c>
      <c r="N625" s="8" t="n">
        <v>48.84</v>
      </c>
      <c r="O625" s="10">
        <f>N625*L625</f>
        <v/>
      </c>
      <c r="P625" s="10">
        <f>M625-O625</f>
        <v/>
      </c>
      <c r="Q625" s="11" t="inlineStr">
        <is>
          <t>No</t>
        </is>
      </c>
      <c r="R625" s="11" t="n">
        <v>0</v>
      </c>
      <c r="S625" s="10">
        <f>M625-(R625*K625)</f>
        <v/>
      </c>
      <c r="T625" s="12">
        <f>VLOOKUP(E625,Dim_Product!$A$2:$Q$61,3,FALSE)</f>
        <v/>
      </c>
      <c r="U625" s="12">
        <f>VLOOKUP(E625,Dim_Product!$A$2:$Q$61,4,FALSE)</f>
        <v/>
      </c>
      <c r="V625" s="12">
        <f>VLOOKUP(D625,Dim_Customer!$A$2:$I$121,6,FALSE)</f>
        <v/>
      </c>
      <c r="W625" s="12">
        <f>VLOOKUP(G625,Dim_Channel!$A$2:$B$5,2,FALSE)</f>
        <v/>
      </c>
      <c r="X625" s="12">
        <f>VLOOKUP(H625,Dim_Promotion!$A$2:$G$11,2,FALSE)</f>
        <v/>
      </c>
    </row>
    <row r="626">
      <c r="A626" s="4" t="inlineStr">
        <is>
          <t>SL0625</t>
        </is>
      </c>
      <c r="B626" t="inlineStr">
        <is>
          <t>O010313</t>
        </is>
      </c>
      <c r="C626" t="n">
        <v>20250214</v>
      </c>
      <c r="D626" s="4" t="inlineStr">
        <is>
          <t>C065</t>
        </is>
      </c>
      <c r="E626" s="4" t="inlineStr">
        <is>
          <t>P025</t>
        </is>
      </c>
      <c r="F626" t="inlineStr">
        <is>
          <t>XL</t>
        </is>
      </c>
      <c r="G626" s="4" t="inlineStr">
        <is>
          <t>CH01</t>
        </is>
      </c>
      <c r="H626" s="4" t="inlineStr">
        <is>
          <t>PR00</t>
        </is>
      </c>
      <c r="I626" s="8" t="n">
        <v>97</v>
      </c>
      <c r="J626" s="9" t="n">
        <v>0.05</v>
      </c>
      <c r="K626" s="10">
        <f>I626*(1-J626)</f>
        <v/>
      </c>
      <c r="L626" s="11" t="n">
        <v>1</v>
      </c>
      <c r="M626" s="10">
        <f>K626*L626</f>
        <v/>
      </c>
      <c r="N626" s="8" t="n">
        <v>44.88</v>
      </c>
      <c r="O626" s="10">
        <f>N626*L626</f>
        <v/>
      </c>
      <c r="P626" s="10">
        <f>M626-O626</f>
        <v/>
      </c>
      <c r="Q626" s="11" t="inlineStr">
        <is>
          <t>No</t>
        </is>
      </c>
      <c r="R626" s="11" t="n">
        <v>0</v>
      </c>
      <c r="S626" s="10">
        <f>M626-(R626*K626)</f>
        <v/>
      </c>
      <c r="T626" s="12">
        <f>VLOOKUP(E626,Dim_Product!$A$2:$Q$61,3,FALSE)</f>
        <v/>
      </c>
      <c r="U626" s="12">
        <f>VLOOKUP(E626,Dim_Product!$A$2:$Q$61,4,FALSE)</f>
        <v/>
      </c>
      <c r="V626" s="12">
        <f>VLOOKUP(D626,Dim_Customer!$A$2:$I$121,6,FALSE)</f>
        <v/>
      </c>
      <c r="W626" s="12">
        <f>VLOOKUP(G626,Dim_Channel!$A$2:$B$5,2,FALSE)</f>
        <v/>
      </c>
      <c r="X626" s="12">
        <f>VLOOKUP(H626,Dim_Promotion!$A$2:$G$11,2,FALSE)</f>
        <v/>
      </c>
    </row>
    <row r="627">
      <c r="A627" s="4" t="inlineStr">
        <is>
          <t>SL0626</t>
        </is>
      </c>
      <c r="B627" t="inlineStr">
        <is>
          <t>O010313</t>
        </is>
      </c>
      <c r="C627" t="n">
        <v>20250603</v>
      </c>
      <c r="D627" s="4" t="inlineStr">
        <is>
          <t>C029</t>
        </is>
      </c>
      <c r="E627" s="4" t="inlineStr">
        <is>
          <t>P022</t>
        </is>
      </c>
      <c r="F627" t="inlineStr">
        <is>
          <t>S</t>
        </is>
      </c>
      <c r="G627" s="4" t="inlineStr">
        <is>
          <t>CH01</t>
        </is>
      </c>
      <c r="H627" s="4" t="inlineStr">
        <is>
          <t>PR00</t>
        </is>
      </c>
      <c r="I627" s="8" t="n">
        <v>61</v>
      </c>
      <c r="J627" s="9" t="n">
        <v>0</v>
      </c>
      <c r="K627" s="10">
        <f>I627*(1-J627)</f>
        <v/>
      </c>
      <c r="L627" s="11" t="n">
        <v>1</v>
      </c>
      <c r="M627" s="10">
        <f>K627*L627</f>
        <v/>
      </c>
      <c r="N627" s="8" t="n">
        <v>25.76</v>
      </c>
      <c r="O627" s="10">
        <f>N627*L627</f>
        <v/>
      </c>
      <c r="P627" s="10">
        <f>M627-O627</f>
        <v/>
      </c>
      <c r="Q627" s="11" t="inlineStr">
        <is>
          <t>No</t>
        </is>
      </c>
      <c r="R627" s="11" t="n">
        <v>0</v>
      </c>
      <c r="S627" s="10">
        <f>M627-(R627*K627)</f>
        <v/>
      </c>
      <c r="T627" s="12">
        <f>VLOOKUP(E627,Dim_Product!$A$2:$Q$61,3,FALSE)</f>
        <v/>
      </c>
      <c r="U627" s="12">
        <f>VLOOKUP(E627,Dim_Product!$A$2:$Q$61,4,FALSE)</f>
        <v/>
      </c>
      <c r="V627" s="12">
        <f>VLOOKUP(D627,Dim_Customer!$A$2:$I$121,6,FALSE)</f>
        <v/>
      </c>
      <c r="W627" s="12">
        <f>VLOOKUP(G627,Dim_Channel!$A$2:$B$5,2,FALSE)</f>
        <v/>
      </c>
      <c r="X627" s="12">
        <f>VLOOKUP(H627,Dim_Promotion!$A$2:$G$11,2,FALSE)</f>
        <v/>
      </c>
    </row>
    <row r="628">
      <c r="A628" s="4" t="inlineStr">
        <is>
          <t>SL0627</t>
        </is>
      </c>
      <c r="B628" t="inlineStr">
        <is>
          <t>O010314</t>
        </is>
      </c>
      <c r="C628" t="n">
        <v>20251213</v>
      </c>
      <c r="D628" s="4" t="inlineStr">
        <is>
          <t>C099</t>
        </is>
      </c>
      <c r="E628" s="4" t="inlineStr">
        <is>
          <t>P024</t>
        </is>
      </c>
      <c r="F628" t="inlineStr">
        <is>
          <t>S</t>
        </is>
      </c>
      <c r="G628" s="4" t="inlineStr">
        <is>
          <t>CH01</t>
        </is>
      </c>
      <c r="H628" s="4" t="inlineStr">
        <is>
          <t>PR00</t>
        </is>
      </c>
      <c r="I628" s="8" t="n">
        <v>61</v>
      </c>
      <c r="J628" s="9" t="n">
        <v>0</v>
      </c>
      <c r="K628" s="10">
        <f>I628*(1-J628)</f>
        <v/>
      </c>
      <c r="L628" s="11" t="n">
        <v>1</v>
      </c>
      <c r="M628" s="10">
        <f>K628*L628</f>
        <v/>
      </c>
      <c r="N628" s="8" t="n">
        <v>27.2</v>
      </c>
      <c r="O628" s="10">
        <f>N628*L628</f>
        <v/>
      </c>
      <c r="P628" s="10">
        <f>M628-O628</f>
        <v/>
      </c>
      <c r="Q628" s="11" t="inlineStr">
        <is>
          <t>No</t>
        </is>
      </c>
      <c r="R628" s="11" t="n">
        <v>0</v>
      </c>
      <c r="S628" s="10">
        <f>M628-(R628*K628)</f>
        <v/>
      </c>
      <c r="T628" s="12">
        <f>VLOOKUP(E628,Dim_Product!$A$2:$Q$61,3,FALSE)</f>
        <v/>
      </c>
      <c r="U628" s="12">
        <f>VLOOKUP(E628,Dim_Product!$A$2:$Q$61,4,FALSE)</f>
        <v/>
      </c>
      <c r="V628" s="12">
        <f>VLOOKUP(D628,Dim_Customer!$A$2:$I$121,6,FALSE)</f>
        <v/>
      </c>
      <c r="W628" s="12">
        <f>VLOOKUP(G628,Dim_Channel!$A$2:$B$5,2,FALSE)</f>
        <v/>
      </c>
      <c r="X628" s="12">
        <f>VLOOKUP(H628,Dim_Promotion!$A$2:$G$11,2,FALSE)</f>
        <v/>
      </c>
    </row>
    <row r="629">
      <c r="A629" s="4" t="inlineStr">
        <is>
          <t>SL0628</t>
        </is>
      </c>
      <c r="B629" t="inlineStr">
        <is>
          <t>O010314</t>
        </is>
      </c>
      <c r="C629" t="n">
        <v>20251205</v>
      </c>
      <c r="D629" s="4" t="inlineStr">
        <is>
          <t>C082</t>
        </is>
      </c>
      <c r="E629" s="4" t="inlineStr">
        <is>
          <t>P012</t>
        </is>
      </c>
      <c r="F629" t="inlineStr">
        <is>
          <t>XL</t>
        </is>
      </c>
      <c r="G629" s="4" t="inlineStr">
        <is>
          <t>CH04</t>
        </is>
      </c>
      <c r="H629" s="4" t="inlineStr">
        <is>
          <t>PR00</t>
        </is>
      </c>
      <c r="I629" s="8" t="n">
        <v>45</v>
      </c>
      <c r="J629" s="9" t="n">
        <v>0</v>
      </c>
      <c r="K629" s="10">
        <f>I629*(1-J629)</f>
        <v/>
      </c>
      <c r="L629" s="11" t="n">
        <v>3</v>
      </c>
      <c r="M629" s="10">
        <f>K629*L629</f>
        <v/>
      </c>
      <c r="N629" s="8" t="n">
        <v>21.84</v>
      </c>
      <c r="O629" s="10">
        <f>N629*L629</f>
        <v/>
      </c>
      <c r="P629" s="10">
        <f>M629-O629</f>
        <v/>
      </c>
      <c r="Q629" s="11" t="inlineStr">
        <is>
          <t>No</t>
        </is>
      </c>
      <c r="R629" s="11" t="n">
        <v>0</v>
      </c>
      <c r="S629" s="10">
        <f>M629-(R629*K629)</f>
        <v/>
      </c>
      <c r="T629" s="12">
        <f>VLOOKUP(E629,Dim_Product!$A$2:$Q$61,3,FALSE)</f>
        <v/>
      </c>
      <c r="U629" s="12">
        <f>VLOOKUP(E629,Dim_Product!$A$2:$Q$61,4,FALSE)</f>
        <v/>
      </c>
      <c r="V629" s="12">
        <f>VLOOKUP(D629,Dim_Customer!$A$2:$I$121,6,FALSE)</f>
        <v/>
      </c>
      <c r="W629" s="12">
        <f>VLOOKUP(G629,Dim_Channel!$A$2:$B$5,2,FALSE)</f>
        <v/>
      </c>
      <c r="X629" s="12">
        <f>VLOOKUP(H629,Dim_Promotion!$A$2:$G$11,2,FALSE)</f>
        <v/>
      </c>
    </row>
    <row r="630">
      <c r="A630" s="4" t="inlineStr">
        <is>
          <t>SL0629</t>
        </is>
      </c>
      <c r="B630" t="inlineStr">
        <is>
          <t>O010315</t>
        </is>
      </c>
      <c r="C630" t="n">
        <v>20250125</v>
      </c>
      <c r="D630" s="4" t="inlineStr">
        <is>
          <t>C088</t>
        </is>
      </c>
      <c r="E630" s="4" t="inlineStr">
        <is>
          <t>P024</t>
        </is>
      </c>
      <c r="F630" t="inlineStr">
        <is>
          <t>M</t>
        </is>
      </c>
      <c r="G630" s="4" t="inlineStr">
        <is>
          <t>CH01</t>
        </is>
      </c>
      <c r="H630" s="4" t="inlineStr">
        <is>
          <t>PR00</t>
        </is>
      </c>
      <c r="I630" s="8" t="n">
        <v>61</v>
      </c>
      <c r="J630" s="9" t="n">
        <v>0.08</v>
      </c>
      <c r="K630" s="10">
        <f>I630*(1-J630)</f>
        <v/>
      </c>
      <c r="L630" s="11" t="n">
        <v>1</v>
      </c>
      <c r="M630" s="10">
        <f>K630*L630</f>
        <v/>
      </c>
      <c r="N630" s="8" t="n">
        <v>27.54</v>
      </c>
      <c r="O630" s="10">
        <f>N630*L630</f>
        <v/>
      </c>
      <c r="P630" s="10">
        <f>M630-O630</f>
        <v/>
      </c>
      <c r="Q630" s="11" t="inlineStr">
        <is>
          <t>No</t>
        </is>
      </c>
      <c r="R630" s="11" t="n">
        <v>0</v>
      </c>
      <c r="S630" s="10">
        <f>M630-(R630*K630)</f>
        <v/>
      </c>
      <c r="T630" s="12">
        <f>VLOOKUP(E630,Dim_Product!$A$2:$Q$61,3,FALSE)</f>
        <v/>
      </c>
      <c r="U630" s="12">
        <f>VLOOKUP(E630,Dim_Product!$A$2:$Q$61,4,FALSE)</f>
        <v/>
      </c>
      <c r="V630" s="12">
        <f>VLOOKUP(D630,Dim_Customer!$A$2:$I$121,6,FALSE)</f>
        <v/>
      </c>
      <c r="W630" s="12">
        <f>VLOOKUP(G630,Dim_Channel!$A$2:$B$5,2,FALSE)</f>
        <v/>
      </c>
      <c r="X630" s="12">
        <f>VLOOKUP(H630,Dim_Promotion!$A$2:$G$11,2,FALSE)</f>
        <v/>
      </c>
    </row>
    <row r="631">
      <c r="A631" s="4" t="inlineStr">
        <is>
          <t>SL0630</t>
        </is>
      </c>
      <c r="B631" t="inlineStr">
        <is>
          <t>O010315</t>
        </is>
      </c>
      <c r="C631" t="n">
        <v>20251103</v>
      </c>
      <c r="D631" s="4" t="inlineStr">
        <is>
          <t>C115</t>
        </is>
      </c>
      <c r="E631" s="4" t="inlineStr">
        <is>
          <t>P053</t>
        </is>
      </c>
      <c r="F631" t="inlineStr">
        <is>
          <t>L</t>
        </is>
      </c>
      <c r="G631" s="4" t="inlineStr">
        <is>
          <t>CH01</t>
        </is>
      </c>
      <c r="H631" s="4" t="inlineStr">
        <is>
          <t>PR00</t>
        </is>
      </c>
      <c r="I631" s="8" t="n">
        <v>75</v>
      </c>
      <c r="J631" s="9" t="n">
        <v>0</v>
      </c>
      <c r="K631" s="10">
        <f>I631*(1-J631)</f>
        <v/>
      </c>
      <c r="L631" s="11" t="n">
        <v>1</v>
      </c>
      <c r="M631" s="10">
        <f>K631*L631</f>
        <v/>
      </c>
      <c r="N631" s="8" t="n">
        <v>34.92</v>
      </c>
      <c r="O631" s="10">
        <f>N631*L631</f>
        <v/>
      </c>
      <c r="P631" s="10">
        <f>M631-O631</f>
        <v/>
      </c>
      <c r="Q631" s="11" t="inlineStr">
        <is>
          <t>No</t>
        </is>
      </c>
      <c r="R631" s="11" t="n">
        <v>0</v>
      </c>
      <c r="S631" s="10">
        <f>M631-(R631*K631)</f>
        <v/>
      </c>
      <c r="T631" s="12">
        <f>VLOOKUP(E631,Dim_Product!$A$2:$Q$61,3,FALSE)</f>
        <v/>
      </c>
      <c r="U631" s="12">
        <f>VLOOKUP(E631,Dim_Product!$A$2:$Q$61,4,FALSE)</f>
        <v/>
      </c>
      <c r="V631" s="12">
        <f>VLOOKUP(D631,Dim_Customer!$A$2:$I$121,6,FALSE)</f>
        <v/>
      </c>
      <c r="W631" s="12">
        <f>VLOOKUP(G631,Dim_Channel!$A$2:$B$5,2,FALSE)</f>
        <v/>
      </c>
      <c r="X631" s="12">
        <f>VLOOKUP(H631,Dim_Promotion!$A$2:$G$11,2,FALSE)</f>
        <v/>
      </c>
    </row>
    <row r="632">
      <c r="A632" s="4" t="inlineStr">
        <is>
          <t>SL0631</t>
        </is>
      </c>
      <c r="B632" t="inlineStr">
        <is>
          <t>O010316</t>
        </is>
      </c>
      <c r="C632" t="n">
        <v>20250630</v>
      </c>
      <c r="D632" s="4" t="inlineStr">
        <is>
          <t>C089</t>
        </is>
      </c>
      <c r="E632" s="4" t="inlineStr">
        <is>
          <t>P011</t>
        </is>
      </c>
      <c r="F632" t="inlineStr">
        <is>
          <t>L</t>
        </is>
      </c>
      <c r="G632" s="4" t="inlineStr">
        <is>
          <t>CH01</t>
        </is>
      </c>
      <c r="H632" s="4" t="inlineStr">
        <is>
          <t>PR04</t>
        </is>
      </c>
      <c r="I632" s="8" t="n">
        <v>46</v>
      </c>
      <c r="J632" s="9" t="n">
        <v>0.12</v>
      </c>
      <c r="K632" s="10">
        <f>I632*(1-J632)</f>
        <v/>
      </c>
      <c r="L632" s="11" t="n">
        <v>1</v>
      </c>
      <c r="M632" s="10">
        <f>K632*L632</f>
        <v/>
      </c>
      <c r="N632" s="8" t="n">
        <v>20.68</v>
      </c>
      <c r="O632" s="10">
        <f>N632*L632</f>
        <v/>
      </c>
      <c r="P632" s="10">
        <f>M632-O632</f>
        <v/>
      </c>
      <c r="Q632" s="11" t="inlineStr">
        <is>
          <t>No</t>
        </is>
      </c>
      <c r="R632" s="11" t="n">
        <v>0</v>
      </c>
      <c r="S632" s="10">
        <f>M632-(R632*K632)</f>
        <v/>
      </c>
      <c r="T632" s="12">
        <f>VLOOKUP(E632,Dim_Product!$A$2:$Q$61,3,FALSE)</f>
        <v/>
      </c>
      <c r="U632" s="12">
        <f>VLOOKUP(E632,Dim_Product!$A$2:$Q$61,4,FALSE)</f>
        <v/>
      </c>
      <c r="V632" s="12">
        <f>VLOOKUP(D632,Dim_Customer!$A$2:$I$121,6,FALSE)</f>
        <v/>
      </c>
      <c r="W632" s="12">
        <f>VLOOKUP(G632,Dim_Channel!$A$2:$B$5,2,FALSE)</f>
        <v/>
      </c>
      <c r="X632" s="12">
        <f>VLOOKUP(H632,Dim_Promotion!$A$2:$G$11,2,FALSE)</f>
        <v/>
      </c>
    </row>
    <row r="633">
      <c r="A633" s="4" t="inlineStr">
        <is>
          <t>SL0632</t>
        </is>
      </c>
      <c r="B633" t="inlineStr">
        <is>
          <t>O010316</t>
        </is>
      </c>
      <c r="C633" t="n">
        <v>20250711</v>
      </c>
      <c r="D633" s="4" t="inlineStr">
        <is>
          <t>C015</t>
        </is>
      </c>
      <c r="E633" s="4" t="inlineStr">
        <is>
          <t>P047</t>
        </is>
      </c>
      <c r="F633" t="inlineStr">
        <is>
          <t>S</t>
        </is>
      </c>
      <c r="G633" s="4" t="inlineStr">
        <is>
          <t>CH03</t>
        </is>
      </c>
      <c r="H633" s="4" t="inlineStr">
        <is>
          <t>PR00</t>
        </is>
      </c>
      <c r="I633" s="8" t="n">
        <v>72</v>
      </c>
      <c r="J633" s="9" t="n">
        <v>0</v>
      </c>
      <c r="K633" s="10">
        <f>I633*(1-J633)</f>
        <v/>
      </c>
      <c r="L633" s="11" t="n">
        <v>1</v>
      </c>
      <c r="M633" s="10">
        <f>K633*L633</f>
        <v/>
      </c>
      <c r="N633" s="8" t="n">
        <v>31.57</v>
      </c>
      <c r="O633" s="10">
        <f>N633*L633</f>
        <v/>
      </c>
      <c r="P633" s="10">
        <f>M633-O633</f>
        <v/>
      </c>
      <c r="Q633" s="11" t="inlineStr">
        <is>
          <t>No</t>
        </is>
      </c>
      <c r="R633" s="11" t="n">
        <v>0</v>
      </c>
      <c r="S633" s="10">
        <f>M633-(R633*K633)</f>
        <v/>
      </c>
      <c r="T633" s="12">
        <f>VLOOKUP(E633,Dim_Product!$A$2:$Q$61,3,FALSE)</f>
        <v/>
      </c>
      <c r="U633" s="12">
        <f>VLOOKUP(E633,Dim_Product!$A$2:$Q$61,4,FALSE)</f>
        <v/>
      </c>
      <c r="V633" s="12">
        <f>VLOOKUP(D633,Dim_Customer!$A$2:$I$121,6,FALSE)</f>
        <v/>
      </c>
      <c r="W633" s="12">
        <f>VLOOKUP(G633,Dim_Channel!$A$2:$B$5,2,FALSE)</f>
        <v/>
      </c>
      <c r="X633" s="12">
        <f>VLOOKUP(H633,Dim_Promotion!$A$2:$G$11,2,FALSE)</f>
        <v/>
      </c>
    </row>
    <row r="634">
      <c r="A634" s="4" t="inlineStr">
        <is>
          <t>SL0633</t>
        </is>
      </c>
      <c r="B634" t="inlineStr">
        <is>
          <t>O010317</t>
        </is>
      </c>
      <c r="C634" t="n">
        <v>20250124</v>
      </c>
      <c r="D634" s="4" t="inlineStr">
        <is>
          <t>C025</t>
        </is>
      </c>
      <c r="E634" s="4" t="inlineStr">
        <is>
          <t>P024</t>
        </is>
      </c>
      <c r="F634" t="inlineStr">
        <is>
          <t>M</t>
        </is>
      </c>
      <c r="G634" s="4" t="inlineStr">
        <is>
          <t>CH01</t>
        </is>
      </c>
      <c r="H634" s="4" t="inlineStr">
        <is>
          <t>PR00</t>
        </is>
      </c>
      <c r="I634" s="8" t="n">
        <v>62</v>
      </c>
      <c r="J634" s="9" t="n">
        <v>0</v>
      </c>
      <c r="K634" s="10">
        <f>I634*(1-J634)</f>
        <v/>
      </c>
      <c r="L634" s="11" t="n">
        <v>3</v>
      </c>
      <c r="M634" s="10">
        <f>K634*L634</f>
        <v/>
      </c>
      <c r="N634" s="8" t="n">
        <v>27.06</v>
      </c>
      <c r="O634" s="10">
        <f>N634*L634</f>
        <v/>
      </c>
      <c r="P634" s="10">
        <f>M634-O634</f>
        <v/>
      </c>
      <c r="Q634" s="11" t="inlineStr">
        <is>
          <t>No</t>
        </is>
      </c>
      <c r="R634" s="11" t="n">
        <v>0</v>
      </c>
      <c r="S634" s="10">
        <f>M634-(R634*K634)</f>
        <v/>
      </c>
      <c r="T634" s="12">
        <f>VLOOKUP(E634,Dim_Product!$A$2:$Q$61,3,FALSE)</f>
        <v/>
      </c>
      <c r="U634" s="12">
        <f>VLOOKUP(E634,Dim_Product!$A$2:$Q$61,4,FALSE)</f>
        <v/>
      </c>
      <c r="V634" s="12">
        <f>VLOOKUP(D634,Dim_Customer!$A$2:$I$121,6,FALSE)</f>
        <v/>
      </c>
      <c r="W634" s="12">
        <f>VLOOKUP(G634,Dim_Channel!$A$2:$B$5,2,FALSE)</f>
        <v/>
      </c>
      <c r="X634" s="12">
        <f>VLOOKUP(H634,Dim_Promotion!$A$2:$G$11,2,FALSE)</f>
        <v/>
      </c>
    </row>
    <row r="635">
      <c r="A635" s="4" t="inlineStr">
        <is>
          <t>SL0634</t>
        </is>
      </c>
      <c r="B635" t="inlineStr">
        <is>
          <t>O010317</t>
        </is>
      </c>
      <c r="C635" t="n">
        <v>20250510</v>
      </c>
      <c r="D635" s="4" t="inlineStr">
        <is>
          <t>C065</t>
        </is>
      </c>
      <c r="E635" s="4" t="inlineStr">
        <is>
          <t>P048</t>
        </is>
      </c>
      <c r="F635" t="inlineStr">
        <is>
          <t>M</t>
        </is>
      </c>
      <c r="G635" s="4" t="inlineStr">
        <is>
          <t>CH04</t>
        </is>
      </c>
      <c r="H635" s="4" t="inlineStr">
        <is>
          <t>PR00</t>
        </is>
      </c>
      <c r="I635" s="8" t="n">
        <v>70</v>
      </c>
      <c r="J635" s="9" t="n">
        <v>0</v>
      </c>
      <c r="K635" s="10">
        <f>I635*(1-J635)</f>
        <v/>
      </c>
      <c r="L635" s="11" t="n">
        <v>1</v>
      </c>
      <c r="M635" s="10">
        <f>K635*L635</f>
        <v/>
      </c>
      <c r="N635" s="8" t="n">
        <v>34.27</v>
      </c>
      <c r="O635" s="10">
        <f>N635*L635</f>
        <v/>
      </c>
      <c r="P635" s="10">
        <f>M635-O635</f>
        <v/>
      </c>
      <c r="Q635" s="11" t="inlineStr">
        <is>
          <t>No</t>
        </is>
      </c>
      <c r="R635" s="11" t="n">
        <v>0</v>
      </c>
      <c r="S635" s="10">
        <f>M635-(R635*K635)</f>
        <v/>
      </c>
      <c r="T635" s="12">
        <f>VLOOKUP(E635,Dim_Product!$A$2:$Q$61,3,FALSE)</f>
        <v/>
      </c>
      <c r="U635" s="12">
        <f>VLOOKUP(E635,Dim_Product!$A$2:$Q$61,4,FALSE)</f>
        <v/>
      </c>
      <c r="V635" s="12">
        <f>VLOOKUP(D635,Dim_Customer!$A$2:$I$121,6,FALSE)</f>
        <v/>
      </c>
      <c r="W635" s="12">
        <f>VLOOKUP(G635,Dim_Channel!$A$2:$B$5,2,FALSE)</f>
        <v/>
      </c>
      <c r="X635" s="12">
        <f>VLOOKUP(H635,Dim_Promotion!$A$2:$G$11,2,FALSE)</f>
        <v/>
      </c>
    </row>
    <row r="636">
      <c r="A636" s="4" t="inlineStr">
        <is>
          <t>SL0635</t>
        </is>
      </c>
      <c r="B636" t="inlineStr">
        <is>
          <t>O010318</t>
        </is>
      </c>
      <c r="C636" t="n">
        <v>20251215</v>
      </c>
      <c r="D636" s="4" t="inlineStr">
        <is>
          <t>C055</t>
        </is>
      </c>
      <c r="E636" s="4" t="inlineStr">
        <is>
          <t>P021</t>
        </is>
      </c>
      <c r="F636" t="inlineStr">
        <is>
          <t>M</t>
        </is>
      </c>
      <c r="G636" s="4" t="inlineStr">
        <is>
          <t>CH01</t>
        </is>
      </c>
      <c r="H636" s="4" t="inlineStr">
        <is>
          <t>PR00</t>
        </is>
      </c>
      <c r="I636" s="8" t="n">
        <v>55</v>
      </c>
      <c r="J636" s="9" t="n">
        <v>0</v>
      </c>
      <c r="K636" s="10">
        <f>I636*(1-J636)</f>
        <v/>
      </c>
      <c r="L636" s="11" t="n">
        <v>1</v>
      </c>
      <c r="M636" s="10">
        <f>K636*L636</f>
        <v/>
      </c>
      <c r="N636" s="8" t="n">
        <v>28.62</v>
      </c>
      <c r="O636" s="10">
        <f>N636*L636</f>
        <v/>
      </c>
      <c r="P636" s="10">
        <f>M636-O636</f>
        <v/>
      </c>
      <c r="Q636" s="11" t="inlineStr">
        <is>
          <t>No</t>
        </is>
      </c>
      <c r="R636" s="11" t="n">
        <v>0</v>
      </c>
      <c r="S636" s="10">
        <f>M636-(R636*K636)</f>
        <v/>
      </c>
      <c r="T636" s="12">
        <f>VLOOKUP(E636,Dim_Product!$A$2:$Q$61,3,FALSE)</f>
        <v/>
      </c>
      <c r="U636" s="12">
        <f>VLOOKUP(E636,Dim_Product!$A$2:$Q$61,4,FALSE)</f>
        <v/>
      </c>
      <c r="V636" s="12">
        <f>VLOOKUP(D636,Dim_Customer!$A$2:$I$121,6,FALSE)</f>
        <v/>
      </c>
      <c r="W636" s="12">
        <f>VLOOKUP(G636,Dim_Channel!$A$2:$B$5,2,FALSE)</f>
        <v/>
      </c>
      <c r="X636" s="12">
        <f>VLOOKUP(H636,Dim_Promotion!$A$2:$G$11,2,FALSE)</f>
        <v/>
      </c>
    </row>
    <row r="637">
      <c r="A637" s="4" t="inlineStr">
        <is>
          <t>SL0636</t>
        </is>
      </c>
      <c r="B637" t="inlineStr">
        <is>
          <t>O010318</t>
        </is>
      </c>
      <c r="C637" t="n">
        <v>20251204</v>
      </c>
      <c r="D637" s="4" t="inlineStr">
        <is>
          <t>C012</t>
        </is>
      </c>
      <c r="E637" s="4" t="inlineStr">
        <is>
          <t>P048</t>
        </is>
      </c>
      <c r="F637" t="inlineStr">
        <is>
          <t>M</t>
        </is>
      </c>
      <c r="G637" s="4" t="inlineStr">
        <is>
          <t>CH02</t>
        </is>
      </c>
      <c r="H637" s="4" t="inlineStr">
        <is>
          <t>PR00</t>
        </is>
      </c>
      <c r="I637" s="8" t="n">
        <v>69</v>
      </c>
      <c r="J637" s="9" t="n">
        <v>0</v>
      </c>
      <c r="K637" s="10">
        <f>I637*(1-J637)</f>
        <v/>
      </c>
      <c r="L637" s="11" t="n">
        <v>2</v>
      </c>
      <c r="M637" s="10">
        <f>K637*L637</f>
        <v/>
      </c>
      <c r="N637" s="8" t="n">
        <v>33.58</v>
      </c>
      <c r="O637" s="10">
        <f>N637*L637</f>
        <v/>
      </c>
      <c r="P637" s="10">
        <f>M637-O637</f>
        <v/>
      </c>
      <c r="Q637" s="11" t="inlineStr">
        <is>
          <t>No</t>
        </is>
      </c>
      <c r="R637" s="11" t="n">
        <v>0</v>
      </c>
      <c r="S637" s="10">
        <f>M637-(R637*K637)</f>
        <v/>
      </c>
      <c r="T637" s="12">
        <f>VLOOKUP(E637,Dim_Product!$A$2:$Q$61,3,FALSE)</f>
        <v/>
      </c>
      <c r="U637" s="12">
        <f>VLOOKUP(E637,Dim_Product!$A$2:$Q$61,4,FALSE)</f>
        <v/>
      </c>
      <c r="V637" s="12">
        <f>VLOOKUP(D637,Dim_Customer!$A$2:$I$121,6,FALSE)</f>
        <v/>
      </c>
      <c r="W637" s="12">
        <f>VLOOKUP(G637,Dim_Channel!$A$2:$B$5,2,FALSE)</f>
        <v/>
      </c>
      <c r="X637" s="12">
        <f>VLOOKUP(H637,Dim_Promotion!$A$2:$G$11,2,FALSE)</f>
        <v/>
      </c>
    </row>
    <row r="638">
      <c r="A638" s="4" t="inlineStr">
        <is>
          <t>SL0637</t>
        </is>
      </c>
      <c r="B638" t="inlineStr">
        <is>
          <t>O010319</t>
        </is>
      </c>
      <c r="C638" t="n">
        <v>20250917</v>
      </c>
      <c r="D638" s="4" t="inlineStr">
        <is>
          <t>C075</t>
        </is>
      </c>
      <c r="E638" s="4" t="inlineStr">
        <is>
          <t>P047</t>
        </is>
      </c>
      <c r="F638" t="inlineStr">
        <is>
          <t>L</t>
        </is>
      </c>
      <c r="G638" s="4" t="inlineStr">
        <is>
          <t>CH02</t>
        </is>
      </c>
      <c r="H638" s="4" t="inlineStr">
        <is>
          <t>PR00</t>
        </is>
      </c>
      <c r="I638" s="8" t="n">
        <v>74</v>
      </c>
      <c r="J638" s="9" t="n">
        <v>0</v>
      </c>
      <c r="K638" s="10">
        <f>I638*(1-J638)</f>
        <v/>
      </c>
      <c r="L638" s="11" t="n">
        <v>1</v>
      </c>
      <c r="M638" s="10">
        <f>K638*L638</f>
        <v/>
      </c>
      <c r="N638" s="8" t="n">
        <v>30.74</v>
      </c>
      <c r="O638" s="10">
        <f>N638*L638</f>
        <v/>
      </c>
      <c r="P638" s="10">
        <f>M638-O638</f>
        <v/>
      </c>
      <c r="Q638" s="11" t="inlineStr">
        <is>
          <t>No</t>
        </is>
      </c>
      <c r="R638" s="11" t="n">
        <v>0</v>
      </c>
      <c r="S638" s="10">
        <f>M638-(R638*K638)</f>
        <v/>
      </c>
      <c r="T638" s="12">
        <f>VLOOKUP(E638,Dim_Product!$A$2:$Q$61,3,FALSE)</f>
        <v/>
      </c>
      <c r="U638" s="12">
        <f>VLOOKUP(E638,Dim_Product!$A$2:$Q$61,4,FALSE)</f>
        <v/>
      </c>
      <c r="V638" s="12">
        <f>VLOOKUP(D638,Dim_Customer!$A$2:$I$121,6,FALSE)</f>
        <v/>
      </c>
      <c r="W638" s="12">
        <f>VLOOKUP(G638,Dim_Channel!$A$2:$B$5,2,FALSE)</f>
        <v/>
      </c>
      <c r="X638" s="12">
        <f>VLOOKUP(H638,Dim_Promotion!$A$2:$G$11,2,FALSE)</f>
        <v/>
      </c>
    </row>
    <row r="639">
      <c r="A639" s="4" t="inlineStr">
        <is>
          <t>SL0638</t>
        </is>
      </c>
      <c r="B639" t="inlineStr">
        <is>
          <t>O010319</t>
        </is>
      </c>
      <c r="C639" t="n">
        <v>20250326</v>
      </c>
      <c r="D639" s="4" t="inlineStr">
        <is>
          <t>C117</t>
        </is>
      </c>
      <c r="E639" s="4" t="inlineStr">
        <is>
          <t>P046</t>
        </is>
      </c>
      <c r="F639" t="inlineStr">
        <is>
          <t>S</t>
        </is>
      </c>
      <c r="G639" s="4" t="inlineStr">
        <is>
          <t>CH02</t>
        </is>
      </c>
      <c r="H639" s="4" t="inlineStr">
        <is>
          <t>PR00</t>
        </is>
      </c>
      <c r="I639" s="8" t="n">
        <v>67</v>
      </c>
      <c r="J639" s="9" t="n">
        <v>0</v>
      </c>
      <c r="K639" s="10">
        <f>I639*(1-J639)</f>
        <v/>
      </c>
      <c r="L639" s="11" t="n">
        <v>1</v>
      </c>
      <c r="M639" s="10">
        <f>K639*L639</f>
        <v/>
      </c>
      <c r="N639" s="8" t="n">
        <v>32.35</v>
      </c>
      <c r="O639" s="10">
        <f>N639*L639</f>
        <v/>
      </c>
      <c r="P639" s="10">
        <f>M639-O639</f>
        <v/>
      </c>
      <c r="Q639" s="11" t="inlineStr">
        <is>
          <t>No</t>
        </is>
      </c>
      <c r="R639" s="11" t="n">
        <v>0</v>
      </c>
      <c r="S639" s="10">
        <f>M639-(R639*K639)</f>
        <v/>
      </c>
      <c r="T639" s="12">
        <f>VLOOKUP(E639,Dim_Product!$A$2:$Q$61,3,FALSE)</f>
        <v/>
      </c>
      <c r="U639" s="12">
        <f>VLOOKUP(E639,Dim_Product!$A$2:$Q$61,4,FALSE)</f>
        <v/>
      </c>
      <c r="V639" s="12">
        <f>VLOOKUP(D639,Dim_Customer!$A$2:$I$121,6,FALSE)</f>
        <v/>
      </c>
      <c r="W639" s="12">
        <f>VLOOKUP(G639,Dim_Channel!$A$2:$B$5,2,FALSE)</f>
        <v/>
      </c>
      <c r="X639" s="12">
        <f>VLOOKUP(H639,Dim_Promotion!$A$2:$G$11,2,FALSE)</f>
        <v/>
      </c>
    </row>
    <row r="640">
      <c r="A640" s="4" t="inlineStr">
        <is>
          <t>SL0639</t>
        </is>
      </c>
      <c r="B640" t="inlineStr">
        <is>
          <t>O010320</t>
        </is>
      </c>
      <c r="C640" t="n">
        <v>20250101</v>
      </c>
      <c r="D640" s="4" t="inlineStr">
        <is>
          <t>C020</t>
        </is>
      </c>
      <c r="E640" s="4" t="inlineStr">
        <is>
          <t>P030</t>
        </is>
      </c>
      <c r="F640" t="inlineStr">
        <is>
          <t>S</t>
        </is>
      </c>
      <c r="G640" s="4" t="inlineStr">
        <is>
          <t>CH02</t>
        </is>
      </c>
      <c r="H640" s="4" t="inlineStr">
        <is>
          <t>PR00</t>
        </is>
      </c>
      <c r="I640" s="8" t="n">
        <v>109</v>
      </c>
      <c r="J640" s="9" t="n">
        <v>0</v>
      </c>
      <c r="K640" s="10">
        <f>I640*(1-J640)</f>
        <v/>
      </c>
      <c r="L640" s="11" t="n">
        <v>1</v>
      </c>
      <c r="M640" s="10">
        <f>K640*L640</f>
        <v/>
      </c>
      <c r="N640" s="8" t="n">
        <v>58.15</v>
      </c>
      <c r="O640" s="10">
        <f>N640*L640</f>
        <v/>
      </c>
      <c r="P640" s="10">
        <f>M640-O640</f>
        <v/>
      </c>
      <c r="Q640" s="11" t="inlineStr">
        <is>
          <t>No</t>
        </is>
      </c>
      <c r="R640" s="11" t="n">
        <v>0</v>
      </c>
      <c r="S640" s="10">
        <f>M640-(R640*K640)</f>
        <v/>
      </c>
      <c r="T640" s="12">
        <f>VLOOKUP(E640,Dim_Product!$A$2:$Q$61,3,FALSE)</f>
        <v/>
      </c>
      <c r="U640" s="12">
        <f>VLOOKUP(E640,Dim_Product!$A$2:$Q$61,4,FALSE)</f>
        <v/>
      </c>
      <c r="V640" s="12">
        <f>VLOOKUP(D640,Dim_Customer!$A$2:$I$121,6,FALSE)</f>
        <v/>
      </c>
      <c r="W640" s="12">
        <f>VLOOKUP(G640,Dim_Channel!$A$2:$B$5,2,FALSE)</f>
        <v/>
      </c>
      <c r="X640" s="12">
        <f>VLOOKUP(H640,Dim_Promotion!$A$2:$G$11,2,FALSE)</f>
        <v/>
      </c>
    </row>
    <row r="641">
      <c r="A641" s="4" t="inlineStr">
        <is>
          <t>SL0640</t>
        </is>
      </c>
      <c r="B641" t="inlineStr">
        <is>
          <t>O010320</t>
        </is>
      </c>
      <c r="C641" t="n">
        <v>20250927</v>
      </c>
      <c r="D641" s="4" t="inlineStr">
        <is>
          <t>C007</t>
        </is>
      </c>
      <c r="E641" s="4" t="inlineStr">
        <is>
          <t>P047</t>
        </is>
      </c>
      <c r="F641" t="inlineStr">
        <is>
          <t>XS</t>
        </is>
      </c>
      <c r="G641" s="4" t="inlineStr">
        <is>
          <t>CH02</t>
        </is>
      </c>
      <c r="H641" s="4" t="inlineStr">
        <is>
          <t>PR00</t>
        </is>
      </c>
      <c r="I641" s="8" t="n">
        <v>72</v>
      </c>
      <c r="J641" s="9" t="n">
        <v>0</v>
      </c>
      <c r="K641" s="10">
        <f>I641*(1-J641)</f>
        <v/>
      </c>
      <c r="L641" s="11" t="n">
        <v>1</v>
      </c>
      <c r="M641" s="10">
        <f>K641*L641</f>
        <v/>
      </c>
      <c r="N641" s="8" t="n">
        <v>30.97</v>
      </c>
      <c r="O641" s="10">
        <f>N641*L641</f>
        <v/>
      </c>
      <c r="P641" s="10">
        <f>M641-O641</f>
        <v/>
      </c>
      <c r="Q641" s="11" t="inlineStr">
        <is>
          <t>No</t>
        </is>
      </c>
      <c r="R641" s="11" t="n">
        <v>0</v>
      </c>
      <c r="S641" s="10">
        <f>M641-(R641*K641)</f>
        <v/>
      </c>
      <c r="T641" s="12">
        <f>VLOOKUP(E641,Dim_Product!$A$2:$Q$61,3,FALSE)</f>
        <v/>
      </c>
      <c r="U641" s="12">
        <f>VLOOKUP(E641,Dim_Product!$A$2:$Q$61,4,FALSE)</f>
        <v/>
      </c>
      <c r="V641" s="12">
        <f>VLOOKUP(D641,Dim_Customer!$A$2:$I$121,6,FALSE)</f>
        <v/>
      </c>
      <c r="W641" s="12">
        <f>VLOOKUP(G641,Dim_Channel!$A$2:$B$5,2,FALSE)</f>
        <v/>
      </c>
      <c r="X641" s="12">
        <f>VLOOKUP(H641,Dim_Promotion!$A$2:$G$11,2,FALSE)</f>
        <v/>
      </c>
    </row>
    <row r="642">
      <c r="A642" s="4" t="inlineStr">
        <is>
          <t>SL0641</t>
        </is>
      </c>
      <c r="B642" t="inlineStr">
        <is>
          <t>O010321</t>
        </is>
      </c>
      <c r="C642" t="n">
        <v>20250423</v>
      </c>
      <c r="D642" s="4" t="inlineStr">
        <is>
          <t>C103</t>
        </is>
      </c>
      <c r="E642" s="4" t="inlineStr">
        <is>
          <t>P007</t>
        </is>
      </c>
      <c r="F642" t="inlineStr">
        <is>
          <t>L</t>
        </is>
      </c>
      <c r="G642" s="4" t="inlineStr">
        <is>
          <t>CH03</t>
        </is>
      </c>
      <c r="H642" s="4" t="inlineStr">
        <is>
          <t>PR00</t>
        </is>
      </c>
      <c r="I642" s="8" t="n">
        <v>50</v>
      </c>
      <c r="J642" s="9" t="n">
        <v>0</v>
      </c>
      <c r="K642" s="10">
        <f>I642*(1-J642)</f>
        <v/>
      </c>
      <c r="L642" s="11" t="n">
        <v>2</v>
      </c>
      <c r="M642" s="10">
        <f>K642*L642</f>
        <v/>
      </c>
      <c r="N642" s="8" t="n">
        <v>21.77</v>
      </c>
      <c r="O642" s="10">
        <f>N642*L642</f>
        <v/>
      </c>
      <c r="P642" s="10">
        <f>M642-O642</f>
        <v/>
      </c>
      <c r="Q642" s="11" t="inlineStr">
        <is>
          <t>No</t>
        </is>
      </c>
      <c r="R642" s="11" t="n">
        <v>0</v>
      </c>
      <c r="S642" s="10">
        <f>M642-(R642*K642)</f>
        <v/>
      </c>
      <c r="T642" s="12">
        <f>VLOOKUP(E642,Dim_Product!$A$2:$Q$61,3,FALSE)</f>
        <v/>
      </c>
      <c r="U642" s="12">
        <f>VLOOKUP(E642,Dim_Product!$A$2:$Q$61,4,FALSE)</f>
        <v/>
      </c>
      <c r="V642" s="12">
        <f>VLOOKUP(D642,Dim_Customer!$A$2:$I$121,6,FALSE)</f>
        <v/>
      </c>
      <c r="W642" s="12">
        <f>VLOOKUP(G642,Dim_Channel!$A$2:$B$5,2,FALSE)</f>
        <v/>
      </c>
      <c r="X642" s="12">
        <f>VLOOKUP(H642,Dim_Promotion!$A$2:$G$11,2,FALSE)</f>
        <v/>
      </c>
    </row>
    <row r="643">
      <c r="A643" s="4" t="inlineStr">
        <is>
          <t>SL0642</t>
        </is>
      </c>
      <c r="B643" t="inlineStr">
        <is>
          <t>O010321</t>
        </is>
      </c>
      <c r="C643" t="n">
        <v>20250201</v>
      </c>
      <c r="D643" s="4" t="inlineStr">
        <is>
          <t>C056</t>
        </is>
      </c>
      <c r="E643" s="4" t="inlineStr">
        <is>
          <t>P033</t>
        </is>
      </c>
      <c r="F643" t="inlineStr">
        <is>
          <t>L</t>
        </is>
      </c>
      <c r="G643" s="4" t="inlineStr">
        <is>
          <t>CH04</t>
        </is>
      </c>
      <c r="H643" s="4" t="inlineStr">
        <is>
          <t>PR00</t>
        </is>
      </c>
      <c r="I643" s="8" t="n">
        <v>86</v>
      </c>
      <c r="J643" s="9" t="n">
        <v>0</v>
      </c>
      <c r="K643" s="10">
        <f>I643*(1-J643)</f>
        <v/>
      </c>
      <c r="L643" s="11" t="n">
        <v>1</v>
      </c>
      <c r="M643" s="10">
        <f>K643*L643</f>
        <v/>
      </c>
      <c r="N643" s="8" t="n">
        <v>43.42</v>
      </c>
      <c r="O643" s="10">
        <f>N643*L643</f>
        <v/>
      </c>
      <c r="P643" s="10">
        <f>M643-O643</f>
        <v/>
      </c>
      <c r="Q643" s="11" t="inlineStr">
        <is>
          <t>No</t>
        </is>
      </c>
      <c r="R643" s="11" t="n">
        <v>0</v>
      </c>
      <c r="S643" s="10">
        <f>M643-(R643*K643)</f>
        <v/>
      </c>
      <c r="T643" s="12">
        <f>VLOOKUP(E643,Dim_Product!$A$2:$Q$61,3,FALSE)</f>
        <v/>
      </c>
      <c r="U643" s="12">
        <f>VLOOKUP(E643,Dim_Product!$A$2:$Q$61,4,FALSE)</f>
        <v/>
      </c>
      <c r="V643" s="12">
        <f>VLOOKUP(D643,Dim_Customer!$A$2:$I$121,6,FALSE)</f>
        <v/>
      </c>
      <c r="W643" s="12">
        <f>VLOOKUP(G643,Dim_Channel!$A$2:$B$5,2,FALSE)</f>
        <v/>
      </c>
      <c r="X643" s="12">
        <f>VLOOKUP(H643,Dim_Promotion!$A$2:$G$11,2,FALSE)</f>
        <v/>
      </c>
    </row>
    <row r="644">
      <c r="A644" s="4" t="inlineStr">
        <is>
          <t>SL0643</t>
        </is>
      </c>
      <c r="B644" t="inlineStr">
        <is>
          <t>O010322</t>
        </is>
      </c>
      <c r="C644" t="n">
        <v>20250708</v>
      </c>
      <c r="D644" s="4" t="inlineStr">
        <is>
          <t>C093</t>
        </is>
      </c>
      <c r="E644" s="4" t="inlineStr">
        <is>
          <t>P046</t>
        </is>
      </c>
      <c r="F644" t="inlineStr">
        <is>
          <t>L</t>
        </is>
      </c>
      <c r="G644" s="4" t="inlineStr">
        <is>
          <t>CH04</t>
        </is>
      </c>
      <c r="H644" s="4" t="inlineStr">
        <is>
          <t>PR00</t>
        </is>
      </c>
      <c r="I644" s="8" t="n">
        <v>64</v>
      </c>
      <c r="J644" s="9" t="n">
        <v>0</v>
      </c>
      <c r="K644" s="10">
        <f>I644*(1-J644)</f>
        <v/>
      </c>
      <c r="L644" s="11" t="n">
        <v>1</v>
      </c>
      <c r="M644" s="10">
        <f>K644*L644</f>
        <v/>
      </c>
      <c r="N644" s="8" t="n">
        <v>33.49</v>
      </c>
      <c r="O644" s="10">
        <f>N644*L644</f>
        <v/>
      </c>
      <c r="P644" s="10">
        <f>M644-O644</f>
        <v/>
      </c>
      <c r="Q644" s="11" t="inlineStr">
        <is>
          <t>No</t>
        </is>
      </c>
      <c r="R644" s="11" t="n">
        <v>0</v>
      </c>
      <c r="S644" s="10">
        <f>M644-(R644*K644)</f>
        <v/>
      </c>
      <c r="T644" s="12">
        <f>VLOOKUP(E644,Dim_Product!$A$2:$Q$61,3,FALSE)</f>
        <v/>
      </c>
      <c r="U644" s="12">
        <f>VLOOKUP(E644,Dim_Product!$A$2:$Q$61,4,FALSE)</f>
        <v/>
      </c>
      <c r="V644" s="12">
        <f>VLOOKUP(D644,Dim_Customer!$A$2:$I$121,6,FALSE)</f>
        <v/>
      </c>
      <c r="W644" s="12">
        <f>VLOOKUP(G644,Dim_Channel!$A$2:$B$5,2,FALSE)</f>
        <v/>
      </c>
      <c r="X644" s="12">
        <f>VLOOKUP(H644,Dim_Promotion!$A$2:$G$11,2,FALSE)</f>
        <v/>
      </c>
    </row>
    <row r="645">
      <c r="A645" s="4" t="inlineStr">
        <is>
          <t>SL0644</t>
        </is>
      </c>
      <c r="B645" t="inlineStr">
        <is>
          <t>O010322</t>
        </is>
      </c>
      <c r="C645" t="n">
        <v>20250720</v>
      </c>
      <c r="D645" s="4" t="inlineStr">
        <is>
          <t>C016</t>
        </is>
      </c>
      <c r="E645" s="4" t="inlineStr">
        <is>
          <t>P006</t>
        </is>
      </c>
      <c r="F645" t="inlineStr">
        <is>
          <t>XL</t>
        </is>
      </c>
      <c r="G645" s="4" t="inlineStr">
        <is>
          <t>CH01</t>
        </is>
      </c>
      <c r="H645" s="4" t="inlineStr">
        <is>
          <t>PR00</t>
        </is>
      </c>
      <c r="I645" s="8" t="n">
        <v>46</v>
      </c>
      <c r="J645" s="9" t="n">
        <v>0</v>
      </c>
      <c r="K645" s="10">
        <f>I645*(1-J645)</f>
        <v/>
      </c>
      <c r="L645" s="11" t="n">
        <v>1</v>
      </c>
      <c r="M645" s="10">
        <f>K645*L645</f>
        <v/>
      </c>
      <c r="N645" s="8" t="n">
        <v>21.2</v>
      </c>
      <c r="O645" s="10">
        <f>N645*L645</f>
        <v/>
      </c>
      <c r="P645" s="10">
        <f>M645-O645</f>
        <v/>
      </c>
      <c r="Q645" s="11" t="inlineStr">
        <is>
          <t>Yes</t>
        </is>
      </c>
      <c r="R645" s="11" t="n">
        <v>1</v>
      </c>
      <c r="S645" s="10">
        <f>M645-(R645*K645)</f>
        <v/>
      </c>
      <c r="T645" s="12">
        <f>VLOOKUP(E645,Dim_Product!$A$2:$Q$61,3,FALSE)</f>
        <v/>
      </c>
      <c r="U645" s="12">
        <f>VLOOKUP(E645,Dim_Product!$A$2:$Q$61,4,FALSE)</f>
        <v/>
      </c>
      <c r="V645" s="12">
        <f>VLOOKUP(D645,Dim_Customer!$A$2:$I$121,6,FALSE)</f>
        <v/>
      </c>
      <c r="W645" s="12">
        <f>VLOOKUP(G645,Dim_Channel!$A$2:$B$5,2,FALSE)</f>
        <v/>
      </c>
      <c r="X645" s="12">
        <f>VLOOKUP(H645,Dim_Promotion!$A$2:$G$11,2,FALSE)</f>
        <v/>
      </c>
    </row>
    <row r="646">
      <c r="A646" s="4" t="inlineStr">
        <is>
          <t>SL0645</t>
        </is>
      </c>
      <c r="B646" t="inlineStr">
        <is>
          <t>O010323</t>
        </is>
      </c>
      <c r="C646" t="n">
        <v>20250721</v>
      </c>
      <c r="D646" s="4" t="inlineStr">
        <is>
          <t>C010</t>
        </is>
      </c>
      <c r="E646" s="4" t="inlineStr">
        <is>
          <t>P012</t>
        </is>
      </c>
      <c r="F646" t="inlineStr">
        <is>
          <t>XL</t>
        </is>
      </c>
      <c r="G646" s="4" t="inlineStr">
        <is>
          <t>CH02</t>
        </is>
      </c>
      <c r="H646" s="4" t="inlineStr">
        <is>
          <t>PR00</t>
        </is>
      </c>
      <c r="I646" s="8" t="n">
        <v>44</v>
      </c>
      <c r="J646" s="9" t="n">
        <v>0</v>
      </c>
      <c r="K646" s="10">
        <f>I646*(1-J646)</f>
        <v/>
      </c>
      <c r="L646" s="11" t="n">
        <v>1</v>
      </c>
      <c r="M646" s="10">
        <f>K646*L646</f>
        <v/>
      </c>
      <c r="N646" s="8" t="n">
        <v>21.57</v>
      </c>
      <c r="O646" s="10">
        <f>N646*L646</f>
        <v/>
      </c>
      <c r="P646" s="10">
        <f>M646-O646</f>
        <v/>
      </c>
      <c r="Q646" s="11" t="inlineStr">
        <is>
          <t>No</t>
        </is>
      </c>
      <c r="R646" s="11" t="n">
        <v>0</v>
      </c>
      <c r="S646" s="10">
        <f>M646-(R646*K646)</f>
        <v/>
      </c>
      <c r="T646" s="12">
        <f>VLOOKUP(E646,Dim_Product!$A$2:$Q$61,3,FALSE)</f>
        <v/>
      </c>
      <c r="U646" s="12">
        <f>VLOOKUP(E646,Dim_Product!$A$2:$Q$61,4,FALSE)</f>
        <v/>
      </c>
      <c r="V646" s="12">
        <f>VLOOKUP(D646,Dim_Customer!$A$2:$I$121,6,FALSE)</f>
        <v/>
      </c>
      <c r="W646" s="12">
        <f>VLOOKUP(G646,Dim_Channel!$A$2:$B$5,2,FALSE)</f>
        <v/>
      </c>
      <c r="X646" s="12">
        <f>VLOOKUP(H646,Dim_Promotion!$A$2:$G$11,2,FALSE)</f>
        <v/>
      </c>
    </row>
    <row r="647">
      <c r="A647" s="4" t="inlineStr">
        <is>
          <t>SL0646</t>
        </is>
      </c>
      <c r="B647" t="inlineStr">
        <is>
          <t>O010323</t>
        </is>
      </c>
      <c r="C647" t="n">
        <v>20250820</v>
      </c>
      <c r="D647" s="4" t="inlineStr">
        <is>
          <t>C110</t>
        </is>
      </c>
      <c r="E647" s="4" t="inlineStr">
        <is>
          <t>P060</t>
        </is>
      </c>
      <c r="F647" t="inlineStr">
        <is>
          <t>L</t>
        </is>
      </c>
      <c r="G647" s="4" t="inlineStr">
        <is>
          <t>CH02</t>
        </is>
      </c>
      <c r="H647" s="4" t="inlineStr">
        <is>
          <t>PR00</t>
        </is>
      </c>
      <c r="I647" s="8" t="n">
        <v>72</v>
      </c>
      <c r="J647" s="9" t="n">
        <v>0</v>
      </c>
      <c r="K647" s="10">
        <f>I647*(1-J647)</f>
        <v/>
      </c>
      <c r="L647" s="11" t="n">
        <v>3</v>
      </c>
      <c r="M647" s="10">
        <f>K647*L647</f>
        <v/>
      </c>
      <c r="N647" s="8" t="n">
        <v>35.7</v>
      </c>
      <c r="O647" s="10">
        <f>N647*L647</f>
        <v/>
      </c>
      <c r="P647" s="10">
        <f>M647-O647</f>
        <v/>
      </c>
      <c r="Q647" s="11" t="inlineStr">
        <is>
          <t>Yes</t>
        </is>
      </c>
      <c r="R647" s="11" t="n">
        <v>1</v>
      </c>
      <c r="S647" s="10">
        <f>M647-(R647*K647)</f>
        <v/>
      </c>
      <c r="T647" s="12">
        <f>VLOOKUP(E647,Dim_Product!$A$2:$Q$61,3,FALSE)</f>
        <v/>
      </c>
      <c r="U647" s="12">
        <f>VLOOKUP(E647,Dim_Product!$A$2:$Q$61,4,FALSE)</f>
        <v/>
      </c>
      <c r="V647" s="12">
        <f>VLOOKUP(D647,Dim_Customer!$A$2:$I$121,6,FALSE)</f>
        <v/>
      </c>
      <c r="W647" s="12">
        <f>VLOOKUP(G647,Dim_Channel!$A$2:$B$5,2,FALSE)</f>
        <v/>
      </c>
      <c r="X647" s="12">
        <f>VLOOKUP(H647,Dim_Promotion!$A$2:$G$11,2,FALSE)</f>
        <v/>
      </c>
    </row>
    <row r="648">
      <c r="A648" s="4" t="inlineStr">
        <is>
          <t>SL0647</t>
        </is>
      </c>
      <c r="B648" t="inlineStr">
        <is>
          <t>O010324</t>
        </is>
      </c>
      <c r="C648" t="n">
        <v>20250725</v>
      </c>
      <c r="D648" s="4" t="inlineStr">
        <is>
          <t>C020</t>
        </is>
      </c>
      <c r="E648" s="4" t="inlineStr">
        <is>
          <t>P012</t>
        </is>
      </c>
      <c r="F648" t="inlineStr">
        <is>
          <t>XL</t>
        </is>
      </c>
      <c r="G648" s="4" t="inlineStr">
        <is>
          <t>CH01</t>
        </is>
      </c>
      <c r="H648" s="4" t="inlineStr">
        <is>
          <t>PR00</t>
        </is>
      </c>
      <c r="I648" s="8" t="n">
        <v>44</v>
      </c>
      <c r="J648" s="9" t="n">
        <v>0.05</v>
      </c>
      <c r="K648" s="10">
        <f>I648*(1-J648)</f>
        <v/>
      </c>
      <c r="L648" s="11" t="n">
        <v>1</v>
      </c>
      <c r="M648" s="10">
        <f>K648*L648</f>
        <v/>
      </c>
      <c r="N648" s="8" t="n">
        <v>21.82</v>
      </c>
      <c r="O648" s="10">
        <f>N648*L648</f>
        <v/>
      </c>
      <c r="P648" s="10">
        <f>M648-O648</f>
        <v/>
      </c>
      <c r="Q648" s="11" t="inlineStr">
        <is>
          <t>No</t>
        </is>
      </c>
      <c r="R648" s="11" t="n">
        <v>0</v>
      </c>
      <c r="S648" s="10">
        <f>M648-(R648*K648)</f>
        <v/>
      </c>
      <c r="T648" s="12">
        <f>VLOOKUP(E648,Dim_Product!$A$2:$Q$61,3,FALSE)</f>
        <v/>
      </c>
      <c r="U648" s="12">
        <f>VLOOKUP(E648,Dim_Product!$A$2:$Q$61,4,FALSE)</f>
        <v/>
      </c>
      <c r="V648" s="12">
        <f>VLOOKUP(D648,Dim_Customer!$A$2:$I$121,6,FALSE)</f>
        <v/>
      </c>
      <c r="W648" s="12">
        <f>VLOOKUP(G648,Dim_Channel!$A$2:$B$5,2,FALSE)</f>
        <v/>
      </c>
      <c r="X648" s="12">
        <f>VLOOKUP(H648,Dim_Promotion!$A$2:$G$11,2,FALSE)</f>
        <v/>
      </c>
    </row>
    <row r="649">
      <c r="A649" s="4" t="inlineStr">
        <is>
          <t>SL0648</t>
        </is>
      </c>
      <c r="B649" t="inlineStr">
        <is>
          <t>O010324</t>
        </is>
      </c>
      <c r="C649" t="n">
        <v>20251021</v>
      </c>
      <c r="D649" s="4" t="inlineStr">
        <is>
          <t>C038</t>
        </is>
      </c>
      <c r="E649" s="4" t="inlineStr">
        <is>
          <t>P026</t>
        </is>
      </c>
      <c r="F649" t="inlineStr">
        <is>
          <t>M</t>
        </is>
      </c>
      <c r="G649" s="4" t="inlineStr">
        <is>
          <t>CH04</t>
        </is>
      </c>
      <c r="H649" s="4" t="inlineStr">
        <is>
          <t>PR00</t>
        </is>
      </c>
      <c r="I649" s="8" t="n">
        <v>93</v>
      </c>
      <c r="J649" s="9" t="n">
        <v>0</v>
      </c>
      <c r="K649" s="10">
        <f>I649*(1-J649)</f>
        <v/>
      </c>
      <c r="L649" s="11" t="n">
        <v>1</v>
      </c>
      <c r="M649" s="10">
        <f>K649*L649</f>
        <v/>
      </c>
      <c r="N649" s="8" t="n">
        <v>46.5</v>
      </c>
      <c r="O649" s="10">
        <f>N649*L649</f>
        <v/>
      </c>
      <c r="P649" s="10">
        <f>M649-O649</f>
        <v/>
      </c>
      <c r="Q649" s="11" t="inlineStr">
        <is>
          <t>No</t>
        </is>
      </c>
      <c r="R649" s="11" t="n">
        <v>0</v>
      </c>
      <c r="S649" s="10">
        <f>M649-(R649*K649)</f>
        <v/>
      </c>
      <c r="T649" s="12">
        <f>VLOOKUP(E649,Dim_Product!$A$2:$Q$61,3,FALSE)</f>
        <v/>
      </c>
      <c r="U649" s="12">
        <f>VLOOKUP(E649,Dim_Product!$A$2:$Q$61,4,FALSE)</f>
        <v/>
      </c>
      <c r="V649" s="12">
        <f>VLOOKUP(D649,Dim_Customer!$A$2:$I$121,6,FALSE)</f>
        <v/>
      </c>
      <c r="W649" s="12">
        <f>VLOOKUP(G649,Dim_Channel!$A$2:$B$5,2,FALSE)</f>
        <v/>
      </c>
      <c r="X649" s="12">
        <f>VLOOKUP(H649,Dim_Promotion!$A$2:$G$11,2,FALSE)</f>
        <v/>
      </c>
    </row>
    <row r="650">
      <c r="A650" s="4" t="inlineStr">
        <is>
          <t>SL0649</t>
        </is>
      </c>
      <c r="B650" t="inlineStr">
        <is>
          <t>O010325</t>
        </is>
      </c>
      <c r="C650" t="n">
        <v>20250619</v>
      </c>
      <c r="D650" s="4" t="inlineStr">
        <is>
          <t>C102</t>
        </is>
      </c>
      <c r="E650" s="4" t="inlineStr">
        <is>
          <t>P045</t>
        </is>
      </c>
      <c r="F650" t="inlineStr">
        <is>
          <t>L</t>
        </is>
      </c>
      <c r="G650" s="4" t="inlineStr">
        <is>
          <t>CH04</t>
        </is>
      </c>
      <c r="H650" s="4" t="inlineStr">
        <is>
          <t>PR00</t>
        </is>
      </c>
      <c r="I650" s="8" t="n">
        <v>67</v>
      </c>
      <c r="J650" s="9" t="n">
        <v>0</v>
      </c>
      <c r="K650" s="10">
        <f>I650*(1-J650)</f>
        <v/>
      </c>
      <c r="L650" s="11" t="n">
        <v>1</v>
      </c>
      <c r="M650" s="10">
        <f>K650*L650</f>
        <v/>
      </c>
      <c r="N650" s="8" t="n">
        <v>32.88</v>
      </c>
      <c r="O650" s="10">
        <f>N650*L650</f>
        <v/>
      </c>
      <c r="P650" s="10">
        <f>M650-O650</f>
        <v/>
      </c>
      <c r="Q650" s="11" t="inlineStr">
        <is>
          <t>No</t>
        </is>
      </c>
      <c r="R650" s="11" t="n">
        <v>0</v>
      </c>
      <c r="S650" s="10">
        <f>M650-(R650*K650)</f>
        <v/>
      </c>
      <c r="T650" s="12">
        <f>VLOOKUP(E650,Dim_Product!$A$2:$Q$61,3,FALSE)</f>
        <v/>
      </c>
      <c r="U650" s="12">
        <f>VLOOKUP(E650,Dim_Product!$A$2:$Q$61,4,FALSE)</f>
        <v/>
      </c>
      <c r="V650" s="12">
        <f>VLOOKUP(D650,Dim_Customer!$A$2:$I$121,6,FALSE)</f>
        <v/>
      </c>
      <c r="W650" s="12">
        <f>VLOOKUP(G650,Dim_Channel!$A$2:$B$5,2,FALSE)</f>
        <v/>
      </c>
      <c r="X650" s="12">
        <f>VLOOKUP(H650,Dim_Promotion!$A$2:$G$11,2,FALSE)</f>
        <v/>
      </c>
    </row>
    <row r="651">
      <c r="A651" s="4" t="inlineStr">
        <is>
          <t>SL0650</t>
        </is>
      </c>
      <c r="B651" t="inlineStr">
        <is>
          <t>O010325</t>
        </is>
      </c>
      <c r="C651" t="n">
        <v>20250213</v>
      </c>
      <c r="D651" s="4" t="inlineStr">
        <is>
          <t>C055</t>
        </is>
      </c>
      <c r="E651" s="4" t="inlineStr">
        <is>
          <t>P011</t>
        </is>
      </c>
      <c r="F651" t="inlineStr">
        <is>
          <t>XL</t>
        </is>
      </c>
      <c r="G651" s="4" t="inlineStr">
        <is>
          <t>CH03</t>
        </is>
      </c>
      <c r="H651" s="4" t="inlineStr">
        <is>
          <t>PR00</t>
        </is>
      </c>
      <c r="I651" s="8" t="n">
        <v>44</v>
      </c>
      <c r="J651" s="9" t="n">
        <v>0</v>
      </c>
      <c r="K651" s="10">
        <f>I651*(1-J651)</f>
        <v/>
      </c>
      <c r="L651" s="11" t="n">
        <v>3</v>
      </c>
      <c r="M651" s="10">
        <f>K651*L651</f>
        <v/>
      </c>
      <c r="N651" s="8" t="n">
        <v>19.9</v>
      </c>
      <c r="O651" s="10">
        <f>N651*L651</f>
        <v/>
      </c>
      <c r="P651" s="10">
        <f>M651-O651</f>
        <v/>
      </c>
      <c r="Q651" s="11" t="inlineStr">
        <is>
          <t>No</t>
        </is>
      </c>
      <c r="R651" s="11" t="n">
        <v>0</v>
      </c>
      <c r="S651" s="10">
        <f>M651-(R651*K651)</f>
        <v/>
      </c>
      <c r="T651" s="12">
        <f>VLOOKUP(E651,Dim_Product!$A$2:$Q$61,3,FALSE)</f>
        <v/>
      </c>
      <c r="U651" s="12">
        <f>VLOOKUP(E651,Dim_Product!$A$2:$Q$61,4,FALSE)</f>
        <v/>
      </c>
      <c r="V651" s="12">
        <f>VLOOKUP(D651,Dim_Customer!$A$2:$I$121,6,FALSE)</f>
        <v/>
      </c>
      <c r="W651" s="12">
        <f>VLOOKUP(G651,Dim_Channel!$A$2:$B$5,2,FALSE)</f>
        <v/>
      </c>
      <c r="X651" s="12">
        <f>VLOOKUP(H651,Dim_Promotion!$A$2:$G$11,2,FALSE)</f>
        <v/>
      </c>
    </row>
    <row r="652">
      <c r="A652" s="4" t="inlineStr">
        <is>
          <t>SL0651</t>
        </is>
      </c>
      <c r="B652" t="inlineStr">
        <is>
          <t>O010326</t>
        </is>
      </c>
      <c r="C652" t="n">
        <v>20250829</v>
      </c>
      <c r="D652" s="4" t="inlineStr">
        <is>
          <t>C083</t>
        </is>
      </c>
      <c r="E652" s="4" t="inlineStr">
        <is>
          <t>P057</t>
        </is>
      </c>
      <c r="F652" t="inlineStr">
        <is>
          <t>M</t>
        </is>
      </c>
      <c r="G652" s="4" t="inlineStr">
        <is>
          <t>CH01</t>
        </is>
      </c>
      <c r="H652" s="4" t="inlineStr">
        <is>
          <t>PR00</t>
        </is>
      </c>
      <c r="I652" s="8" t="n">
        <v>74</v>
      </c>
      <c r="J652" s="9" t="n">
        <v>0</v>
      </c>
      <c r="K652" s="10">
        <f>I652*(1-J652)</f>
        <v/>
      </c>
      <c r="L652" s="11" t="n">
        <v>1</v>
      </c>
      <c r="M652" s="10">
        <f>K652*L652</f>
        <v/>
      </c>
      <c r="N652" s="8" t="n">
        <v>34.45</v>
      </c>
      <c r="O652" s="10">
        <f>N652*L652</f>
        <v/>
      </c>
      <c r="P652" s="10">
        <f>M652-O652</f>
        <v/>
      </c>
      <c r="Q652" s="11" t="inlineStr">
        <is>
          <t>No</t>
        </is>
      </c>
      <c r="R652" s="11" t="n">
        <v>0</v>
      </c>
      <c r="S652" s="10">
        <f>M652-(R652*K652)</f>
        <v/>
      </c>
      <c r="T652" s="12">
        <f>VLOOKUP(E652,Dim_Product!$A$2:$Q$61,3,FALSE)</f>
        <v/>
      </c>
      <c r="U652" s="12">
        <f>VLOOKUP(E652,Dim_Product!$A$2:$Q$61,4,FALSE)</f>
        <v/>
      </c>
      <c r="V652" s="12">
        <f>VLOOKUP(D652,Dim_Customer!$A$2:$I$121,6,FALSE)</f>
        <v/>
      </c>
      <c r="W652" s="12">
        <f>VLOOKUP(G652,Dim_Channel!$A$2:$B$5,2,FALSE)</f>
        <v/>
      </c>
      <c r="X652" s="12">
        <f>VLOOKUP(H652,Dim_Promotion!$A$2:$G$11,2,FALSE)</f>
        <v/>
      </c>
    </row>
    <row r="653">
      <c r="A653" s="4" t="inlineStr">
        <is>
          <t>SL0652</t>
        </is>
      </c>
      <c r="B653" t="inlineStr">
        <is>
          <t>O010326</t>
        </is>
      </c>
      <c r="C653" t="n">
        <v>20250625</v>
      </c>
      <c r="D653" s="4" t="inlineStr">
        <is>
          <t>C041</t>
        </is>
      </c>
      <c r="E653" s="4" t="inlineStr">
        <is>
          <t>P007</t>
        </is>
      </c>
      <c r="F653" t="inlineStr">
        <is>
          <t>S</t>
        </is>
      </c>
      <c r="G653" s="4" t="inlineStr">
        <is>
          <t>CH01</t>
        </is>
      </c>
      <c r="H653" s="4" t="inlineStr">
        <is>
          <t>PR00</t>
        </is>
      </c>
      <c r="I653" s="8" t="n">
        <v>50</v>
      </c>
      <c r="J653" s="9" t="n">
        <v>0</v>
      </c>
      <c r="K653" s="10">
        <f>I653*(1-J653)</f>
        <v/>
      </c>
      <c r="L653" s="11" t="n">
        <v>1</v>
      </c>
      <c r="M653" s="10">
        <f>K653*L653</f>
        <v/>
      </c>
      <c r="N653" s="8" t="n">
        <v>22.07</v>
      </c>
      <c r="O653" s="10">
        <f>N653*L653</f>
        <v/>
      </c>
      <c r="P653" s="10">
        <f>M653-O653</f>
        <v/>
      </c>
      <c r="Q653" s="11" t="inlineStr">
        <is>
          <t>No</t>
        </is>
      </c>
      <c r="R653" s="11" t="n">
        <v>0</v>
      </c>
      <c r="S653" s="10">
        <f>M653-(R653*K653)</f>
        <v/>
      </c>
      <c r="T653" s="12">
        <f>VLOOKUP(E653,Dim_Product!$A$2:$Q$61,3,FALSE)</f>
        <v/>
      </c>
      <c r="U653" s="12">
        <f>VLOOKUP(E653,Dim_Product!$A$2:$Q$61,4,FALSE)</f>
        <v/>
      </c>
      <c r="V653" s="12">
        <f>VLOOKUP(D653,Dim_Customer!$A$2:$I$121,6,FALSE)</f>
        <v/>
      </c>
      <c r="W653" s="12">
        <f>VLOOKUP(G653,Dim_Channel!$A$2:$B$5,2,FALSE)</f>
        <v/>
      </c>
      <c r="X653" s="12">
        <f>VLOOKUP(H653,Dim_Promotion!$A$2:$G$11,2,FALSE)</f>
        <v/>
      </c>
    </row>
    <row r="654">
      <c r="A654" s="4" t="inlineStr">
        <is>
          <t>SL0653</t>
        </is>
      </c>
      <c r="B654" t="inlineStr">
        <is>
          <t>O010327</t>
        </is>
      </c>
      <c r="C654" t="n">
        <v>20250704</v>
      </c>
      <c r="D654" s="4" t="inlineStr">
        <is>
          <t>C072</t>
        </is>
      </c>
      <c r="E654" s="4" t="inlineStr">
        <is>
          <t>P016</t>
        </is>
      </c>
      <c r="F654" t="inlineStr">
        <is>
          <t>XL</t>
        </is>
      </c>
      <c r="G654" s="4" t="inlineStr">
        <is>
          <t>CH04</t>
        </is>
      </c>
      <c r="H654" s="4" t="inlineStr">
        <is>
          <t>PR00</t>
        </is>
      </c>
      <c r="I654" s="8" t="n">
        <v>59</v>
      </c>
      <c r="J654" s="9" t="n">
        <v>0</v>
      </c>
      <c r="K654" s="10">
        <f>I654*(1-J654)</f>
        <v/>
      </c>
      <c r="L654" s="11" t="n">
        <v>1</v>
      </c>
      <c r="M654" s="10">
        <f>K654*L654</f>
        <v/>
      </c>
      <c r="N654" s="8" t="n">
        <v>27.17</v>
      </c>
      <c r="O654" s="10">
        <f>N654*L654</f>
        <v/>
      </c>
      <c r="P654" s="10">
        <f>M654-O654</f>
        <v/>
      </c>
      <c r="Q654" s="11" t="inlineStr">
        <is>
          <t>No</t>
        </is>
      </c>
      <c r="R654" s="11" t="n">
        <v>0</v>
      </c>
      <c r="S654" s="10">
        <f>M654-(R654*K654)</f>
        <v/>
      </c>
      <c r="T654" s="12">
        <f>VLOOKUP(E654,Dim_Product!$A$2:$Q$61,3,FALSE)</f>
        <v/>
      </c>
      <c r="U654" s="12">
        <f>VLOOKUP(E654,Dim_Product!$A$2:$Q$61,4,FALSE)</f>
        <v/>
      </c>
      <c r="V654" s="12">
        <f>VLOOKUP(D654,Dim_Customer!$A$2:$I$121,6,FALSE)</f>
        <v/>
      </c>
      <c r="W654" s="12">
        <f>VLOOKUP(G654,Dim_Channel!$A$2:$B$5,2,FALSE)</f>
        <v/>
      </c>
      <c r="X654" s="12">
        <f>VLOOKUP(H654,Dim_Promotion!$A$2:$G$11,2,FALSE)</f>
        <v/>
      </c>
    </row>
    <row r="655">
      <c r="A655" s="4" t="inlineStr">
        <is>
          <t>SL0654</t>
        </is>
      </c>
      <c r="B655" t="inlineStr">
        <is>
          <t>O010327</t>
        </is>
      </c>
      <c r="C655" t="n">
        <v>20250302</v>
      </c>
      <c r="D655" s="4" t="inlineStr">
        <is>
          <t>C103</t>
        </is>
      </c>
      <c r="E655" s="4" t="inlineStr">
        <is>
          <t>P028</t>
        </is>
      </c>
      <c r="F655" t="inlineStr">
        <is>
          <t>M</t>
        </is>
      </c>
      <c r="G655" s="4" t="inlineStr">
        <is>
          <t>CH01</t>
        </is>
      </c>
      <c r="H655" s="4" t="inlineStr">
        <is>
          <t>PR00</t>
        </is>
      </c>
      <c r="I655" s="8" t="n">
        <v>99</v>
      </c>
      <c r="J655" s="9" t="n">
        <v>0</v>
      </c>
      <c r="K655" s="10">
        <f>I655*(1-J655)</f>
        <v/>
      </c>
      <c r="L655" s="11" t="n">
        <v>1</v>
      </c>
      <c r="M655" s="10">
        <f>K655*L655</f>
        <v/>
      </c>
      <c r="N655" s="8" t="n">
        <v>47.86</v>
      </c>
      <c r="O655" s="10">
        <f>N655*L655</f>
        <v/>
      </c>
      <c r="P655" s="10">
        <f>M655-O655</f>
        <v/>
      </c>
      <c r="Q655" s="11" t="inlineStr">
        <is>
          <t>No</t>
        </is>
      </c>
      <c r="R655" s="11" t="n">
        <v>0</v>
      </c>
      <c r="S655" s="10">
        <f>M655-(R655*K655)</f>
        <v/>
      </c>
      <c r="T655" s="12">
        <f>VLOOKUP(E655,Dim_Product!$A$2:$Q$61,3,FALSE)</f>
        <v/>
      </c>
      <c r="U655" s="12">
        <f>VLOOKUP(E655,Dim_Product!$A$2:$Q$61,4,FALSE)</f>
        <v/>
      </c>
      <c r="V655" s="12">
        <f>VLOOKUP(D655,Dim_Customer!$A$2:$I$121,6,FALSE)</f>
        <v/>
      </c>
      <c r="W655" s="12">
        <f>VLOOKUP(G655,Dim_Channel!$A$2:$B$5,2,FALSE)</f>
        <v/>
      </c>
      <c r="X655" s="12">
        <f>VLOOKUP(H655,Dim_Promotion!$A$2:$G$11,2,FALSE)</f>
        <v/>
      </c>
    </row>
    <row r="656">
      <c r="A656" s="4" t="inlineStr">
        <is>
          <t>SL0655</t>
        </is>
      </c>
      <c r="B656" t="inlineStr">
        <is>
          <t>O010328</t>
        </is>
      </c>
      <c r="C656" t="n">
        <v>20251101</v>
      </c>
      <c r="D656" s="4" t="inlineStr">
        <is>
          <t>C117</t>
        </is>
      </c>
      <c r="E656" s="4" t="inlineStr">
        <is>
          <t>P026</t>
        </is>
      </c>
      <c r="F656" t="inlineStr">
        <is>
          <t>XL</t>
        </is>
      </c>
      <c r="G656" s="4" t="inlineStr">
        <is>
          <t>CH01</t>
        </is>
      </c>
      <c r="H656" s="4" t="inlineStr">
        <is>
          <t>PR00</t>
        </is>
      </c>
      <c r="I656" s="8" t="n">
        <v>93</v>
      </c>
      <c r="J656" s="9" t="n">
        <v>0</v>
      </c>
      <c r="K656" s="10">
        <f>I656*(1-J656)</f>
        <v/>
      </c>
      <c r="L656" s="11" t="n">
        <v>1</v>
      </c>
      <c r="M656" s="10">
        <f>K656*L656</f>
        <v/>
      </c>
      <c r="N656" s="8" t="n">
        <v>44.29</v>
      </c>
      <c r="O656" s="10">
        <f>N656*L656</f>
        <v/>
      </c>
      <c r="P656" s="10">
        <f>M656-O656</f>
        <v/>
      </c>
      <c r="Q656" s="11" t="inlineStr">
        <is>
          <t>No</t>
        </is>
      </c>
      <c r="R656" s="11" t="n">
        <v>0</v>
      </c>
      <c r="S656" s="10">
        <f>M656-(R656*K656)</f>
        <v/>
      </c>
      <c r="T656" s="12">
        <f>VLOOKUP(E656,Dim_Product!$A$2:$Q$61,3,FALSE)</f>
        <v/>
      </c>
      <c r="U656" s="12">
        <f>VLOOKUP(E656,Dim_Product!$A$2:$Q$61,4,FALSE)</f>
        <v/>
      </c>
      <c r="V656" s="12">
        <f>VLOOKUP(D656,Dim_Customer!$A$2:$I$121,6,FALSE)</f>
        <v/>
      </c>
      <c r="W656" s="12">
        <f>VLOOKUP(G656,Dim_Channel!$A$2:$B$5,2,FALSE)</f>
        <v/>
      </c>
      <c r="X656" s="12">
        <f>VLOOKUP(H656,Dim_Promotion!$A$2:$G$11,2,FALSE)</f>
        <v/>
      </c>
    </row>
    <row r="657">
      <c r="A657" s="4" t="inlineStr">
        <is>
          <t>SL0656</t>
        </is>
      </c>
      <c r="B657" t="inlineStr">
        <is>
          <t>O010328</t>
        </is>
      </c>
      <c r="C657" t="n">
        <v>20251124</v>
      </c>
      <c r="D657" s="4" t="inlineStr">
        <is>
          <t>C039</t>
        </is>
      </c>
      <c r="E657" s="4" t="inlineStr">
        <is>
          <t>P023</t>
        </is>
      </c>
      <c r="F657" t="inlineStr">
        <is>
          <t>M</t>
        </is>
      </c>
      <c r="G657" s="4" t="inlineStr">
        <is>
          <t>CH02</t>
        </is>
      </c>
      <c r="H657" s="4" t="inlineStr">
        <is>
          <t>PR00</t>
        </is>
      </c>
      <c r="I657" s="8" t="n">
        <v>57</v>
      </c>
      <c r="J657" s="9" t="n">
        <v>0</v>
      </c>
      <c r="K657" s="10">
        <f>I657*(1-J657)</f>
        <v/>
      </c>
      <c r="L657" s="11" t="n">
        <v>1</v>
      </c>
      <c r="M657" s="10">
        <f>K657*L657</f>
        <v/>
      </c>
      <c r="N657" s="8" t="n">
        <v>26.48</v>
      </c>
      <c r="O657" s="10">
        <f>N657*L657</f>
        <v/>
      </c>
      <c r="P657" s="10">
        <f>M657-O657</f>
        <v/>
      </c>
      <c r="Q657" s="11" t="inlineStr">
        <is>
          <t>No</t>
        </is>
      </c>
      <c r="R657" s="11" t="n">
        <v>0</v>
      </c>
      <c r="S657" s="10">
        <f>M657-(R657*K657)</f>
        <v/>
      </c>
      <c r="T657" s="12">
        <f>VLOOKUP(E657,Dim_Product!$A$2:$Q$61,3,FALSE)</f>
        <v/>
      </c>
      <c r="U657" s="12">
        <f>VLOOKUP(E657,Dim_Product!$A$2:$Q$61,4,FALSE)</f>
        <v/>
      </c>
      <c r="V657" s="12">
        <f>VLOOKUP(D657,Dim_Customer!$A$2:$I$121,6,FALSE)</f>
        <v/>
      </c>
      <c r="W657" s="12">
        <f>VLOOKUP(G657,Dim_Channel!$A$2:$B$5,2,FALSE)</f>
        <v/>
      </c>
      <c r="X657" s="12">
        <f>VLOOKUP(H657,Dim_Promotion!$A$2:$G$11,2,FALSE)</f>
        <v/>
      </c>
    </row>
    <row r="658">
      <c r="A658" s="4" t="inlineStr">
        <is>
          <t>SL0657</t>
        </is>
      </c>
      <c r="B658" t="inlineStr">
        <is>
          <t>O010329</t>
        </is>
      </c>
      <c r="C658" t="n">
        <v>20251120</v>
      </c>
      <c r="D658" s="4" t="inlineStr">
        <is>
          <t>C014</t>
        </is>
      </c>
      <c r="E658" s="4" t="inlineStr">
        <is>
          <t>P002</t>
        </is>
      </c>
      <c r="F658" t="inlineStr">
        <is>
          <t>S</t>
        </is>
      </c>
      <c r="G658" s="4" t="inlineStr">
        <is>
          <t>CH01</t>
        </is>
      </c>
      <c r="H658" s="4" t="inlineStr">
        <is>
          <t>PR00</t>
        </is>
      </c>
      <c r="I658" s="8" t="n">
        <v>41</v>
      </c>
      <c r="J658" s="9" t="n">
        <v>0</v>
      </c>
      <c r="K658" s="10">
        <f>I658*(1-J658)</f>
        <v/>
      </c>
      <c r="L658" s="11" t="n">
        <v>1</v>
      </c>
      <c r="M658" s="10">
        <f>K658*L658</f>
        <v/>
      </c>
      <c r="N658" s="8" t="n">
        <v>16.75</v>
      </c>
      <c r="O658" s="10">
        <f>N658*L658</f>
        <v/>
      </c>
      <c r="P658" s="10">
        <f>M658-O658</f>
        <v/>
      </c>
      <c r="Q658" s="11" t="inlineStr">
        <is>
          <t>No</t>
        </is>
      </c>
      <c r="R658" s="11" t="n">
        <v>0</v>
      </c>
      <c r="S658" s="10">
        <f>M658-(R658*K658)</f>
        <v/>
      </c>
      <c r="T658" s="12">
        <f>VLOOKUP(E658,Dim_Product!$A$2:$Q$61,3,FALSE)</f>
        <v/>
      </c>
      <c r="U658" s="12">
        <f>VLOOKUP(E658,Dim_Product!$A$2:$Q$61,4,FALSE)</f>
        <v/>
      </c>
      <c r="V658" s="12">
        <f>VLOOKUP(D658,Dim_Customer!$A$2:$I$121,6,FALSE)</f>
        <v/>
      </c>
      <c r="W658" s="12">
        <f>VLOOKUP(G658,Dim_Channel!$A$2:$B$5,2,FALSE)</f>
        <v/>
      </c>
      <c r="X658" s="12">
        <f>VLOOKUP(H658,Dim_Promotion!$A$2:$G$11,2,FALSE)</f>
        <v/>
      </c>
    </row>
    <row r="659">
      <c r="A659" s="4" t="inlineStr">
        <is>
          <t>SL0658</t>
        </is>
      </c>
      <c r="B659" t="inlineStr">
        <is>
          <t>O010329</t>
        </is>
      </c>
      <c r="C659" t="n">
        <v>20251127</v>
      </c>
      <c r="D659" s="4" t="inlineStr">
        <is>
          <t>C116</t>
        </is>
      </c>
      <c r="E659" s="4" t="inlineStr">
        <is>
          <t>P031</t>
        </is>
      </c>
      <c r="F659" t="inlineStr">
        <is>
          <t>M</t>
        </is>
      </c>
      <c r="G659" s="4" t="inlineStr">
        <is>
          <t>CH01</t>
        </is>
      </c>
      <c r="H659" s="4" t="inlineStr">
        <is>
          <t>PR08</t>
        </is>
      </c>
      <c r="I659" s="8" t="n">
        <v>110</v>
      </c>
      <c r="J659" s="9" t="n">
        <v>0.25</v>
      </c>
      <c r="K659" s="10">
        <f>I659*(1-J659)</f>
        <v/>
      </c>
      <c r="L659" s="11" t="n">
        <v>1</v>
      </c>
      <c r="M659" s="10">
        <f>K659*L659</f>
        <v/>
      </c>
      <c r="N659" s="8" t="n">
        <v>57.03</v>
      </c>
      <c r="O659" s="10">
        <f>N659*L659</f>
        <v/>
      </c>
      <c r="P659" s="10">
        <f>M659-O659</f>
        <v/>
      </c>
      <c r="Q659" s="11" t="inlineStr">
        <is>
          <t>No</t>
        </is>
      </c>
      <c r="R659" s="11" t="n">
        <v>0</v>
      </c>
      <c r="S659" s="10">
        <f>M659-(R659*K659)</f>
        <v/>
      </c>
      <c r="T659" s="12">
        <f>VLOOKUP(E659,Dim_Product!$A$2:$Q$61,3,FALSE)</f>
        <v/>
      </c>
      <c r="U659" s="12">
        <f>VLOOKUP(E659,Dim_Product!$A$2:$Q$61,4,FALSE)</f>
        <v/>
      </c>
      <c r="V659" s="12">
        <f>VLOOKUP(D659,Dim_Customer!$A$2:$I$121,6,FALSE)</f>
        <v/>
      </c>
      <c r="W659" s="12">
        <f>VLOOKUP(G659,Dim_Channel!$A$2:$B$5,2,FALSE)</f>
        <v/>
      </c>
      <c r="X659" s="12">
        <f>VLOOKUP(H659,Dim_Promotion!$A$2:$G$11,2,FALSE)</f>
        <v/>
      </c>
    </row>
    <row r="660">
      <c r="A660" s="4" t="inlineStr">
        <is>
          <t>SL0659</t>
        </is>
      </c>
      <c r="B660" t="inlineStr">
        <is>
          <t>O010330</t>
        </is>
      </c>
      <c r="C660" t="n">
        <v>20250520</v>
      </c>
      <c r="D660" s="4" t="inlineStr">
        <is>
          <t>C102</t>
        </is>
      </c>
      <c r="E660" s="4" t="inlineStr">
        <is>
          <t>P048</t>
        </is>
      </c>
      <c r="F660" t="inlineStr">
        <is>
          <t>S</t>
        </is>
      </c>
      <c r="G660" s="4" t="inlineStr">
        <is>
          <t>CH01</t>
        </is>
      </c>
      <c r="H660" s="4" t="inlineStr">
        <is>
          <t>PR00</t>
        </is>
      </c>
      <c r="I660" s="8" t="n">
        <v>68</v>
      </c>
      <c r="J660" s="9" t="n">
        <v>0</v>
      </c>
      <c r="K660" s="10">
        <f>I660*(1-J660)</f>
        <v/>
      </c>
      <c r="L660" s="11" t="n">
        <v>2</v>
      </c>
      <c r="M660" s="10">
        <f>K660*L660</f>
        <v/>
      </c>
      <c r="N660" s="8" t="n">
        <v>34.1</v>
      </c>
      <c r="O660" s="10">
        <f>N660*L660</f>
        <v/>
      </c>
      <c r="P660" s="10">
        <f>M660-O660</f>
        <v/>
      </c>
      <c r="Q660" s="11" t="inlineStr">
        <is>
          <t>No</t>
        </is>
      </c>
      <c r="R660" s="11" t="n">
        <v>0</v>
      </c>
      <c r="S660" s="10">
        <f>M660-(R660*K660)</f>
        <v/>
      </c>
      <c r="T660" s="12">
        <f>VLOOKUP(E660,Dim_Product!$A$2:$Q$61,3,FALSE)</f>
        <v/>
      </c>
      <c r="U660" s="12">
        <f>VLOOKUP(E660,Dim_Product!$A$2:$Q$61,4,FALSE)</f>
        <v/>
      </c>
      <c r="V660" s="12">
        <f>VLOOKUP(D660,Dim_Customer!$A$2:$I$121,6,FALSE)</f>
        <v/>
      </c>
      <c r="W660" s="12">
        <f>VLOOKUP(G660,Dim_Channel!$A$2:$B$5,2,FALSE)</f>
        <v/>
      </c>
      <c r="X660" s="12">
        <f>VLOOKUP(H660,Dim_Promotion!$A$2:$G$11,2,FALSE)</f>
        <v/>
      </c>
    </row>
    <row r="661">
      <c r="A661" s="4" t="inlineStr">
        <is>
          <t>SL0660</t>
        </is>
      </c>
      <c r="B661" t="inlineStr">
        <is>
          <t>O010330</t>
        </is>
      </c>
      <c r="C661" t="n">
        <v>20250615</v>
      </c>
      <c r="D661" s="4" t="inlineStr">
        <is>
          <t>C086</t>
        </is>
      </c>
      <c r="E661" s="4" t="inlineStr">
        <is>
          <t>P007</t>
        </is>
      </c>
      <c r="F661" t="inlineStr">
        <is>
          <t>L</t>
        </is>
      </c>
      <c r="G661" s="4" t="inlineStr">
        <is>
          <t>CH03</t>
        </is>
      </c>
      <c r="H661" s="4" t="inlineStr">
        <is>
          <t>PR04</t>
        </is>
      </c>
      <c r="I661" s="8" t="n">
        <v>50</v>
      </c>
      <c r="J661" s="9" t="n">
        <v>0.12</v>
      </c>
      <c r="K661" s="10">
        <f>I661*(1-J661)</f>
        <v/>
      </c>
      <c r="L661" s="11" t="n">
        <v>2</v>
      </c>
      <c r="M661" s="10">
        <f>K661*L661</f>
        <v/>
      </c>
      <c r="N661" s="8" t="n">
        <v>22.2</v>
      </c>
      <c r="O661" s="10">
        <f>N661*L661</f>
        <v/>
      </c>
      <c r="P661" s="10">
        <f>M661-O661</f>
        <v/>
      </c>
      <c r="Q661" s="11" t="inlineStr">
        <is>
          <t>No</t>
        </is>
      </c>
      <c r="R661" s="11" t="n">
        <v>0</v>
      </c>
      <c r="S661" s="10">
        <f>M661-(R661*K661)</f>
        <v/>
      </c>
      <c r="T661" s="12">
        <f>VLOOKUP(E661,Dim_Product!$A$2:$Q$61,3,FALSE)</f>
        <v/>
      </c>
      <c r="U661" s="12">
        <f>VLOOKUP(E661,Dim_Product!$A$2:$Q$61,4,FALSE)</f>
        <v/>
      </c>
      <c r="V661" s="12">
        <f>VLOOKUP(D661,Dim_Customer!$A$2:$I$121,6,FALSE)</f>
        <v/>
      </c>
      <c r="W661" s="12">
        <f>VLOOKUP(G661,Dim_Channel!$A$2:$B$5,2,FALSE)</f>
        <v/>
      </c>
      <c r="X661" s="12">
        <f>VLOOKUP(H661,Dim_Promotion!$A$2:$G$11,2,FALSE)</f>
        <v/>
      </c>
    </row>
    <row r="662">
      <c r="A662" s="4" t="inlineStr">
        <is>
          <t>SL0661</t>
        </is>
      </c>
      <c r="B662" t="inlineStr">
        <is>
          <t>O010331</t>
        </is>
      </c>
      <c r="C662" t="n">
        <v>20251023</v>
      </c>
      <c r="D662" s="4" t="inlineStr">
        <is>
          <t>C011</t>
        </is>
      </c>
      <c r="E662" s="4" t="inlineStr">
        <is>
          <t>P020</t>
        </is>
      </c>
      <c r="F662" t="inlineStr">
        <is>
          <t>S</t>
        </is>
      </c>
      <c r="G662" s="4" t="inlineStr">
        <is>
          <t>CH04</t>
        </is>
      </c>
      <c r="H662" s="4" t="inlineStr">
        <is>
          <t>PR00</t>
        </is>
      </c>
      <c r="I662" s="8" t="n">
        <v>62</v>
      </c>
      <c r="J662" s="9" t="n">
        <v>0</v>
      </c>
      <c r="K662" s="10">
        <f>I662*(1-J662)</f>
        <v/>
      </c>
      <c r="L662" s="11" t="n">
        <v>3</v>
      </c>
      <c r="M662" s="10">
        <f>K662*L662</f>
        <v/>
      </c>
      <c r="N662" s="8" t="n">
        <v>29.51</v>
      </c>
      <c r="O662" s="10">
        <f>N662*L662</f>
        <v/>
      </c>
      <c r="P662" s="10">
        <f>M662-O662</f>
        <v/>
      </c>
      <c r="Q662" s="11" t="inlineStr">
        <is>
          <t>Yes</t>
        </is>
      </c>
      <c r="R662" s="11" t="n">
        <v>1</v>
      </c>
      <c r="S662" s="10">
        <f>M662-(R662*K662)</f>
        <v/>
      </c>
      <c r="T662" s="12">
        <f>VLOOKUP(E662,Dim_Product!$A$2:$Q$61,3,FALSE)</f>
        <v/>
      </c>
      <c r="U662" s="12">
        <f>VLOOKUP(E662,Dim_Product!$A$2:$Q$61,4,FALSE)</f>
        <v/>
      </c>
      <c r="V662" s="12">
        <f>VLOOKUP(D662,Dim_Customer!$A$2:$I$121,6,FALSE)</f>
        <v/>
      </c>
      <c r="W662" s="12">
        <f>VLOOKUP(G662,Dim_Channel!$A$2:$B$5,2,FALSE)</f>
        <v/>
      </c>
      <c r="X662" s="12">
        <f>VLOOKUP(H662,Dim_Promotion!$A$2:$G$11,2,FALSE)</f>
        <v/>
      </c>
    </row>
    <row r="663">
      <c r="A663" s="4" t="inlineStr">
        <is>
          <t>SL0662</t>
        </is>
      </c>
      <c r="B663" t="inlineStr">
        <is>
          <t>O010331</t>
        </is>
      </c>
      <c r="C663" t="n">
        <v>20250713</v>
      </c>
      <c r="D663" s="4" t="inlineStr">
        <is>
          <t>C025</t>
        </is>
      </c>
      <c r="E663" s="4" t="inlineStr">
        <is>
          <t>P028</t>
        </is>
      </c>
      <c r="F663" t="inlineStr">
        <is>
          <t>XL</t>
        </is>
      </c>
      <c r="G663" s="4" t="inlineStr">
        <is>
          <t>CH03</t>
        </is>
      </c>
      <c r="H663" s="4" t="inlineStr">
        <is>
          <t>PR00</t>
        </is>
      </c>
      <c r="I663" s="8" t="n">
        <v>97</v>
      </c>
      <c r="J663" s="9" t="n">
        <v>0</v>
      </c>
      <c r="K663" s="10">
        <f>I663*(1-J663)</f>
        <v/>
      </c>
      <c r="L663" s="11" t="n">
        <v>2</v>
      </c>
      <c r="M663" s="10">
        <f>K663*L663</f>
        <v/>
      </c>
      <c r="N663" s="8" t="n">
        <v>47.94</v>
      </c>
      <c r="O663" s="10">
        <f>N663*L663</f>
        <v/>
      </c>
      <c r="P663" s="10">
        <f>M663-O663</f>
        <v/>
      </c>
      <c r="Q663" s="11" t="inlineStr">
        <is>
          <t>No</t>
        </is>
      </c>
      <c r="R663" s="11" t="n">
        <v>0</v>
      </c>
      <c r="S663" s="10">
        <f>M663-(R663*K663)</f>
        <v/>
      </c>
      <c r="T663" s="12">
        <f>VLOOKUP(E663,Dim_Product!$A$2:$Q$61,3,FALSE)</f>
        <v/>
      </c>
      <c r="U663" s="12">
        <f>VLOOKUP(E663,Dim_Product!$A$2:$Q$61,4,FALSE)</f>
        <v/>
      </c>
      <c r="V663" s="12">
        <f>VLOOKUP(D663,Dim_Customer!$A$2:$I$121,6,FALSE)</f>
        <v/>
      </c>
      <c r="W663" s="12">
        <f>VLOOKUP(G663,Dim_Channel!$A$2:$B$5,2,FALSE)</f>
        <v/>
      </c>
      <c r="X663" s="12">
        <f>VLOOKUP(H663,Dim_Promotion!$A$2:$G$11,2,FALSE)</f>
        <v/>
      </c>
    </row>
    <row r="664">
      <c r="A664" s="4" t="inlineStr">
        <is>
          <t>SL0663</t>
        </is>
      </c>
      <c r="B664" t="inlineStr">
        <is>
          <t>O010332</t>
        </is>
      </c>
      <c r="C664" t="n">
        <v>20250317</v>
      </c>
      <c r="D664" s="4" t="inlineStr">
        <is>
          <t>C014</t>
        </is>
      </c>
      <c r="E664" s="4" t="inlineStr">
        <is>
          <t>P055</t>
        </is>
      </c>
      <c r="F664" t="inlineStr">
        <is>
          <t>S</t>
        </is>
      </c>
      <c r="G664" s="4" t="inlineStr">
        <is>
          <t>CH04</t>
        </is>
      </c>
      <c r="H664" s="4" t="inlineStr">
        <is>
          <t>PR00</t>
        </is>
      </c>
      <c r="I664" s="8" t="n">
        <v>71</v>
      </c>
      <c r="J664" s="9" t="n">
        <v>0</v>
      </c>
      <c r="K664" s="10">
        <f>I664*(1-J664)</f>
        <v/>
      </c>
      <c r="L664" s="11" t="n">
        <v>1</v>
      </c>
      <c r="M664" s="10">
        <f>K664*L664</f>
        <v/>
      </c>
      <c r="N664" s="8" t="n">
        <v>33.89</v>
      </c>
      <c r="O664" s="10">
        <f>N664*L664</f>
        <v/>
      </c>
      <c r="P664" s="10">
        <f>M664-O664</f>
        <v/>
      </c>
      <c r="Q664" s="11" t="inlineStr">
        <is>
          <t>No</t>
        </is>
      </c>
      <c r="R664" s="11" t="n">
        <v>0</v>
      </c>
      <c r="S664" s="10">
        <f>M664-(R664*K664)</f>
        <v/>
      </c>
      <c r="T664" s="12">
        <f>VLOOKUP(E664,Dim_Product!$A$2:$Q$61,3,FALSE)</f>
        <v/>
      </c>
      <c r="U664" s="12">
        <f>VLOOKUP(E664,Dim_Product!$A$2:$Q$61,4,FALSE)</f>
        <v/>
      </c>
      <c r="V664" s="12">
        <f>VLOOKUP(D664,Dim_Customer!$A$2:$I$121,6,FALSE)</f>
        <v/>
      </c>
      <c r="W664" s="12">
        <f>VLOOKUP(G664,Dim_Channel!$A$2:$B$5,2,FALSE)</f>
        <v/>
      </c>
      <c r="X664" s="12">
        <f>VLOOKUP(H664,Dim_Promotion!$A$2:$G$11,2,FALSE)</f>
        <v/>
      </c>
    </row>
    <row r="665">
      <c r="A665" s="4" t="inlineStr">
        <is>
          <t>SL0664</t>
        </is>
      </c>
      <c r="B665" t="inlineStr">
        <is>
          <t>O010332</t>
        </is>
      </c>
      <c r="C665" t="n">
        <v>20250528</v>
      </c>
      <c r="D665" s="4" t="inlineStr">
        <is>
          <t>C074</t>
        </is>
      </c>
      <c r="E665" s="4" t="inlineStr">
        <is>
          <t>P038</t>
        </is>
      </c>
      <c r="F665" t="inlineStr">
        <is>
          <t>L</t>
        </is>
      </c>
      <c r="G665" s="4" t="inlineStr">
        <is>
          <t>CH03</t>
        </is>
      </c>
      <c r="H665" s="4" t="inlineStr">
        <is>
          <t>PR00</t>
        </is>
      </c>
      <c r="I665" s="8" t="n">
        <v>75</v>
      </c>
      <c r="J665" s="9" t="n">
        <v>0</v>
      </c>
      <c r="K665" s="10">
        <f>I665*(1-J665)</f>
        <v/>
      </c>
      <c r="L665" s="11" t="n">
        <v>1</v>
      </c>
      <c r="M665" s="10">
        <f>K665*L665</f>
        <v/>
      </c>
      <c r="N665" s="8" t="n">
        <v>32.4</v>
      </c>
      <c r="O665" s="10">
        <f>N665*L665</f>
        <v/>
      </c>
      <c r="P665" s="10">
        <f>M665-O665</f>
        <v/>
      </c>
      <c r="Q665" s="11" t="inlineStr">
        <is>
          <t>No</t>
        </is>
      </c>
      <c r="R665" s="11" t="n">
        <v>0</v>
      </c>
      <c r="S665" s="10">
        <f>M665-(R665*K665)</f>
        <v/>
      </c>
      <c r="T665" s="12">
        <f>VLOOKUP(E665,Dim_Product!$A$2:$Q$61,3,FALSE)</f>
        <v/>
      </c>
      <c r="U665" s="12">
        <f>VLOOKUP(E665,Dim_Product!$A$2:$Q$61,4,FALSE)</f>
        <v/>
      </c>
      <c r="V665" s="12">
        <f>VLOOKUP(D665,Dim_Customer!$A$2:$I$121,6,FALSE)</f>
        <v/>
      </c>
      <c r="W665" s="12">
        <f>VLOOKUP(G665,Dim_Channel!$A$2:$B$5,2,FALSE)</f>
        <v/>
      </c>
      <c r="X665" s="12">
        <f>VLOOKUP(H665,Dim_Promotion!$A$2:$G$11,2,FALSE)</f>
        <v/>
      </c>
    </row>
    <row r="666">
      <c r="A666" s="4" t="inlineStr">
        <is>
          <t>SL0665</t>
        </is>
      </c>
      <c r="B666" t="inlineStr">
        <is>
          <t>O010333</t>
        </is>
      </c>
      <c r="C666" t="n">
        <v>20250609</v>
      </c>
      <c r="D666" s="4" t="inlineStr">
        <is>
          <t>C016</t>
        </is>
      </c>
      <c r="E666" s="4" t="inlineStr">
        <is>
          <t>P055</t>
        </is>
      </c>
      <c r="F666" t="inlineStr">
        <is>
          <t>S</t>
        </is>
      </c>
      <c r="G666" s="4" t="inlineStr">
        <is>
          <t>CH01</t>
        </is>
      </c>
      <c r="H666" s="4" t="inlineStr">
        <is>
          <t>PR00</t>
        </is>
      </c>
      <c r="I666" s="8" t="n">
        <v>68</v>
      </c>
      <c r="J666" s="9" t="n">
        <v>0</v>
      </c>
      <c r="K666" s="10">
        <f>I666*(1-J666)</f>
        <v/>
      </c>
      <c r="L666" s="11" t="n">
        <v>1</v>
      </c>
      <c r="M666" s="10">
        <f>K666*L666</f>
        <v/>
      </c>
      <c r="N666" s="8" t="n">
        <v>34.07</v>
      </c>
      <c r="O666" s="10">
        <f>N666*L666</f>
        <v/>
      </c>
      <c r="P666" s="10">
        <f>M666-O666</f>
        <v/>
      </c>
      <c r="Q666" s="11" t="inlineStr">
        <is>
          <t>Yes</t>
        </is>
      </c>
      <c r="R666" s="11" t="n">
        <v>1</v>
      </c>
      <c r="S666" s="10">
        <f>M666-(R666*K666)</f>
        <v/>
      </c>
      <c r="T666" s="12">
        <f>VLOOKUP(E666,Dim_Product!$A$2:$Q$61,3,FALSE)</f>
        <v/>
      </c>
      <c r="U666" s="12">
        <f>VLOOKUP(E666,Dim_Product!$A$2:$Q$61,4,FALSE)</f>
        <v/>
      </c>
      <c r="V666" s="12">
        <f>VLOOKUP(D666,Dim_Customer!$A$2:$I$121,6,FALSE)</f>
        <v/>
      </c>
      <c r="W666" s="12">
        <f>VLOOKUP(G666,Dim_Channel!$A$2:$B$5,2,FALSE)</f>
        <v/>
      </c>
      <c r="X666" s="12">
        <f>VLOOKUP(H666,Dim_Promotion!$A$2:$G$11,2,FALSE)</f>
        <v/>
      </c>
    </row>
    <row r="667">
      <c r="A667" s="4" t="inlineStr">
        <is>
          <t>SL0666</t>
        </is>
      </c>
      <c r="B667" t="inlineStr">
        <is>
          <t>O010333</t>
        </is>
      </c>
      <c r="C667" t="n">
        <v>20251014</v>
      </c>
      <c r="D667" s="4" t="inlineStr">
        <is>
          <t>C025</t>
        </is>
      </c>
      <c r="E667" s="4" t="inlineStr">
        <is>
          <t>P016</t>
        </is>
      </c>
      <c r="F667" t="inlineStr">
        <is>
          <t>L</t>
        </is>
      </c>
      <c r="G667" s="4" t="inlineStr">
        <is>
          <t>CH02</t>
        </is>
      </c>
      <c r="H667" s="4" t="inlineStr">
        <is>
          <t>PR00</t>
        </is>
      </c>
      <c r="I667" s="8" t="n">
        <v>59</v>
      </c>
      <c r="J667" s="9" t="n">
        <v>0</v>
      </c>
      <c r="K667" s="10">
        <f>I667*(1-J667)</f>
        <v/>
      </c>
      <c r="L667" s="11" t="n">
        <v>1</v>
      </c>
      <c r="M667" s="10">
        <f>K667*L667</f>
        <v/>
      </c>
      <c r="N667" s="8" t="n">
        <v>26.54</v>
      </c>
      <c r="O667" s="10">
        <f>N667*L667</f>
        <v/>
      </c>
      <c r="P667" s="10">
        <f>M667-O667</f>
        <v/>
      </c>
      <c r="Q667" s="11" t="inlineStr">
        <is>
          <t>No</t>
        </is>
      </c>
      <c r="R667" s="11" t="n">
        <v>0</v>
      </c>
      <c r="S667" s="10">
        <f>M667-(R667*K667)</f>
        <v/>
      </c>
      <c r="T667" s="12">
        <f>VLOOKUP(E667,Dim_Product!$A$2:$Q$61,3,FALSE)</f>
        <v/>
      </c>
      <c r="U667" s="12">
        <f>VLOOKUP(E667,Dim_Product!$A$2:$Q$61,4,FALSE)</f>
        <v/>
      </c>
      <c r="V667" s="12">
        <f>VLOOKUP(D667,Dim_Customer!$A$2:$I$121,6,FALSE)</f>
        <v/>
      </c>
      <c r="W667" s="12">
        <f>VLOOKUP(G667,Dim_Channel!$A$2:$B$5,2,FALSE)</f>
        <v/>
      </c>
      <c r="X667" s="12">
        <f>VLOOKUP(H667,Dim_Promotion!$A$2:$G$11,2,FALSE)</f>
        <v/>
      </c>
    </row>
    <row r="668">
      <c r="A668" s="4" t="inlineStr">
        <is>
          <t>SL0667</t>
        </is>
      </c>
      <c r="B668" t="inlineStr">
        <is>
          <t>O010334</t>
        </is>
      </c>
      <c r="C668" t="n">
        <v>20250204</v>
      </c>
      <c r="D668" s="4" t="inlineStr">
        <is>
          <t>C007</t>
        </is>
      </c>
      <c r="E668" s="4" t="inlineStr">
        <is>
          <t>P053</t>
        </is>
      </c>
      <c r="F668" t="inlineStr">
        <is>
          <t>S</t>
        </is>
      </c>
      <c r="G668" s="4" t="inlineStr">
        <is>
          <t>CH02</t>
        </is>
      </c>
      <c r="H668" s="4" t="inlineStr">
        <is>
          <t>PR00</t>
        </is>
      </c>
      <c r="I668" s="8" t="n">
        <v>76</v>
      </c>
      <c r="J668" s="9" t="n">
        <v>0</v>
      </c>
      <c r="K668" s="10">
        <f>I668*(1-J668)</f>
        <v/>
      </c>
      <c r="L668" s="11" t="n">
        <v>1</v>
      </c>
      <c r="M668" s="10">
        <f>K668*L668</f>
        <v/>
      </c>
      <c r="N668" s="8" t="n">
        <v>34.15</v>
      </c>
      <c r="O668" s="10">
        <f>N668*L668</f>
        <v/>
      </c>
      <c r="P668" s="10">
        <f>M668-O668</f>
        <v/>
      </c>
      <c r="Q668" s="11" t="inlineStr">
        <is>
          <t>No</t>
        </is>
      </c>
      <c r="R668" s="11" t="n">
        <v>0</v>
      </c>
      <c r="S668" s="10">
        <f>M668-(R668*K668)</f>
        <v/>
      </c>
      <c r="T668" s="12">
        <f>VLOOKUP(E668,Dim_Product!$A$2:$Q$61,3,FALSE)</f>
        <v/>
      </c>
      <c r="U668" s="12">
        <f>VLOOKUP(E668,Dim_Product!$A$2:$Q$61,4,FALSE)</f>
        <v/>
      </c>
      <c r="V668" s="12">
        <f>VLOOKUP(D668,Dim_Customer!$A$2:$I$121,6,FALSE)</f>
        <v/>
      </c>
      <c r="W668" s="12">
        <f>VLOOKUP(G668,Dim_Channel!$A$2:$B$5,2,FALSE)</f>
        <v/>
      </c>
      <c r="X668" s="12">
        <f>VLOOKUP(H668,Dim_Promotion!$A$2:$G$11,2,FALSE)</f>
        <v/>
      </c>
    </row>
    <row r="669">
      <c r="A669" s="4" t="inlineStr">
        <is>
          <t>SL0668</t>
        </is>
      </c>
      <c r="B669" t="inlineStr">
        <is>
          <t>O010334</t>
        </is>
      </c>
      <c r="C669" t="n">
        <v>20250427</v>
      </c>
      <c r="D669" s="4" t="inlineStr">
        <is>
          <t>C113</t>
        </is>
      </c>
      <c r="E669" s="4" t="inlineStr">
        <is>
          <t>P041</t>
        </is>
      </c>
      <c r="F669" t="inlineStr">
        <is>
          <t>S</t>
        </is>
      </c>
      <c r="G669" s="4" t="inlineStr">
        <is>
          <t>CH01</t>
        </is>
      </c>
      <c r="H669" s="4" t="inlineStr">
        <is>
          <t>PR00</t>
        </is>
      </c>
      <c r="I669" s="8" t="n">
        <v>78</v>
      </c>
      <c r="J669" s="9" t="n">
        <v>0</v>
      </c>
      <c r="K669" s="10">
        <f>I669*(1-J669)</f>
        <v/>
      </c>
      <c r="L669" s="11" t="n">
        <v>2</v>
      </c>
      <c r="M669" s="10">
        <f>K669*L669</f>
        <v/>
      </c>
      <c r="N669" s="8" t="n">
        <v>37.45</v>
      </c>
      <c r="O669" s="10">
        <f>N669*L669</f>
        <v/>
      </c>
      <c r="P669" s="10">
        <f>M669-O669</f>
        <v/>
      </c>
      <c r="Q669" s="11" t="inlineStr">
        <is>
          <t>No</t>
        </is>
      </c>
      <c r="R669" s="11" t="n">
        <v>0</v>
      </c>
      <c r="S669" s="10">
        <f>M669-(R669*K669)</f>
        <v/>
      </c>
      <c r="T669" s="12">
        <f>VLOOKUP(E669,Dim_Product!$A$2:$Q$61,3,FALSE)</f>
        <v/>
      </c>
      <c r="U669" s="12">
        <f>VLOOKUP(E669,Dim_Product!$A$2:$Q$61,4,FALSE)</f>
        <v/>
      </c>
      <c r="V669" s="12">
        <f>VLOOKUP(D669,Dim_Customer!$A$2:$I$121,6,FALSE)</f>
        <v/>
      </c>
      <c r="W669" s="12">
        <f>VLOOKUP(G669,Dim_Channel!$A$2:$B$5,2,FALSE)</f>
        <v/>
      </c>
      <c r="X669" s="12">
        <f>VLOOKUP(H669,Dim_Promotion!$A$2:$G$11,2,FALSE)</f>
        <v/>
      </c>
    </row>
    <row r="670">
      <c r="A670" s="4" t="inlineStr">
        <is>
          <t>SL0669</t>
        </is>
      </c>
      <c r="B670" t="inlineStr">
        <is>
          <t>O010335</t>
        </is>
      </c>
      <c r="C670" t="n">
        <v>20251016</v>
      </c>
      <c r="D670" s="4" t="inlineStr">
        <is>
          <t>C095</t>
        </is>
      </c>
      <c r="E670" s="4" t="inlineStr">
        <is>
          <t>P017</t>
        </is>
      </c>
      <c r="F670" t="inlineStr">
        <is>
          <t>S</t>
        </is>
      </c>
      <c r="G670" s="4" t="inlineStr">
        <is>
          <t>CH02</t>
        </is>
      </c>
      <c r="H670" s="4" t="inlineStr">
        <is>
          <t>PR00</t>
        </is>
      </c>
      <c r="I670" s="8" t="n">
        <v>68</v>
      </c>
      <c r="J670" s="9" t="n">
        <v>0</v>
      </c>
      <c r="K670" s="10">
        <f>I670*(1-J670)</f>
        <v/>
      </c>
      <c r="L670" s="11" t="n">
        <v>1</v>
      </c>
      <c r="M670" s="10">
        <f>K670*L670</f>
        <v/>
      </c>
      <c r="N670" s="8" t="n">
        <v>32.23</v>
      </c>
      <c r="O670" s="10">
        <f>N670*L670</f>
        <v/>
      </c>
      <c r="P670" s="10">
        <f>M670-O670</f>
        <v/>
      </c>
      <c r="Q670" s="11" t="inlineStr">
        <is>
          <t>No</t>
        </is>
      </c>
      <c r="R670" s="11" t="n">
        <v>0</v>
      </c>
      <c r="S670" s="10">
        <f>M670-(R670*K670)</f>
        <v/>
      </c>
      <c r="T670" s="12">
        <f>VLOOKUP(E670,Dim_Product!$A$2:$Q$61,3,FALSE)</f>
        <v/>
      </c>
      <c r="U670" s="12">
        <f>VLOOKUP(E670,Dim_Product!$A$2:$Q$61,4,FALSE)</f>
        <v/>
      </c>
      <c r="V670" s="12">
        <f>VLOOKUP(D670,Dim_Customer!$A$2:$I$121,6,FALSE)</f>
        <v/>
      </c>
      <c r="W670" s="12">
        <f>VLOOKUP(G670,Dim_Channel!$A$2:$B$5,2,FALSE)</f>
        <v/>
      </c>
      <c r="X670" s="12">
        <f>VLOOKUP(H670,Dim_Promotion!$A$2:$G$11,2,FALSE)</f>
        <v/>
      </c>
    </row>
    <row r="671">
      <c r="A671" s="4" t="inlineStr">
        <is>
          <t>SL0670</t>
        </is>
      </c>
      <c r="B671" t="inlineStr">
        <is>
          <t>O010335</t>
        </is>
      </c>
      <c r="C671" t="n">
        <v>20250914</v>
      </c>
      <c r="D671" s="4" t="inlineStr">
        <is>
          <t>C043</t>
        </is>
      </c>
      <c r="E671" s="4" t="inlineStr">
        <is>
          <t>P052</t>
        </is>
      </c>
      <c r="F671" t="inlineStr">
        <is>
          <t>L</t>
        </is>
      </c>
      <c r="G671" s="4" t="inlineStr">
        <is>
          <t>CH01</t>
        </is>
      </c>
      <c r="H671" s="4" t="inlineStr">
        <is>
          <t>PR00</t>
        </is>
      </c>
      <c r="I671" s="8" t="n">
        <v>62</v>
      </c>
      <c r="J671" s="9" t="n">
        <v>0</v>
      </c>
      <c r="K671" s="10">
        <f>I671*(1-J671)</f>
        <v/>
      </c>
      <c r="L671" s="11" t="n">
        <v>1</v>
      </c>
      <c r="M671" s="10">
        <f>K671*L671</f>
        <v/>
      </c>
      <c r="N671" s="8" t="n">
        <v>30.84</v>
      </c>
      <c r="O671" s="10">
        <f>N671*L671</f>
        <v/>
      </c>
      <c r="P671" s="10">
        <f>M671-O671</f>
        <v/>
      </c>
      <c r="Q671" s="11" t="inlineStr">
        <is>
          <t>No</t>
        </is>
      </c>
      <c r="R671" s="11" t="n">
        <v>0</v>
      </c>
      <c r="S671" s="10">
        <f>M671-(R671*K671)</f>
        <v/>
      </c>
      <c r="T671" s="12">
        <f>VLOOKUP(E671,Dim_Product!$A$2:$Q$61,3,FALSE)</f>
        <v/>
      </c>
      <c r="U671" s="12">
        <f>VLOOKUP(E671,Dim_Product!$A$2:$Q$61,4,FALSE)</f>
        <v/>
      </c>
      <c r="V671" s="12">
        <f>VLOOKUP(D671,Dim_Customer!$A$2:$I$121,6,FALSE)</f>
        <v/>
      </c>
      <c r="W671" s="12">
        <f>VLOOKUP(G671,Dim_Channel!$A$2:$B$5,2,FALSE)</f>
        <v/>
      </c>
      <c r="X671" s="12">
        <f>VLOOKUP(H671,Dim_Promotion!$A$2:$G$11,2,FALSE)</f>
        <v/>
      </c>
    </row>
    <row r="672">
      <c r="A672" s="4" t="inlineStr">
        <is>
          <t>SL0671</t>
        </is>
      </c>
      <c r="B672" t="inlineStr">
        <is>
          <t>O010336</t>
        </is>
      </c>
      <c r="C672" t="n">
        <v>20251119</v>
      </c>
      <c r="D672" s="4" t="inlineStr">
        <is>
          <t>C088</t>
        </is>
      </c>
      <c r="E672" s="4" t="inlineStr">
        <is>
          <t>P060</t>
        </is>
      </c>
      <c r="F672" t="inlineStr">
        <is>
          <t>L</t>
        </is>
      </c>
      <c r="G672" s="4" t="inlineStr">
        <is>
          <t>CH02</t>
        </is>
      </c>
      <c r="H672" s="4" t="inlineStr">
        <is>
          <t>PR00</t>
        </is>
      </c>
      <c r="I672" s="8" t="n">
        <v>70</v>
      </c>
      <c r="J672" s="9" t="n">
        <v>0</v>
      </c>
      <c r="K672" s="10">
        <f>I672*(1-J672)</f>
        <v/>
      </c>
      <c r="L672" s="11" t="n">
        <v>1</v>
      </c>
      <c r="M672" s="10">
        <f>K672*L672</f>
        <v/>
      </c>
      <c r="N672" s="8" t="n">
        <v>37.02</v>
      </c>
      <c r="O672" s="10">
        <f>N672*L672</f>
        <v/>
      </c>
      <c r="P672" s="10">
        <f>M672-O672</f>
        <v/>
      </c>
      <c r="Q672" s="11" t="inlineStr">
        <is>
          <t>No</t>
        </is>
      </c>
      <c r="R672" s="11" t="n">
        <v>0</v>
      </c>
      <c r="S672" s="10">
        <f>M672-(R672*K672)</f>
        <v/>
      </c>
      <c r="T672" s="12">
        <f>VLOOKUP(E672,Dim_Product!$A$2:$Q$61,3,FALSE)</f>
        <v/>
      </c>
      <c r="U672" s="12">
        <f>VLOOKUP(E672,Dim_Product!$A$2:$Q$61,4,FALSE)</f>
        <v/>
      </c>
      <c r="V672" s="12">
        <f>VLOOKUP(D672,Dim_Customer!$A$2:$I$121,6,FALSE)</f>
        <v/>
      </c>
      <c r="W672" s="12">
        <f>VLOOKUP(G672,Dim_Channel!$A$2:$B$5,2,FALSE)</f>
        <v/>
      </c>
      <c r="X672" s="12">
        <f>VLOOKUP(H672,Dim_Promotion!$A$2:$G$11,2,FALSE)</f>
        <v/>
      </c>
    </row>
    <row r="673">
      <c r="A673" s="4" t="inlineStr">
        <is>
          <t>SL0672</t>
        </is>
      </c>
      <c r="B673" t="inlineStr">
        <is>
          <t>O010336</t>
        </is>
      </c>
      <c r="C673" t="n">
        <v>20250712</v>
      </c>
      <c r="D673" s="4" t="inlineStr">
        <is>
          <t>C070</t>
        </is>
      </c>
      <c r="E673" s="4" t="inlineStr">
        <is>
          <t>P014</t>
        </is>
      </c>
      <c r="F673" t="inlineStr">
        <is>
          <t>M</t>
        </is>
      </c>
      <c r="G673" s="4" t="inlineStr">
        <is>
          <t>CH01</t>
        </is>
      </c>
      <c r="H673" s="4" t="inlineStr">
        <is>
          <t>PR00</t>
        </is>
      </c>
      <c r="I673" s="8" t="n">
        <v>62</v>
      </c>
      <c r="J673" s="9" t="n">
        <v>0</v>
      </c>
      <c r="K673" s="10">
        <f>I673*(1-J673)</f>
        <v/>
      </c>
      <c r="L673" s="11" t="n">
        <v>2</v>
      </c>
      <c r="M673" s="10">
        <f>K673*L673</f>
        <v/>
      </c>
      <c r="N673" s="8" t="n">
        <v>27.85</v>
      </c>
      <c r="O673" s="10">
        <f>N673*L673</f>
        <v/>
      </c>
      <c r="P673" s="10">
        <f>M673-O673</f>
        <v/>
      </c>
      <c r="Q673" s="11" t="inlineStr">
        <is>
          <t>No</t>
        </is>
      </c>
      <c r="R673" s="11" t="n">
        <v>0</v>
      </c>
      <c r="S673" s="10">
        <f>M673-(R673*K673)</f>
        <v/>
      </c>
      <c r="T673" s="12">
        <f>VLOOKUP(E673,Dim_Product!$A$2:$Q$61,3,FALSE)</f>
        <v/>
      </c>
      <c r="U673" s="12">
        <f>VLOOKUP(E673,Dim_Product!$A$2:$Q$61,4,FALSE)</f>
        <v/>
      </c>
      <c r="V673" s="12">
        <f>VLOOKUP(D673,Dim_Customer!$A$2:$I$121,6,FALSE)</f>
        <v/>
      </c>
      <c r="W673" s="12">
        <f>VLOOKUP(G673,Dim_Channel!$A$2:$B$5,2,FALSE)</f>
        <v/>
      </c>
      <c r="X673" s="12">
        <f>VLOOKUP(H673,Dim_Promotion!$A$2:$G$11,2,FALSE)</f>
        <v/>
      </c>
    </row>
    <row r="674">
      <c r="A674" s="4" t="inlineStr">
        <is>
          <t>SL0673</t>
        </is>
      </c>
      <c r="B674" t="inlineStr">
        <is>
          <t>O010337</t>
        </is>
      </c>
      <c r="C674" t="n">
        <v>20250804</v>
      </c>
      <c r="D674" s="4" t="inlineStr">
        <is>
          <t>C035</t>
        </is>
      </c>
      <c r="E674" s="4" t="inlineStr">
        <is>
          <t>P040</t>
        </is>
      </c>
      <c r="F674" t="inlineStr">
        <is>
          <t>XS</t>
        </is>
      </c>
      <c r="G674" s="4" t="inlineStr">
        <is>
          <t>CH04</t>
        </is>
      </c>
      <c r="H674" s="4" t="inlineStr">
        <is>
          <t>PR00</t>
        </is>
      </c>
      <c r="I674" s="8" t="n">
        <v>70</v>
      </c>
      <c r="J674" s="9" t="n">
        <v>0</v>
      </c>
      <c r="K674" s="10">
        <f>I674*(1-J674)</f>
        <v/>
      </c>
      <c r="L674" s="11" t="n">
        <v>1</v>
      </c>
      <c r="M674" s="10">
        <f>K674*L674</f>
        <v/>
      </c>
      <c r="N674" s="8" t="n">
        <v>33.38</v>
      </c>
      <c r="O674" s="10">
        <f>N674*L674</f>
        <v/>
      </c>
      <c r="P674" s="10">
        <f>M674-O674</f>
        <v/>
      </c>
      <c r="Q674" s="11" t="inlineStr">
        <is>
          <t>No</t>
        </is>
      </c>
      <c r="R674" s="11" t="n">
        <v>0</v>
      </c>
      <c r="S674" s="10">
        <f>M674-(R674*K674)</f>
        <v/>
      </c>
      <c r="T674" s="12">
        <f>VLOOKUP(E674,Dim_Product!$A$2:$Q$61,3,FALSE)</f>
        <v/>
      </c>
      <c r="U674" s="12">
        <f>VLOOKUP(E674,Dim_Product!$A$2:$Q$61,4,FALSE)</f>
        <v/>
      </c>
      <c r="V674" s="12">
        <f>VLOOKUP(D674,Dim_Customer!$A$2:$I$121,6,FALSE)</f>
        <v/>
      </c>
      <c r="W674" s="12">
        <f>VLOOKUP(G674,Dim_Channel!$A$2:$B$5,2,FALSE)</f>
        <v/>
      </c>
      <c r="X674" s="12">
        <f>VLOOKUP(H674,Dim_Promotion!$A$2:$G$11,2,FALSE)</f>
        <v/>
      </c>
    </row>
    <row r="675">
      <c r="A675" s="4" t="inlineStr">
        <is>
          <t>SL0674</t>
        </is>
      </c>
      <c r="B675" t="inlineStr">
        <is>
          <t>O010337</t>
        </is>
      </c>
      <c r="C675" t="n">
        <v>20251014</v>
      </c>
      <c r="D675" s="4" t="inlineStr">
        <is>
          <t>C047</t>
        </is>
      </c>
      <c r="E675" s="4" t="inlineStr">
        <is>
          <t>P011</t>
        </is>
      </c>
      <c r="F675" t="inlineStr">
        <is>
          <t>XL</t>
        </is>
      </c>
      <c r="G675" s="4" t="inlineStr">
        <is>
          <t>CH03</t>
        </is>
      </c>
      <c r="H675" s="4" t="inlineStr">
        <is>
          <t>PR00</t>
        </is>
      </c>
      <c r="I675" s="8" t="n">
        <v>46</v>
      </c>
      <c r="J675" s="9" t="n">
        <v>0</v>
      </c>
      <c r="K675" s="10">
        <f>I675*(1-J675)</f>
        <v/>
      </c>
      <c r="L675" s="11" t="n">
        <v>2</v>
      </c>
      <c r="M675" s="10">
        <f>K675*L675</f>
        <v/>
      </c>
      <c r="N675" s="8" t="n">
        <v>20.41</v>
      </c>
      <c r="O675" s="10">
        <f>N675*L675</f>
        <v/>
      </c>
      <c r="P675" s="10">
        <f>M675-O675</f>
        <v/>
      </c>
      <c r="Q675" s="11" t="inlineStr">
        <is>
          <t>No</t>
        </is>
      </c>
      <c r="R675" s="11" t="n">
        <v>0</v>
      </c>
      <c r="S675" s="10">
        <f>M675-(R675*K675)</f>
        <v/>
      </c>
      <c r="T675" s="12">
        <f>VLOOKUP(E675,Dim_Product!$A$2:$Q$61,3,FALSE)</f>
        <v/>
      </c>
      <c r="U675" s="12">
        <f>VLOOKUP(E675,Dim_Product!$A$2:$Q$61,4,FALSE)</f>
        <v/>
      </c>
      <c r="V675" s="12">
        <f>VLOOKUP(D675,Dim_Customer!$A$2:$I$121,6,FALSE)</f>
        <v/>
      </c>
      <c r="W675" s="12">
        <f>VLOOKUP(G675,Dim_Channel!$A$2:$B$5,2,FALSE)</f>
        <v/>
      </c>
      <c r="X675" s="12">
        <f>VLOOKUP(H675,Dim_Promotion!$A$2:$G$11,2,FALSE)</f>
        <v/>
      </c>
    </row>
    <row r="676">
      <c r="A676" s="4" t="inlineStr">
        <is>
          <t>SL0675</t>
        </is>
      </c>
      <c r="B676" t="inlineStr">
        <is>
          <t>O010338</t>
        </is>
      </c>
      <c r="C676" t="n">
        <v>20250629</v>
      </c>
      <c r="D676" s="4" t="inlineStr">
        <is>
          <t>C068</t>
        </is>
      </c>
      <c r="E676" s="4" t="inlineStr">
        <is>
          <t>P020</t>
        </is>
      </c>
      <c r="F676" t="inlineStr">
        <is>
          <t>M</t>
        </is>
      </c>
      <c r="G676" s="4" t="inlineStr">
        <is>
          <t>CH04</t>
        </is>
      </c>
      <c r="H676" s="4" t="inlineStr">
        <is>
          <t>PR00</t>
        </is>
      </c>
      <c r="I676" s="8" t="n">
        <v>66</v>
      </c>
      <c r="J676" s="9" t="n">
        <v>0</v>
      </c>
      <c r="K676" s="10">
        <f>I676*(1-J676)</f>
        <v/>
      </c>
      <c r="L676" s="11" t="n">
        <v>1</v>
      </c>
      <c r="M676" s="10">
        <f>K676*L676</f>
        <v/>
      </c>
      <c r="N676" s="8" t="n">
        <v>30.02</v>
      </c>
      <c r="O676" s="10">
        <f>N676*L676</f>
        <v/>
      </c>
      <c r="P676" s="10">
        <f>M676-O676</f>
        <v/>
      </c>
      <c r="Q676" s="11" t="inlineStr">
        <is>
          <t>No</t>
        </is>
      </c>
      <c r="R676" s="11" t="n">
        <v>0</v>
      </c>
      <c r="S676" s="10">
        <f>M676-(R676*K676)</f>
        <v/>
      </c>
      <c r="T676" s="12">
        <f>VLOOKUP(E676,Dim_Product!$A$2:$Q$61,3,FALSE)</f>
        <v/>
      </c>
      <c r="U676" s="12">
        <f>VLOOKUP(E676,Dim_Product!$A$2:$Q$61,4,FALSE)</f>
        <v/>
      </c>
      <c r="V676" s="12">
        <f>VLOOKUP(D676,Dim_Customer!$A$2:$I$121,6,FALSE)</f>
        <v/>
      </c>
      <c r="W676" s="12">
        <f>VLOOKUP(G676,Dim_Channel!$A$2:$B$5,2,FALSE)</f>
        <v/>
      </c>
      <c r="X676" s="12">
        <f>VLOOKUP(H676,Dim_Promotion!$A$2:$G$11,2,FALSE)</f>
        <v/>
      </c>
    </row>
    <row r="677">
      <c r="A677" s="4" t="inlineStr">
        <is>
          <t>SL0676</t>
        </is>
      </c>
      <c r="B677" t="inlineStr">
        <is>
          <t>O010338</t>
        </is>
      </c>
      <c r="C677" t="n">
        <v>20250615</v>
      </c>
      <c r="D677" s="4" t="inlineStr">
        <is>
          <t>C073</t>
        </is>
      </c>
      <c r="E677" s="4" t="inlineStr">
        <is>
          <t>P026</t>
        </is>
      </c>
      <c r="F677" t="inlineStr">
        <is>
          <t>XL</t>
        </is>
      </c>
      <c r="G677" s="4" t="inlineStr">
        <is>
          <t>CH02</t>
        </is>
      </c>
      <c r="H677" s="4" t="inlineStr">
        <is>
          <t>PR00</t>
        </is>
      </c>
      <c r="I677" s="8" t="n">
        <v>93</v>
      </c>
      <c r="J677" s="9" t="n">
        <v>0</v>
      </c>
      <c r="K677" s="10">
        <f>I677*(1-J677)</f>
        <v/>
      </c>
      <c r="L677" s="11" t="n">
        <v>2</v>
      </c>
      <c r="M677" s="10">
        <f>K677*L677</f>
        <v/>
      </c>
      <c r="N677" s="8" t="n">
        <v>44.9</v>
      </c>
      <c r="O677" s="10">
        <f>N677*L677</f>
        <v/>
      </c>
      <c r="P677" s="10">
        <f>M677-O677</f>
        <v/>
      </c>
      <c r="Q677" s="11" t="inlineStr">
        <is>
          <t>No</t>
        </is>
      </c>
      <c r="R677" s="11" t="n">
        <v>0</v>
      </c>
      <c r="S677" s="10">
        <f>M677-(R677*K677)</f>
        <v/>
      </c>
      <c r="T677" s="12">
        <f>VLOOKUP(E677,Dim_Product!$A$2:$Q$61,3,FALSE)</f>
        <v/>
      </c>
      <c r="U677" s="12">
        <f>VLOOKUP(E677,Dim_Product!$A$2:$Q$61,4,FALSE)</f>
        <v/>
      </c>
      <c r="V677" s="12">
        <f>VLOOKUP(D677,Dim_Customer!$A$2:$I$121,6,FALSE)</f>
        <v/>
      </c>
      <c r="W677" s="12">
        <f>VLOOKUP(G677,Dim_Channel!$A$2:$B$5,2,FALSE)</f>
        <v/>
      </c>
      <c r="X677" s="12">
        <f>VLOOKUP(H677,Dim_Promotion!$A$2:$G$11,2,FALSE)</f>
        <v/>
      </c>
    </row>
    <row r="678">
      <c r="A678" s="4" t="inlineStr">
        <is>
          <t>SL0677</t>
        </is>
      </c>
      <c r="B678" t="inlineStr">
        <is>
          <t>O010339</t>
        </is>
      </c>
      <c r="C678" t="n">
        <v>20250427</v>
      </c>
      <c r="D678" s="4" t="inlineStr">
        <is>
          <t>C076</t>
        </is>
      </c>
      <c r="E678" s="4" t="inlineStr">
        <is>
          <t>P007</t>
        </is>
      </c>
      <c r="F678" t="inlineStr">
        <is>
          <t>S</t>
        </is>
      </c>
      <c r="G678" s="4" t="inlineStr">
        <is>
          <t>CH01</t>
        </is>
      </c>
      <c r="H678" s="4" t="inlineStr">
        <is>
          <t>PR00</t>
        </is>
      </c>
      <c r="I678" s="8" t="n">
        <v>50</v>
      </c>
      <c r="J678" s="9" t="n">
        <v>0.05</v>
      </c>
      <c r="K678" s="10">
        <f>I678*(1-J678)</f>
        <v/>
      </c>
      <c r="L678" s="11" t="n">
        <v>2</v>
      </c>
      <c r="M678" s="10">
        <f>K678*L678</f>
        <v/>
      </c>
      <c r="N678" s="8" t="n">
        <v>22.6</v>
      </c>
      <c r="O678" s="10">
        <f>N678*L678</f>
        <v/>
      </c>
      <c r="P678" s="10">
        <f>M678-O678</f>
        <v/>
      </c>
      <c r="Q678" s="11" t="inlineStr">
        <is>
          <t>No</t>
        </is>
      </c>
      <c r="R678" s="11" t="n">
        <v>0</v>
      </c>
      <c r="S678" s="10">
        <f>M678-(R678*K678)</f>
        <v/>
      </c>
      <c r="T678" s="12">
        <f>VLOOKUP(E678,Dim_Product!$A$2:$Q$61,3,FALSE)</f>
        <v/>
      </c>
      <c r="U678" s="12">
        <f>VLOOKUP(E678,Dim_Product!$A$2:$Q$61,4,FALSE)</f>
        <v/>
      </c>
      <c r="V678" s="12">
        <f>VLOOKUP(D678,Dim_Customer!$A$2:$I$121,6,FALSE)</f>
        <v/>
      </c>
      <c r="W678" s="12">
        <f>VLOOKUP(G678,Dim_Channel!$A$2:$B$5,2,FALSE)</f>
        <v/>
      </c>
      <c r="X678" s="12">
        <f>VLOOKUP(H678,Dim_Promotion!$A$2:$G$11,2,FALSE)</f>
        <v/>
      </c>
    </row>
    <row r="679">
      <c r="A679" s="4" t="inlineStr">
        <is>
          <t>SL0678</t>
        </is>
      </c>
      <c r="B679" t="inlineStr">
        <is>
          <t>O010339</t>
        </is>
      </c>
      <c r="C679" t="n">
        <v>20251218</v>
      </c>
      <c r="D679" s="4" t="inlineStr">
        <is>
          <t>C020</t>
        </is>
      </c>
      <c r="E679" s="4" t="inlineStr">
        <is>
          <t>P057</t>
        </is>
      </c>
      <c r="F679" t="inlineStr">
        <is>
          <t>S</t>
        </is>
      </c>
      <c r="G679" s="4" t="inlineStr">
        <is>
          <t>CH03</t>
        </is>
      </c>
      <c r="H679" s="4" t="inlineStr">
        <is>
          <t>PR00</t>
        </is>
      </c>
      <c r="I679" s="8" t="n">
        <v>72</v>
      </c>
      <c r="J679" s="9" t="n">
        <v>0</v>
      </c>
      <c r="K679" s="10">
        <f>I679*(1-J679)</f>
        <v/>
      </c>
      <c r="L679" s="11" t="n">
        <v>1</v>
      </c>
      <c r="M679" s="10">
        <f>K679*L679</f>
        <v/>
      </c>
      <c r="N679" s="8" t="n">
        <v>34.37</v>
      </c>
      <c r="O679" s="10">
        <f>N679*L679</f>
        <v/>
      </c>
      <c r="P679" s="10">
        <f>M679-O679</f>
        <v/>
      </c>
      <c r="Q679" s="11" t="inlineStr">
        <is>
          <t>No</t>
        </is>
      </c>
      <c r="R679" s="11" t="n">
        <v>0</v>
      </c>
      <c r="S679" s="10">
        <f>M679-(R679*K679)</f>
        <v/>
      </c>
      <c r="T679" s="12">
        <f>VLOOKUP(E679,Dim_Product!$A$2:$Q$61,3,FALSE)</f>
        <v/>
      </c>
      <c r="U679" s="12">
        <f>VLOOKUP(E679,Dim_Product!$A$2:$Q$61,4,FALSE)</f>
        <v/>
      </c>
      <c r="V679" s="12">
        <f>VLOOKUP(D679,Dim_Customer!$A$2:$I$121,6,FALSE)</f>
        <v/>
      </c>
      <c r="W679" s="12">
        <f>VLOOKUP(G679,Dim_Channel!$A$2:$B$5,2,FALSE)</f>
        <v/>
      </c>
      <c r="X679" s="12">
        <f>VLOOKUP(H679,Dim_Promotion!$A$2:$G$11,2,FALSE)</f>
        <v/>
      </c>
    </row>
    <row r="680">
      <c r="A680" s="4" t="inlineStr">
        <is>
          <t>SL0679</t>
        </is>
      </c>
      <c r="B680" t="inlineStr">
        <is>
          <t>O010340</t>
        </is>
      </c>
      <c r="C680" t="n">
        <v>20250422</v>
      </c>
      <c r="D680" s="4" t="inlineStr">
        <is>
          <t>C082</t>
        </is>
      </c>
      <c r="E680" s="4" t="inlineStr">
        <is>
          <t>P022</t>
        </is>
      </c>
      <c r="F680" t="inlineStr">
        <is>
          <t>XL</t>
        </is>
      </c>
      <c r="G680" s="4" t="inlineStr">
        <is>
          <t>CH04</t>
        </is>
      </c>
      <c r="H680" s="4" t="inlineStr">
        <is>
          <t>PR00</t>
        </is>
      </c>
      <c r="I680" s="8" t="n">
        <v>60</v>
      </c>
      <c r="J680" s="9" t="n">
        <v>0</v>
      </c>
      <c r="K680" s="10">
        <f>I680*(1-J680)</f>
        <v/>
      </c>
      <c r="L680" s="11" t="n">
        <v>1</v>
      </c>
      <c r="M680" s="10">
        <f>K680*L680</f>
        <v/>
      </c>
      <c r="N680" s="8" t="n">
        <v>26.54</v>
      </c>
      <c r="O680" s="10">
        <f>N680*L680</f>
        <v/>
      </c>
      <c r="P680" s="10">
        <f>M680-O680</f>
        <v/>
      </c>
      <c r="Q680" s="11" t="inlineStr">
        <is>
          <t>No</t>
        </is>
      </c>
      <c r="R680" s="11" t="n">
        <v>0</v>
      </c>
      <c r="S680" s="10">
        <f>M680-(R680*K680)</f>
        <v/>
      </c>
      <c r="T680" s="12">
        <f>VLOOKUP(E680,Dim_Product!$A$2:$Q$61,3,FALSE)</f>
        <v/>
      </c>
      <c r="U680" s="12">
        <f>VLOOKUP(E680,Dim_Product!$A$2:$Q$61,4,FALSE)</f>
        <v/>
      </c>
      <c r="V680" s="12">
        <f>VLOOKUP(D680,Dim_Customer!$A$2:$I$121,6,FALSE)</f>
        <v/>
      </c>
      <c r="W680" s="12">
        <f>VLOOKUP(G680,Dim_Channel!$A$2:$B$5,2,FALSE)</f>
        <v/>
      </c>
      <c r="X680" s="12">
        <f>VLOOKUP(H680,Dim_Promotion!$A$2:$G$11,2,FALSE)</f>
        <v/>
      </c>
    </row>
    <row r="681">
      <c r="A681" s="4" t="inlineStr">
        <is>
          <t>SL0680</t>
        </is>
      </c>
      <c r="B681" t="inlineStr">
        <is>
          <t>O010340</t>
        </is>
      </c>
      <c r="C681" t="n">
        <v>20250822</v>
      </c>
      <c r="D681" s="4" t="inlineStr">
        <is>
          <t>C099</t>
        </is>
      </c>
      <c r="E681" s="4" t="inlineStr">
        <is>
          <t>P011</t>
        </is>
      </c>
      <c r="F681" t="inlineStr">
        <is>
          <t>L</t>
        </is>
      </c>
      <c r="G681" s="4" t="inlineStr">
        <is>
          <t>CH01</t>
        </is>
      </c>
      <c r="H681" s="4" t="inlineStr">
        <is>
          <t>PR00</t>
        </is>
      </c>
      <c r="I681" s="8" t="n">
        <v>47</v>
      </c>
      <c r="J681" s="9" t="n">
        <v>0</v>
      </c>
      <c r="K681" s="10">
        <f>I681*(1-J681)</f>
        <v/>
      </c>
      <c r="L681" s="11" t="n">
        <v>1</v>
      </c>
      <c r="M681" s="10">
        <f>K681*L681</f>
        <v/>
      </c>
      <c r="N681" s="8" t="n">
        <v>20.05</v>
      </c>
      <c r="O681" s="10">
        <f>N681*L681</f>
        <v/>
      </c>
      <c r="P681" s="10">
        <f>M681-O681</f>
        <v/>
      </c>
      <c r="Q681" s="11" t="inlineStr">
        <is>
          <t>No</t>
        </is>
      </c>
      <c r="R681" s="11" t="n">
        <v>0</v>
      </c>
      <c r="S681" s="10">
        <f>M681-(R681*K681)</f>
        <v/>
      </c>
      <c r="T681" s="12">
        <f>VLOOKUP(E681,Dim_Product!$A$2:$Q$61,3,FALSE)</f>
        <v/>
      </c>
      <c r="U681" s="12">
        <f>VLOOKUP(E681,Dim_Product!$A$2:$Q$61,4,FALSE)</f>
        <v/>
      </c>
      <c r="V681" s="12">
        <f>VLOOKUP(D681,Dim_Customer!$A$2:$I$121,6,FALSE)</f>
        <v/>
      </c>
      <c r="W681" s="12">
        <f>VLOOKUP(G681,Dim_Channel!$A$2:$B$5,2,FALSE)</f>
        <v/>
      </c>
      <c r="X681" s="12">
        <f>VLOOKUP(H681,Dim_Promotion!$A$2:$G$11,2,FALSE)</f>
        <v/>
      </c>
    </row>
    <row r="682">
      <c r="A682" s="4" t="inlineStr">
        <is>
          <t>SL0681</t>
        </is>
      </c>
      <c r="B682" t="inlineStr">
        <is>
          <t>O010341</t>
        </is>
      </c>
      <c r="C682" t="n">
        <v>20250605</v>
      </c>
      <c r="D682" s="4" t="inlineStr">
        <is>
          <t>C068</t>
        </is>
      </c>
      <c r="E682" s="4" t="inlineStr">
        <is>
          <t>P025</t>
        </is>
      </c>
      <c r="F682" t="inlineStr">
        <is>
          <t>XL</t>
        </is>
      </c>
      <c r="G682" s="4" t="inlineStr">
        <is>
          <t>CH03</t>
        </is>
      </c>
      <c r="H682" s="4" t="inlineStr">
        <is>
          <t>PR00</t>
        </is>
      </c>
      <c r="I682" s="8" t="n">
        <v>96</v>
      </c>
      <c r="J682" s="9" t="n">
        <v>0</v>
      </c>
      <c r="K682" s="10">
        <f>I682*(1-J682)</f>
        <v/>
      </c>
      <c r="L682" s="11" t="n">
        <v>1</v>
      </c>
      <c r="M682" s="10">
        <f>K682*L682</f>
        <v/>
      </c>
      <c r="N682" s="8" t="n">
        <v>46.7</v>
      </c>
      <c r="O682" s="10">
        <f>N682*L682</f>
        <v/>
      </c>
      <c r="P682" s="10">
        <f>M682-O682</f>
        <v/>
      </c>
      <c r="Q682" s="11" t="inlineStr">
        <is>
          <t>No</t>
        </is>
      </c>
      <c r="R682" s="11" t="n">
        <v>0</v>
      </c>
      <c r="S682" s="10">
        <f>M682-(R682*K682)</f>
        <v/>
      </c>
      <c r="T682" s="12">
        <f>VLOOKUP(E682,Dim_Product!$A$2:$Q$61,3,FALSE)</f>
        <v/>
      </c>
      <c r="U682" s="12">
        <f>VLOOKUP(E682,Dim_Product!$A$2:$Q$61,4,FALSE)</f>
        <v/>
      </c>
      <c r="V682" s="12">
        <f>VLOOKUP(D682,Dim_Customer!$A$2:$I$121,6,FALSE)</f>
        <v/>
      </c>
      <c r="W682" s="12">
        <f>VLOOKUP(G682,Dim_Channel!$A$2:$B$5,2,FALSE)</f>
        <v/>
      </c>
      <c r="X682" s="12">
        <f>VLOOKUP(H682,Dim_Promotion!$A$2:$G$11,2,FALSE)</f>
        <v/>
      </c>
    </row>
    <row r="683">
      <c r="A683" s="4" t="inlineStr">
        <is>
          <t>SL0682</t>
        </is>
      </c>
      <c r="B683" t="inlineStr">
        <is>
          <t>O010341</t>
        </is>
      </c>
      <c r="C683" t="n">
        <v>20251201</v>
      </c>
      <c r="D683" s="4" t="inlineStr">
        <is>
          <t>C099</t>
        </is>
      </c>
      <c r="E683" s="4" t="inlineStr">
        <is>
          <t>P036</t>
        </is>
      </c>
      <c r="F683" t="inlineStr">
        <is>
          <t>M</t>
        </is>
      </c>
      <c r="G683" s="4" t="inlineStr">
        <is>
          <t>CH01</t>
        </is>
      </c>
      <c r="H683" s="4" t="inlineStr">
        <is>
          <t>PR00</t>
        </is>
      </c>
      <c r="I683" s="8" t="n">
        <v>90</v>
      </c>
      <c r="J683" s="9" t="n">
        <v>0</v>
      </c>
      <c r="K683" s="10">
        <f>I683*(1-J683)</f>
        <v/>
      </c>
      <c r="L683" s="11" t="n">
        <v>2</v>
      </c>
      <c r="M683" s="10">
        <f>K683*L683</f>
        <v/>
      </c>
      <c r="N683" s="8" t="n">
        <v>41.29</v>
      </c>
      <c r="O683" s="10">
        <f>N683*L683</f>
        <v/>
      </c>
      <c r="P683" s="10">
        <f>M683-O683</f>
        <v/>
      </c>
      <c r="Q683" s="11" t="inlineStr">
        <is>
          <t>No</t>
        </is>
      </c>
      <c r="R683" s="11" t="n">
        <v>0</v>
      </c>
      <c r="S683" s="10">
        <f>M683-(R683*K683)</f>
        <v/>
      </c>
      <c r="T683" s="12">
        <f>VLOOKUP(E683,Dim_Product!$A$2:$Q$61,3,FALSE)</f>
        <v/>
      </c>
      <c r="U683" s="12">
        <f>VLOOKUP(E683,Dim_Product!$A$2:$Q$61,4,FALSE)</f>
        <v/>
      </c>
      <c r="V683" s="12">
        <f>VLOOKUP(D683,Dim_Customer!$A$2:$I$121,6,FALSE)</f>
        <v/>
      </c>
      <c r="W683" s="12">
        <f>VLOOKUP(G683,Dim_Channel!$A$2:$B$5,2,FALSE)</f>
        <v/>
      </c>
      <c r="X683" s="12">
        <f>VLOOKUP(H683,Dim_Promotion!$A$2:$G$11,2,FALSE)</f>
        <v/>
      </c>
    </row>
    <row r="684">
      <c r="A684" s="4" t="inlineStr">
        <is>
          <t>SL0683</t>
        </is>
      </c>
      <c r="B684" t="inlineStr">
        <is>
          <t>O010342</t>
        </is>
      </c>
      <c r="C684" t="n">
        <v>20250322</v>
      </c>
      <c r="D684" s="4" t="inlineStr">
        <is>
          <t>C001</t>
        </is>
      </c>
      <c r="E684" s="4" t="inlineStr">
        <is>
          <t>P005</t>
        </is>
      </c>
      <c r="F684" t="inlineStr">
        <is>
          <t>XL</t>
        </is>
      </c>
      <c r="G684" s="4" t="inlineStr">
        <is>
          <t>CH01</t>
        </is>
      </c>
      <c r="H684" s="4" t="inlineStr">
        <is>
          <t>PR03</t>
        </is>
      </c>
      <c r="I684" s="8" t="n">
        <v>52</v>
      </c>
      <c r="J684" s="9" t="n">
        <v>0.08</v>
      </c>
      <c r="K684" s="10">
        <f>I684*(1-J684)</f>
        <v/>
      </c>
      <c r="L684" s="11" t="n">
        <v>1</v>
      </c>
      <c r="M684" s="10">
        <f>K684*L684</f>
        <v/>
      </c>
      <c r="N684" s="8" t="n">
        <v>20.43</v>
      </c>
      <c r="O684" s="10">
        <f>N684*L684</f>
        <v/>
      </c>
      <c r="P684" s="10">
        <f>M684-O684</f>
        <v/>
      </c>
      <c r="Q684" s="11" t="inlineStr">
        <is>
          <t>No</t>
        </is>
      </c>
      <c r="R684" s="11" t="n">
        <v>0</v>
      </c>
      <c r="S684" s="10">
        <f>M684-(R684*K684)</f>
        <v/>
      </c>
      <c r="T684" s="12">
        <f>VLOOKUP(E684,Dim_Product!$A$2:$Q$61,3,FALSE)</f>
        <v/>
      </c>
      <c r="U684" s="12">
        <f>VLOOKUP(E684,Dim_Product!$A$2:$Q$61,4,FALSE)</f>
        <v/>
      </c>
      <c r="V684" s="12">
        <f>VLOOKUP(D684,Dim_Customer!$A$2:$I$121,6,FALSE)</f>
        <v/>
      </c>
      <c r="W684" s="12">
        <f>VLOOKUP(G684,Dim_Channel!$A$2:$B$5,2,FALSE)</f>
        <v/>
      </c>
      <c r="X684" s="12">
        <f>VLOOKUP(H684,Dim_Promotion!$A$2:$G$11,2,FALSE)</f>
        <v/>
      </c>
    </row>
    <row r="685">
      <c r="A685" s="4" t="inlineStr">
        <is>
          <t>SL0684</t>
        </is>
      </c>
      <c r="B685" t="inlineStr">
        <is>
          <t>O010342</t>
        </is>
      </c>
      <c r="C685" t="n">
        <v>20250219</v>
      </c>
      <c r="D685" s="4" t="inlineStr">
        <is>
          <t>C087</t>
        </is>
      </c>
      <c r="E685" s="4" t="inlineStr">
        <is>
          <t>P029</t>
        </is>
      </c>
      <c r="F685" t="inlineStr">
        <is>
          <t>M</t>
        </is>
      </c>
      <c r="G685" s="4" t="inlineStr">
        <is>
          <t>CH02</t>
        </is>
      </c>
      <c r="H685" s="4" t="inlineStr">
        <is>
          <t>PR00</t>
        </is>
      </c>
      <c r="I685" s="8" t="n">
        <v>111</v>
      </c>
      <c r="J685" s="9" t="n">
        <v>0</v>
      </c>
      <c r="K685" s="10">
        <f>I685*(1-J685)</f>
        <v/>
      </c>
      <c r="L685" s="11" t="n">
        <v>1</v>
      </c>
      <c r="M685" s="10">
        <f>K685*L685</f>
        <v/>
      </c>
      <c r="N685" s="8" t="n">
        <v>57.03</v>
      </c>
      <c r="O685" s="10">
        <f>N685*L685</f>
        <v/>
      </c>
      <c r="P685" s="10">
        <f>M685-O685</f>
        <v/>
      </c>
      <c r="Q685" s="11" t="inlineStr">
        <is>
          <t>No</t>
        </is>
      </c>
      <c r="R685" s="11" t="n">
        <v>0</v>
      </c>
      <c r="S685" s="10">
        <f>M685-(R685*K685)</f>
        <v/>
      </c>
      <c r="T685" s="12">
        <f>VLOOKUP(E685,Dim_Product!$A$2:$Q$61,3,FALSE)</f>
        <v/>
      </c>
      <c r="U685" s="12">
        <f>VLOOKUP(E685,Dim_Product!$A$2:$Q$61,4,FALSE)</f>
        <v/>
      </c>
      <c r="V685" s="12">
        <f>VLOOKUP(D685,Dim_Customer!$A$2:$I$121,6,FALSE)</f>
        <v/>
      </c>
      <c r="W685" s="12">
        <f>VLOOKUP(G685,Dim_Channel!$A$2:$B$5,2,FALSE)</f>
        <v/>
      </c>
      <c r="X685" s="12">
        <f>VLOOKUP(H685,Dim_Promotion!$A$2:$G$11,2,FALSE)</f>
        <v/>
      </c>
    </row>
    <row r="686">
      <c r="A686" s="4" t="inlineStr">
        <is>
          <t>SL0685</t>
        </is>
      </c>
      <c r="B686" t="inlineStr">
        <is>
          <t>O010343</t>
        </is>
      </c>
      <c r="C686" t="n">
        <v>20250924</v>
      </c>
      <c r="D686" s="4" t="inlineStr">
        <is>
          <t>C120</t>
        </is>
      </c>
      <c r="E686" s="4" t="inlineStr">
        <is>
          <t>P001</t>
        </is>
      </c>
      <c r="F686" t="inlineStr">
        <is>
          <t>L</t>
        </is>
      </c>
      <c r="G686" s="4" t="inlineStr">
        <is>
          <t>CH01</t>
        </is>
      </c>
      <c r="H686" s="4" t="inlineStr">
        <is>
          <t>PR00</t>
        </is>
      </c>
      <c r="I686" s="8" t="n">
        <v>38</v>
      </c>
      <c r="J686" s="9" t="n">
        <v>0</v>
      </c>
      <c r="K686" s="10">
        <f>I686*(1-J686)</f>
        <v/>
      </c>
      <c r="L686" s="11" t="n">
        <v>1</v>
      </c>
      <c r="M686" s="10">
        <f>K686*L686</f>
        <v/>
      </c>
      <c r="N686" s="8" t="n">
        <v>16.91</v>
      </c>
      <c r="O686" s="10">
        <f>N686*L686</f>
        <v/>
      </c>
      <c r="P686" s="10">
        <f>M686-O686</f>
        <v/>
      </c>
      <c r="Q686" s="11" t="inlineStr">
        <is>
          <t>No</t>
        </is>
      </c>
      <c r="R686" s="11" t="n">
        <v>0</v>
      </c>
      <c r="S686" s="10">
        <f>M686-(R686*K686)</f>
        <v/>
      </c>
      <c r="T686" s="12">
        <f>VLOOKUP(E686,Dim_Product!$A$2:$Q$61,3,FALSE)</f>
        <v/>
      </c>
      <c r="U686" s="12">
        <f>VLOOKUP(E686,Dim_Product!$A$2:$Q$61,4,FALSE)</f>
        <v/>
      </c>
      <c r="V686" s="12">
        <f>VLOOKUP(D686,Dim_Customer!$A$2:$I$121,6,FALSE)</f>
        <v/>
      </c>
      <c r="W686" s="12">
        <f>VLOOKUP(G686,Dim_Channel!$A$2:$B$5,2,FALSE)</f>
        <v/>
      </c>
      <c r="X686" s="12">
        <f>VLOOKUP(H686,Dim_Promotion!$A$2:$G$11,2,FALSE)</f>
        <v/>
      </c>
    </row>
    <row r="687">
      <c r="A687" s="4" t="inlineStr">
        <is>
          <t>SL0686</t>
        </is>
      </c>
      <c r="B687" t="inlineStr">
        <is>
          <t>O010343</t>
        </is>
      </c>
      <c r="C687" t="n">
        <v>20250117</v>
      </c>
      <c r="D687" s="4" t="inlineStr">
        <is>
          <t>C057</t>
        </is>
      </c>
      <c r="E687" s="4" t="inlineStr">
        <is>
          <t>P017</t>
        </is>
      </c>
      <c r="F687" t="inlineStr">
        <is>
          <t>S</t>
        </is>
      </c>
      <c r="G687" s="4" t="inlineStr">
        <is>
          <t>CH02</t>
        </is>
      </c>
      <c r="H687" s="4" t="inlineStr">
        <is>
          <t>PR00</t>
        </is>
      </c>
      <c r="I687" s="8" t="n">
        <v>68</v>
      </c>
      <c r="J687" s="9" t="n">
        <v>0</v>
      </c>
      <c r="K687" s="10">
        <f>I687*(1-J687)</f>
        <v/>
      </c>
      <c r="L687" s="11" t="n">
        <v>2</v>
      </c>
      <c r="M687" s="10">
        <f>K687*L687</f>
        <v/>
      </c>
      <c r="N687" s="8" t="n">
        <v>32.67</v>
      </c>
      <c r="O687" s="10">
        <f>N687*L687</f>
        <v/>
      </c>
      <c r="P687" s="10">
        <f>M687-O687</f>
        <v/>
      </c>
      <c r="Q687" s="11" t="inlineStr">
        <is>
          <t>No</t>
        </is>
      </c>
      <c r="R687" s="11" t="n">
        <v>0</v>
      </c>
      <c r="S687" s="10">
        <f>M687-(R687*K687)</f>
        <v/>
      </c>
      <c r="T687" s="12">
        <f>VLOOKUP(E687,Dim_Product!$A$2:$Q$61,3,FALSE)</f>
        <v/>
      </c>
      <c r="U687" s="12">
        <f>VLOOKUP(E687,Dim_Product!$A$2:$Q$61,4,FALSE)</f>
        <v/>
      </c>
      <c r="V687" s="12">
        <f>VLOOKUP(D687,Dim_Customer!$A$2:$I$121,6,FALSE)</f>
        <v/>
      </c>
      <c r="W687" s="12">
        <f>VLOOKUP(G687,Dim_Channel!$A$2:$B$5,2,FALSE)</f>
        <v/>
      </c>
      <c r="X687" s="12">
        <f>VLOOKUP(H687,Dim_Promotion!$A$2:$G$11,2,FALSE)</f>
        <v/>
      </c>
    </row>
    <row r="688">
      <c r="A688" s="4" t="inlineStr">
        <is>
          <t>SL0687</t>
        </is>
      </c>
      <c r="B688" t="inlineStr">
        <is>
          <t>O010344</t>
        </is>
      </c>
      <c r="C688" t="n">
        <v>20250814</v>
      </c>
      <c r="D688" s="4" t="inlineStr">
        <is>
          <t>C019</t>
        </is>
      </c>
      <c r="E688" s="4" t="inlineStr">
        <is>
          <t>P037</t>
        </is>
      </c>
      <c r="F688" t="inlineStr">
        <is>
          <t>L</t>
        </is>
      </c>
      <c r="G688" s="4" t="inlineStr">
        <is>
          <t>CH02</t>
        </is>
      </c>
      <c r="H688" s="4" t="inlineStr">
        <is>
          <t>PR00</t>
        </is>
      </c>
      <c r="I688" s="8" t="n">
        <v>74</v>
      </c>
      <c r="J688" s="9" t="n">
        <v>0</v>
      </c>
      <c r="K688" s="10">
        <f>I688*(1-J688)</f>
        <v/>
      </c>
      <c r="L688" s="11" t="n">
        <v>1</v>
      </c>
      <c r="M688" s="10">
        <f>K688*L688</f>
        <v/>
      </c>
      <c r="N688" s="8" t="n">
        <v>33.29</v>
      </c>
      <c r="O688" s="10">
        <f>N688*L688</f>
        <v/>
      </c>
      <c r="P688" s="10">
        <f>M688-O688</f>
        <v/>
      </c>
      <c r="Q688" s="11" t="inlineStr">
        <is>
          <t>No</t>
        </is>
      </c>
      <c r="R688" s="11" t="n">
        <v>0</v>
      </c>
      <c r="S688" s="10">
        <f>M688-(R688*K688)</f>
        <v/>
      </c>
      <c r="T688" s="12">
        <f>VLOOKUP(E688,Dim_Product!$A$2:$Q$61,3,FALSE)</f>
        <v/>
      </c>
      <c r="U688" s="12">
        <f>VLOOKUP(E688,Dim_Product!$A$2:$Q$61,4,FALSE)</f>
        <v/>
      </c>
      <c r="V688" s="12">
        <f>VLOOKUP(D688,Dim_Customer!$A$2:$I$121,6,FALSE)</f>
        <v/>
      </c>
      <c r="W688" s="12">
        <f>VLOOKUP(G688,Dim_Channel!$A$2:$B$5,2,FALSE)</f>
        <v/>
      </c>
      <c r="X688" s="12">
        <f>VLOOKUP(H688,Dim_Promotion!$A$2:$G$11,2,FALSE)</f>
        <v/>
      </c>
    </row>
    <row r="689">
      <c r="A689" s="4" t="inlineStr">
        <is>
          <t>SL0688</t>
        </is>
      </c>
      <c r="B689" t="inlineStr">
        <is>
          <t>O010344</t>
        </is>
      </c>
      <c r="C689" t="n">
        <v>20250219</v>
      </c>
      <c r="D689" s="4" t="inlineStr">
        <is>
          <t>C064</t>
        </is>
      </c>
      <c r="E689" s="4" t="inlineStr">
        <is>
          <t>P021</t>
        </is>
      </c>
      <c r="F689" t="inlineStr">
        <is>
          <t>M</t>
        </is>
      </c>
      <c r="G689" s="4" t="inlineStr">
        <is>
          <t>CH03</t>
        </is>
      </c>
      <c r="H689" s="4" t="inlineStr">
        <is>
          <t>PR00</t>
        </is>
      </c>
      <c r="I689" s="8" t="n">
        <v>55</v>
      </c>
      <c r="J689" s="9" t="n">
        <v>0</v>
      </c>
      <c r="K689" s="10">
        <f>I689*(1-J689)</f>
        <v/>
      </c>
      <c r="L689" s="11" t="n">
        <v>1</v>
      </c>
      <c r="M689" s="10">
        <f>K689*L689</f>
        <v/>
      </c>
      <c r="N689" s="8" t="n">
        <v>27.92</v>
      </c>
      <c r="O689" s="10">
        <f>N689*L689</f>
        <v/>
      </c>
      <c r="P689" s="10">
        <f>M689-O689</f>
        <v/>
      </c>
      <c r="Q689" s="11" t="inlineStr">
        <is>
          <t>No</t>
        </is>
      </c>
      <c r="R689" s="11" t="n">
        <v>0</v>
      </c>
      <c r="S689" s="10">
        <f>M689-(R689*K689)</f>
        <v/>
      </c>
      <c r="T689" s="12">
        <f>VLOOKUP(E689,Dim_Product!$A$2:$Q$61,3,FALSE)</f>
        <v/>
      </c>
      <c r="U689" s="12">
        <f>VLOOKUP(E689,Dim_Product!$A$2:$Q$61,4,FALSE)</f>
        <v/>
      </c>
      <c r="V689" s="12">
        <f>VLOOKUP(D689,Dim_Customer!$A$2:$I$121,6,FALSE)</f>
        <v/>
      </c>
      <c r="W689" s="12">
        <f>VLOOKUP(G689,Dim_Channel!$A$2:$B$5,2,FALSE)</f>
        <v/>
      </c>
      <c r="X689" s="12">
        <f>VLOOKUP(H689,Dim_Promotion!$A$2:$G$11,2,FALSE)</f>
        <v/>
      </c>
    </row>
    <row r="690">
      <c r="A690" s="4" t="inlineStr">
        <is>
          <t>SL0689</t>
        </is>
      </c>
      <c r="B690" t="inlineStr">
        <is>
          <t>O010345</t>
        </is>
      </c>
      <c r="C690" t="n">
        <v>20250619</v>
      </c>
      <c r="D690" s="4" t="inlineStr">
        <is>
          <t>C039</t>
        </is>
      </c>
      <c r="E690" s="4" t="inlineStr">
        <is>
          <t>P002</t>
        </is>
      </c>
      <c r="F690" t="inlineStr">
        <is>
          <t>L</t>
        </is>
      </c>
      <c r="G690" s="4" t="inlineStr">
        <is>
          <t>CH01</t>
        </is>
      </c>
      <c r="H690" s="4" t="inlineStr">
        <is>
          <t>PR04</t>
        </is>
      </c>
      <c r="I690" s="8" t="n">
        <v>40</v>
      </c>
      <c r="J690" s="9" t="n">
        <v>0.12</v>
      </c>
      <c r="K690" s="10">
        <f>I690*(1-J690)</f>
        <v/>
      </c>
      <c r="L690" s="11" t="n">
        <v>3</v>
      </c>
      <c r="M690" s="10">
        <f>K690*L690</f>
        <v/>
      </c>
      <c r="N690" s="8" t="n">
        <v>17.14</v>
      </c>
      <c r="O690" s="10">
        <f>N690*L690</f>
        <v/>
      </c>
      <c r="P690" s="10">
        <f>M690-O690</f>
        <v/>
      </c>
      <c r="Q690" s="11" t="inlineStr">
        <is>
          <t>No</t>
        </is>
      </c>
      <c r="R690" s="11" t="n">
        <v>0</v>
      </c>
      <c r="S690" s="10">
        <f>M690-(R690*K690)</f>
        <v/>
      </c>
      <c r="T690" s="12">
        <f>VLOOKUP(E690,Dim_Product!$A$2:$Q$61,3,FALSE)</f>
        <v/>
      </c>
      <c r="U690" s="12">
        <f>VLOOKUP(E690,Dim_Product!$A$2:$Q$61,4,FALSE)</f>
        <v/>
      </c>
      <c r="V690" s="12">
        <f>VLOOKUP(D690,Dim_Customer!$A$2:$I$121,6,FALSE)</f>
        <v/>
      </c>
      <c r="W690" s="12">
        <f>VLOOKUP(G690,Dim_Channel!$A$2:$B$5,2,FALSE)</f>
        <v/>
      </c>
      <c r="X690" s="12">
        <f>VLOOKUP(H690,Dim_Promotion!$A$2:$G$11,2,FALSE)</f>
        <v/>
      </c>
    </row>
    <row r="691">
      <c r="A691" s="4" t="inlineStr">
        <is>
          <t>SL0690</t>
        </is>
      </c>
      <c r="B691" t="inlineStr">
        <is>
          <t>O010345</t>
        </is>
      </c>
      <c r="C691" t="n">
        <v>20250506</v>
      </c>
      <c r="D691" s="4" t="inlineStr">
        <is>
          <t>C046</t>
        </is>
      </c>
      <c r="E691" s="4" t="inlineStr">
        <is>
          <t>P031</t>
        </is>
      </c>
      <c r="F691" t="inlineStr">
        <is>
          <t>S</t>
        </is>
      </c>
      <c r="G691" s="4" t="inlineStr">
        <is>
          <t>CH01</t>
        </is>
      </c>
      <c r="H691" s="4" t="inlineStr">
        <is>
          <t>PR00</t>
        </is>
      </c>
      <c r="I691" s="8" t="n">
        <v>113</v>
      </c>
      <c r="J691" s="9" t="n">
        <v>0</v>
      </c>
      <c r="K691" s="10">
        <f>I691*(1-J691)</f>
        <v/>
      </c>
      <c r="L691" s="11" t="n">
        <v>1</v>
      </c>
      <c r="M691" s="10">
        <f>K691*L691</f>
        <v/>
      </c>
      <c r="N691" s="8" t="n">
        <v>56.5</v>
      </c>
      <c r="O691" s="10">
        <f>N691*L691</f>
        <v/>
      </c>
      <c r="P691" s="10">
        <f>M691-O691</f>
        <v/>
      </c>
      <c r="Q691" s="11" t="inlineStr">
        <is>
          <t>No</t>
        </is>
      </c>
      <c r="R691" s="11" t="n">
        <v>0</v>
      </c>
      <c r="S691" s="10">
        <f>M691-(R691*K691)</f>
        <v/>
      </c>
      <c r="T691" s="12">
        <f>VLOOKUP(E691,Dim_Product!$A$2:$Q$61,3,FALSE)</f>
        <v/>
      </c>
      <c r="U691" s="12">
        <f>VLOOKUP(E691,Dim_Product!$A$2:$Q$61,4,FALSE)</f>
        <v/>
      </c>
      <c r="V691" s="12">
        <f>VLOOKUP(D691,Dim_Customer!$A$2:$I$121,6,FALSE)</f>
        <v/>
      </c>
      <c r="W691" s="12">
        <f>VLOOKUP(G691,Dim_Channel!$A$2:$B$5,2,FALSE)</f>
        <v/>
      </c>
      <c r="X691" s="12">
        <f>VLOOKUP(H691,Dim_Promotion!$A$2:$G$11,2,FALSE)</f>
        <v/>
      </c>
    </row>
    <row r="692">
      <c r="A692" s="4" t="inlineStr">
        <is>
          <t>SL0691</t>
        </is>
      </c>
      <c r="B692" t="inlineStr">
        <is>
          <t>O010346</t>
        </is>
      </c>
      <c r="C692" t="n">
        <v>20251010</v>
      </c>
      <c r="D692" s="4" t="inlineStr">
        <is>
          <t>C119</t>
        </is>
      </c>
      <c r="E692" s="4" t="inlineStr">
        <is>
          <t>P038</t>
        </is>
      </c>
      <c r="F692" t="inlineStr">
        <is>
          <t>M</t>
        </is>
      </c>
      <c r="G692" s="4" t="inlineStr">
        <is>
          <t>CH04</t>
        </is>
      </c>
      <c r="H692" s="4" t="inlineStr">
        <is>
          <t>PR00</t>
        </is>
      </c>
      <c r="I692" s="8" t="n">
        <v>76</v>
      </c>
      <c r="J692" s="9" t="n">
        <v>0</v>
      </c>
      <c r="K692" s="10">
        <f>I692*(1-J692)</f>
        <v/>
      </c>
      <c r="L692" s="11" t="n">
        <v>1</v>
      </c>
      <c r="M692" s="10">
        <f>K692*L692</f>
        <v/>
      </c>
      <c r="N692" s="8" t="n">
        <v>33.72</v>
      </c>
      <c r="O692" s="10">
        <f>N692*L692</f>
        <v/>
      </c>
      <c r="P692" s="10">
        <f>M692-O692</f>
        <v/>
      </c>
      <c r="Q692" s="11" t="inlineStr">
        <is>
          <t>No</t>
        </is>
      </c>
      <c r="R692" s="11" t="n">
        <v>0</v>
      </c>
      <c r="S692" s="10">
        <f>M692-(R692*K692)</f>
        <v/>
      </c>
      <c r="T692" s="12">
        <f>VLOOKUP(E692,Dim_Product!$A$2:$Q$61,3,FALSE)</f>
        <v/>
      </c>
      <c r="U692" s="12">
        <f>VLOOKUP(E692,Dim_Product!$A$2:$Q$61,4,FALSE)</f>
        <v/>
      </c>
      <c r="V692" s="12">
        <f>VLOOKUP(D692,Dim_Customer!$A$2:$I$121,6,FALSE)</f>
        <v/>
      </c>
      <c r="W692" s="12">
        <f>VLOOKUP(G692,Dim_Channel!$A$2:$B$5,2,FALSE)</f>
        <v/>
      </c>
      <c r="X692" s="12">
        <f>VLOOKUP(H692,Dim_Promotion!$A$2:$G$11,2,FALSE)</f>
        <v/>
      </c>
    </row>
    <row r="693">
      <c r="A693" s="4" t="inlineStr">
        <is>
          <t>SL0692</t>
        </is>
      </c>
      <c r="B693" t="inlineStr">
        <is>
          <t>O010346</t>
        </is>
      </c>
      <c r="C693" t="n">
        <v>20250819</v>
      </c>
      <c r="D693" s="4" t="inlineStr">
        <is>
          <t>C080</t>
        </is>
      </c>
      <c r="E693" s="4" t="inlineStr">
        <is>
          <t>P049</t>
        </is>
      </c>
      <c r="F693" t="inlineStr">
        <is>
          <t>S</t>
        </is>
      </c>
      <c r="G693" s="4" t="inlineStr">
        <is>
          <t>CH03</t>
        </is>
      </c>
      <c r="H693" s="4" t="inlineStr">
        <is>
          <t>PR00</t>
        </is>
      </c>
      <c r="I693" s="8" t="n">
        <v>68</v>
      </c>
      <c r="J693" s="9" t="n">
        <v>0</v>
      </c>
      <c r="K693" s="10">
        <f>I693*(1-J693)</f>
        <v/>
      </c>
      <c r="L693" s="11" t="n">
        <v>1</v>
      </c>
      <c r="M693" s="10">
        <f>K693*L693</f>
        <v/>
      </c>
      <c r="N693" s="8" t="n">
        <v>29.6</v>
      </c>
      <c r="O693" s="10">
        <f>N693*L693</f>
        <v/>
      </c>
      <c r="P693" s="10">
        <f>M693-O693</f>
        <v/>
      </c>
      <c r="Q693" s="11" t="inlineStr">
        <is>
          <t>No</t>
        </is>
      </c>
      <c r="R693" s="11" t="n">
        <v>0</v>
      </c>
      <c r="S693" s="10">
        <f>M693-(R693*K693)</f>
        <v/>
      </c>
      <c r="T693" s="12">
        <f>VLOOKUP(E693,Dim_Product!$A$2:$Q$61,3,FALSE)</f>
        <v/>
      </c>
      <c r="U693" s="12">
        <f>VLOOKUP(E693,Dim_Product!$A$2:$Q$61,4,FALSE)</f>
        <v/>
      </c>
      <c r="V693" s="12">
        <f>VLOOKUP(D693,Dim_Customer!$A$2:$I$121,6,FALSE)</f>
        <v/>
      </c>
      <c r="W693" s="12">
        <f>VLOOKUP(G693,Dim_Channel!$A$2:$B$5,2,FALSE)</f>
        <v/>
      </c>
      <c r="X693" s="12">
        <f>VLOOKUP(H693,Dim_Promotion!$A$2:$G$11,2,FALSE)</f>
        <v/>
      </c>
    </row>
    <row r="694">
      <c r="A694" s="4" t="inlineStr">
        <is>
          <t>SL0693</t>
        </is>
      </c>
      <c r="B694" t="inlineStr">
        <is>
          <t>O010347</t>
        </is>
      </c>
      <c r="C694" t="n">
        <v>20250425</v>
      </c>
      <c r="D694" s="4" t="inlineStr">
        <is>
          <t>C104</t>
        </is>
      </c>
      <c r="E694" s="4" t="inlineStr">
        <is>
          <t>P006</t>
        </is>
      </c>
      <c r="F694" t="inlineStr">
        <is>
          <t>L</t>
        </is>
      </c>
      <c r="G694" s="4" t="inlineStr">
        <is>
          <t>CH02</t>
        </is>
      </c>
      <c r="H694" s="4" t="inlineStr">
        <is>
          <t>PR00</t>
        </is>
      </c>
      <c r="I694" s="8" t="n">
        <v>44</v>
      </c>
      <c r="J694" s="9" t="n">
        <v>0</v>
      </c>
      <c r="K694" s="10">
        <f>I694*(1-J694)</f>
        <v/>
      </c>
      <c r="L694" s="11" t="n">
        <v>1</v>
      </c>
      <c r="M694" s="10">
        <f>K694*L694</f>
        <v/>
      </c>
      <c r="N694" s="8" t="n">
        <v>20.9</v>
      </c>
      <c r="O694" s="10">
        <f>N694*L694</f>
        <v/>
      </c>
      <c r="P694" s="10">
        <f>M694-O694</f>
        <v/>
      </c>
      <c r="Q694" s="11" t="inlineStr">
        <is>
          <t>No</t>
        </is>
      </c>
      <c r="R694" s="11" t="n">
        <v>0</v>
      </c>
      <c r="S694" s="10">
        <f>M694-(R694*K694)</f>
        <v/>
      </c>
      <c r="T694" s="12">
        <f>VLOOKUP(E694,Dim_Product!$A$2:$Q$61,3,FALSE)</f>
        <v/>
      </c>
      <c r="U694" s="12">
        <f>VLOOKUP(E694,Dim_Product!$A$2:$Q$61,4,FALSE)</f>
        <v/>
      </c>
      <c r="V694" s="12">
        <f>VLOOKUP(D694,Dim_Customer!$A$2:$I$121,6,FALSE)</f>
        <v/>
      </c>
      <c r="W694" s="12">
        <f>VLOOKUP(G694,Dim_Channel!$A$2:$B$5,2,FALSE)</f>
        <v/>
      </c>
      <c r="X694" s="12">
        <f>VLOOKUP(H694,Dim_Promotion!$A$2:$G$11,2,FALSE)</f>
        <v/>
      </c>
    </row>
    <row r="695">
      <c r="A695" s="4" t="inlineStr">
        <is>
          <t>SL0694</t>
        </is>
      </c>
      <c r="B695" t="inlineStr">
        <is>
          <t>O010347</t>
        </is>
      </c>
      <c r="C695" t="n">
        <v>20251015</v>
      </c>
      <c r="D695" s="4" t="inlineStr">
        <is>
          <t>C098</t>
        </is>
      </c>
      <c r="E695" s="4" t="inlineStr">
        <is>
          <t>P021</t>
        </is>
      </c>
      <c r="F695" t="inlineStr">
        <is>
          <t>S</t>
        </is>
      </c>
      <c r="G695" s="4" t="inlineStr">
        <is>
          <t>CH01</t>
        </is>
      </c>
      <c r="H695" s="4" t="inlineStr">
        <is>
          <t>PR00</t>
        </is>
      </c>
      <c r="I695" s="8" t="n">
        <v>54</v>
      </c>
      <c r="J695" s="9" t="n">
        <v>0</v>
      </c>
      <c r="K695" s="10">
        <f>I695*(1-J695)</f>
        <v/>
      </c>
      <c r="L695" s="11" t="n">
        <v>4</v>
      </c>
      <c r="M695" s="10">
        <f>K695*L695</f>
        <v/>
      </c>
      <c r="N695" s="8" t="n">
        <v>28.4</v>
      </c>
      <c r="O695" s="10">
        <f>N695*L695</f>
        <v/>
      </c>
      <c r="P695" s="10">
        <f>M695-O695</f>
        <v/>
      </c>
      <c r="Q695" s="11" t="inlineStr">
        <is>
          <t>No</t>
        </is>
      </c>
      <c r="R695" s="11" t="n">
        <v>0</v>
      </c>
      <c r="S695" s="10">
        <f>M695-(R695*K695)</f>
        <v/>
      </c>
      <c r="T695" s="12">
        <f>VLOOKUP(E695,Dim_Product!$A$2:$Q$61,3,FALSE)</f>
        <v/>
      </c>
      <c r="U695" s="12">
        <f>VLOOKUP(E695,Dim_Product!$A$2:$Q$61,4,FALSE)</f>
        <v/>
      </c>
      <c r="V695" s="12">
        <f>VLOOKUP(D695,Dim_Customer!$A$2:$I$121,6,FALSE)</f>
        <v/>
      </c>
      <c r="W695" s="12">
        <f>VLOOKUP(G695,Dim_Channel!$A$2:$B$5,2,FALSE)</f>
        <v/>
      </c>
      <c r="X695" s="12">
        <f>VLOOKUP(H695,Dim_Promotion!$A$2:$G$11,2,FALSE)</f>
        <v/>
      </c>
    </row>
    <row r="696">
      <c r="A696" s="4" t="inlineStr">
        <is>
          <t>SL0695</t>
        </is>
      </c>
      <c r="B696" t="inlineStr">
        <is>
          <t>O010348</t>
        </is>
      </c>
      <c r="C696" t="n">
        <v>20250415</v>
      </c>
      <c r="D696" s="4" t="inlineStr">
        <is>
          <t>C087</t>
        </is>
      </c>
      <c r="E696" s="4" t="inlineStr">
        <is>
          <t>P016</t>
        </is>
      </c>
      <c r="F696" t="inlineStr">
        <is>
          <t>M</t>
        </is>
      </c>
      <c r="G696" s="4" t="inlineStr">
        <is>
          <t>CH03</t>
        </is>
      </c>
      <c r="H696" s="4" t="inlineStr">
        <is>
          <t>PR00</t>
        </is>
      </c>
      <c r="I696" s="8" t="n">
        <v>58</v>
      </c>
      <c r="J696" s="9" t="n">
        <v>0</v>
      </c>
      <c r="K696" s="10">
        <f>I696*(1-J696)</f>
        <v/>
      </c>
      <c r="L696" s="11" t="n">
        <v>1</v>
      </c>
      <c r="M696" s="10">
        <f>K696*L696</f>
        <v/>
      </c>
      <c r="N696" s="8" t="n">
        <v>26.5</v>
      </c>
      <c r="O696" s="10">
        <f>N696*L696</f>
        <v/>
      </c>
      <c r="P696" s="10">
        <f>M696-O696</f>
        <v/>
      </c>
      <c r="Q696" s="11" t="inlineStr">
        <is>
          <t>No</t>
        </is>
      </c>
      <c r="R696" s="11" t="n">
        <v>0</v>
      </c>
      <c r="S696" s="10">
        <f>M696-(R696*K696)</f>
        <v/>
      </c>
      <c r="T696" s="12">
        <f>VLOOKUP(E696,Dim_Product!$A$2:$Q$61,3,FALSE)</f>
        <v/>
      </c>
      <c r="U696" s="12">
        <f>VLOOKUP(E696,Dim_Product!$A$2:$Q$61,4,FALSE)</f>
        <v/>
      </c>
      <c r="V696" s="12">
        <f>VLOOKUP(D696,Dim_Customer!$A$2:$I$121,6,FALSE)</f>
        <v/>
      </c>
      <c r="W696" s="12">
        <f>VLOOKUP(G696,Dim_Channel!$A$2:$B$5,2,FALSE)</f>
        <v/>
      </c>
      <c r="X696" s="12">
        <f>VLOOKUP(H696,Dim_Promotion!$A$2:$G$11,2,FALSE)</f>
        <v/>
      </c>
    </row>
    <row r="697">
      <c r="A697" s="4" t="inlineStr">
        <is>
          <t>SL0696</t>
        </is>
      </c>
      <c r="B697" t="inlineStr">
        <is>
          <t>O010348</t>
        </is>
      </c>
      <c r="C697" t="n">
        <v>20250202</v>
      </c>
      <c r="D697" s="4" t="inlineStr">
        <is>
          <t>C104</t>
        </is>
      </c>
      <c r="E697" s="4" t="inlineStr">
        <is>
          <t>P008</t>
        </is>
      </c>
      <c r="F697" t="inlineStr">
        <is>
          <t>L</t>
        </is>
      </c>
      <c r="G697" s="4" t="inlineStr">
        <is>
          <t>CH02</t>
        </is>
      </c>
      <c r="H697" s="4" t="inlineStr">
        <is>
          <t>PR00</t>
        </is>
      </c>
      <c r="I697" s="8" t="n">
        <v>52</v>
      </c>
      <c r="J697" s="9" t="n">
        <v>0</v>
      </c>
      <c r="K697" s="10">
        <f>I697*(1-J697)</f>
        <v/>
      </c>
      <c r="L697" s="11" t="n">
        <v>1</v>
      </c>
      <c r="M697" s="10">
        <f>K697*L697</f>
        <v/>
      </c>
      <c r="N697" s="8" t="n">
        <v>23.55</v>
      </c>
      <c r="O697" s="10">
        <f>N697*L697</f>
        <v/>
      </c>
      <c r="P697" s="10">
        <f>M697-O697</f>
        <v/>
      </c>
      <c r="Q697" s="11" t="inlineStr">
        <is>
          <t>No</t>
        </is>
      </c>
      <c r="R697" s="11" t="n">
        <v>0</v>
      </c>
      <c r="S697" s="10">
        <f>M697-(R697*K697)</f>
        <v/>
      </c>
      <c r="T697" s="12">
        <f>VLOOKUP(E697,Dim_Product!$A$2:$Q$61,3,FALSE)</f>
        <v/>
      </c>
      <c r="U697" s="12">
        <f>VLOOKUP(E697,Dim_Product!$A$2:$Q$61,4,FALSE)</f>
        <v/>
      </c>
      <c r="V697" s="12">
        <f>VLOOKUP(D697,Dim_Customer!$A$2:$I$121,6,FALSE)</f>
        <v/>
      </c>
      <c r="W697" s="12">
        <f>VLOOKUP(G697,Dim_Channel!$A$2:$B$5,2,FALSE)</f>
        <v/>
      </c>
      <c r="X697" s="12">
        <f>VLOOKUP(H697,Dim_Promotion!$A$2:$G$11,2,FALSE)</f>
        <v/>
      </c>
    </row>
    <row r="698">
      <c r="A698" s="4" t="inlineStr">
        <is>
          <t>SL0697</t>
        </is>
      </c>
      <c r="B698" t="inlineStr">
        <is>
          <t>O010349</t>
        </is>
      </c>
      <c r="C698" t="n">
        <v>20250916</v>
      </c>
      <c r="D698" s="4" t="inlineStr">
        <is>
          <t>C025</t>
        </is>
      </c>
      <c r="E698" s="4" t="inlineStr">
        <is>
          <t>P049</t>
        </is>
      </c>
      <c r="F698" t="inlineStr">
        <is>
          <t>M</t>
        </is>
      </c>
      <c r="G698" s="4" t="inlineStr">
        <is>
          <t>CH01</t>
        </is>
      </c>
      <c r="H698" s="4" t="inlineStr">
        <is>
          <t>PR00</t>
        </is>
      </c>
      <c r="I698" s="8" t="n">
        <v>70</v>
      </c>
      <c r="J698" s="9" t="n">
        <v>0</v>
      </c>
      <c r="K698" s="10">
        <f>I698*(1-J698)</f>
        <v/>
      </c>
      <c r="L698" s="11" t="n">
        <v>2</v>
      </c>
      <c r="M698" s="10">
        <f>K698*L698</f>
        <v/>
      </c>
      <c r="N698" s="8" t="n">
        <v>29.18</v>
      </c>
      <c r="O698" s="10">
        <f>N698*L698</f>
        <v/>
      </c>
      <c r="P698" s="10">
        <f>M698-O698</f>
        <v/>
      </c>
      <c r="Q698" s="11" t="inlineStr">
        <is>
          <t>No</t>
        </is>
      </c>
      <c r="R698" s="11" t="n">
        <v>0</v>
      </c>
      <c r="S698" s="10">
        <f>M698-(R698*K698)</f>
        <v/>
      </c>
      <c r="T698" s="12">
        <f>VLOOKUP(E698,Dim_Product!$A$2:$Q$61,3,FALSE)</f>
        <v/>
      </c>
      <c r="U698" s="12">
        <f>VLOOKUP(E698,Dim_Product!$A$2:$Q$61,4,FALSE)</f>
        <v/>
      </c>
      <c r="V698" s="12">
        <f>VLOOKUP(D698,Dim_Customer!$A$2:$I$121,6,FALSE)</f>
        <v/>
      </c>
      <c r="W698" s="12">
        <f>VLOOKUP(G698,Dim_Channel!$A$2:$B$5,2,FALSE)</f>
        <v/>
      </c>
      <c r="X698" s="12">
        <f>VLOOKUP(H698,Dim_Promotion!$A$2:$G$11,2,FALSE)</f>
        <v/>
      </c>
    </row>
    <row r="699">
      <c r="A699" s="4" t="inlineStr">
        <is>
          <t>SL0698</t>
        </is>
      </c>
      <c r="B699" t="inlineStr">
        <is>
          <t>O010349</t>
        </is>
      </c>
      <c r="C699" t="n">
        <v>20251119</v>
      </c>
      <c r="D699" s="4" t="inlineStr">
        <is>
          <t>C011</t>
        </is>
      </c>
      <c r="E699" s="4" t="inlineStr">
        <is>
          <t>P007</t>
        </is>
      </c>
      <c r="F699" t="inlineStr">
        <is>
          <t>S</t>
        </is>
      </c>
      <c r="G699" s="4" t="inlineStr">
        <is>
          <t>CH04</t>
        </is>
      </c>
      <c r="H699" s="4" t="inlineStr">
        <is>
          <t>PR00</t>
        </is>
      </c>
      <c r="I699" s="8" t="n">
        <v>48</v>
      </c>
      <c r="J699" s="9" t="n">
        <v>0</v>
      </c>
      <c r="K699" s="10">
        <f>I699*(1-J699)</f>
        <v/>
      </c>
      <c r="L699" s="11" t="n">
        <v>1</v>
      </c>
      <c r="M699" s="10">
        <f>K699*L699</f>
        <v/>
      </c>
      <c r="N699" s="8" t="n">
        <v>22.8</v>
      </c>
      <c r="O699" s="10">
        <f>N699*L699</f>
        <v/>
      </c>
      <c r="P699" s="10">
        <f>M699-O699</f>
        <v/>
      </c>
      <c r="Q699" s="11" t="inlineStr">
        <is>
          <t>No</t>
        </is>
      </c>
      <c r="R699" s="11" t="n">
        <v>0</v>
      </c>
      <c r="S699" s="10">
        <f>M699-(R699*K699)</f>
        <v/>
      </c>
      <c r="T699" s="12">
        <f>VLOOKUP(E699,Dim_Product!$A$2:$Q$61,3,FALSE)</f>
        <v/>
      </c>
      <c r="U699" s="12">
        <f>VLOOKUP(E699,Dim_Product!$A$2:$Q$61,4,FALSE)</f>
        <v/>
      </c>
      <c r="V699" s="12">
        <f>VLOOKUP(D699,Dim_Customer!$A$2:$I$121,6,FALSE)</f>
        <v/>
      </c>
      <c r="W699" s="12">
        <f>VLOOKUP(G699,Dim_Channel!$A$2:$B$5,2,FALSE)</f>
        <v/>
      </c>
      <c r="X699" s="12">
        <f>VLOOKUP(H699,Dim_Promotion!$A$2:$G$11,2,FALSE)</f>
        <v/>
      </c>
    </row>
    <row r="700">
      <c r="A700" s="4" t="inlineStr">
        <is>
          <t>SL0699</t>
        </is>
      </c>
      <c r="B700" t="inlineStr">
        <is>
          <t>O010350</t>
        </is>
      </c>
      <c r="C700" t="n">
        <v>20250423</v>
      </c>
      <c r="D700" s="4" t="inlineStr">
        <is>
          <t>C046</t>
        </is>
      </c>
      <c r="E700" s="4" t="inlineStr">
        <is>
          <t>P058</t>
        </is>
      </c>
      <c r="F700" t="inlineStr">
        <is>
          <t>L</t>
        </is>
      </c>
      <c r="G700" s="4" t="inlineStr">
        <is>
          <t>CH04</t>
        </is>
      </c>
      <c r="H700" s="4" t="inlineStr">
        <is>
          <t>PR00</t>
        </is>
      </c>
      <c r="I700" s="8" t="n">
        <v>75</v>
      </c>
      <c r="J700" s="9" t="n">
        <v>0</v>
      </c>
      <c r="K700" s="10">
        <f>I700*(1-J700)</f>
        <v/>
      </c>
      <c r="L700" s="11" t="n">
        <v>1</v>
      </c>
      <c r="M700" s="10">
        <f>K700*L700</f>
        <v/>
      </c>
      <c r="N700" s="8" t="n">
        <v>36.46</v>
      </c>
      <c r="O700" s="10">
        <f>N700*L700</f>
        <v/>
      </c>
      <c r="P700" s="10">
        <f>M700-O700</f>
        <v/>
      </c>
      <c r="Q700" s="11" t="inlineStr">
        <is>
          <t>No</t>
        </is>
      </c>
      <c r="R700" s="11" t="n">
        <v>0</v>
      </c>
      <c r="S700" s="10">
        <f>M700-(R700*K700)</f>
        <v/>
      </c>
      <c r="T700" s="12">
        <f>VLOOKUP(E700,Dim_Product!$A$2:$Q$61,3,FALSE)</f>
        <v/>
      </c>
      <c r="U700" s="12">
        <f>VLOOKUP(E700,Dim_Product!$A$2:$Q$61,4,FALSE)</f>
        <v/>
      </c>
      <c r="V700" s="12">
        <f>VLOOKUP(D700,Dim_Customer!$A$2:$I$121,6,FALSE)</f>
        <v/>
      </c>
      <c r="W700" s="12">
        <f>VLOOKUP(G700,Dim_Channel!$A$2:$B$5,2,FALSE)</f>
        <v/>
      </c>
      <c r="X700" s="12">
        <f>VLOOKUP(H700,Dim_Promotion!$A$2:$G$11,2,FALSE)</f>
        <v/>
      </c>
    </row>
    <row r="701">
      <c r="A701" s="4" t="inlineStr">
        <is>
          <t>SL0700</t>
        </is>
      </c>
      <c r="B701" t="inlineStr">
        <is>
          <t>O010350</t>
        </is>
      </c>
      <c r="C701" t="n">
        <v>20250830</v>
      </c>
      <c r="D701" s="4" t="inlineStr">
        <is>
          <t>C118</t>
        </is>
      </c>
      <c r="E701" s="4" t="inlineStr">
        <is>
          <t>P059</t>
        </is>
      </c>
      <c r="F701" t="inlineStr">
        <is>
          <t>S</t>
        </is>
      </c>
      <c r="G701" s="4" t="inlineStr">
        <is>
          <t>CH03</t>
        </is>
      </c>
      <c r="H701" s="4" t="inlineStr">
        <is>
          <t>PR00</t>
        </is>
      </c>
      <c r="I701" s="8" t="n">
        <v>72</v>
      </c>
      <c r="J701" s="9" t="n">
        <v>0</v>
      </c>
      <c r="K701" s="10">
        <f>I701*(1-J701)</f>
        <v/>
      </c>
      <c r="L701" s="11" t="n">
        <v>1</v>
      </c>
      <c r="M701" s="10">
        <f>K701*L701</f>
        <v/>
      </c>
      <c r="N701" s="8" t="n">
        <v>34.44</v>
      </c>
      <c r="O701" s="10">
        <f>N701*L701</f>
        <v/>
      </c>
      <c r="P701" s="10">
        <f>M701-O701</f>
        <v/>
      </c>
      <c r="Q701" s="11" t="inlineStr">
        <is>
          <t>No</t>
        </is>
      </c>
      <c r="R701" s="11" t="n">
        <v>0</v>
      </c>
      <c r="S701" s="10">
        <f>M701-(R701*K701)</f>
        <v/>
      </c>
      <c r="T701" s="12">
        <f>VLOOKUP(E701,Dim_Product!$A$2:$Q$61,3,FALSE)</f>
        <v/>
      </c>
      <c r="U701" s="12">
        <f>VLOOKUP(E701,Dim_Product!$A$2:$Q$61,4,FALSE)</f>
        <v/>
      </c>
      <c r="V701" s="12">
        <f>VLOOKUP(D701,Dim_Customer!$A$2:$I$121,6,FALSE)</f>
        <v/>
      </c>
      <c r="W701" s="12">
        <f>VLOOKUP(G701,Dim_Channel!$A$2:$B$5,2,FALSE)</f>
        <v/>
      </c>
      <c r="X701" s="12">
        <f>VLOOKUP(H701,Dim_Promotion!$A$2:$G$11,2,FALSE)</f>
        <v/>
      </c>
    </row>
    <row r="702">
      <c r="A702" s="4" t="inlineStr">
        <is>
          <t>SL0701</t>
        </is>
      </c>
      <c r="B702" t="inlineStr">
        <is>
          <t>O010351</t>
        </is>
      </c>
      <c r="C702" t="n">
        <v>20251222</v>
      </c>
      <c r="D702" s="4" t="inlineStr">
        <is>
          <t>C117</t>
        </is>
      </c>
      <c r="E702" s="4" t="inlineStr">
        <is>
          <t>P052</t>
        </is>
      </c>
      <c r="F702" t="inlineStr">
        <is>
          <t>S</t>
        </is>
      </c>
      <c r="G702" s="4" t="inlineStr">
        <is>
          <t>CH04</t>
        </is>
      </c>
      <c r="H702" s="4" t="inlineStr">
        <is>
          <t>PR09</t>
        </is>
      </c>
      <c r="I702" s="8" t="n">
        <v>62</v>
      </c>
      <c r="J702" s="9" t="n">
        <v>0.15</v>
      </c>
      <c r="K702" s="10">
        <f>I702*(1-J702)</f>
        <v/>
      </c>
      <c r="L702" s="11" t="n">
        <v>1</v>
      </c>
      <c r="M702" s="10">
        <f>K702*L702</f>
        <v/>
      </c>
      <c r="N702" s="8" t="n">
        <v>30.51</v>
      </c>
      <c r="O702" s="10">
        <f>N702*L702</f>
        <v/>
      </c>
      <c r="P702" s="10">
        <f>M702-O702</f>
        <v/>
      </c>
      <c r="Q702" s="11" t="inlineStr">
        <is>
          <t>No</t>
        </is>
      </c>
      <c r="R702" s="11" t="n">
        <v>0</v>
      </c>
      <c r="S702" s="10">
        <f>M702-(R702*K702)</f>
        <v/>
      </c>
      <c r="T702" s="12">
        <f>VLOOKUP(E702,Dim_Product!$A$2:$Q$61,3,FALSE)</f>
        <v/>
      </c>
      <c r="U702" s="12">
        <f>VLOOKUP(E702,Dim_Product!$A$2:$Q$61,4,FALSE)</f>
        <v/>
      </c>
      <c r="V702" s="12">
        <f>VLOOKUP(D702,Dim_Customer!$A$2:$I$121,6,FALSE)</f>
        <v/>
      </c>
      <c r="W702" s="12">
        <f>VLOOKUP(G702,Dim_Channel!$A$2:$B$5,2,FALSE)</f>
        <v/>
      </c>
      <c r="X702" s="12">
        <f>VLOOKUP(H702,Dim_Promotion!$A$2:$G$11,2,FALSE)</f>
        <v/>
      </c>
    </row>
    <row r="703">
      <c r="A703" s="4" t="inlineStr">
        <is>
          <t>SL0702</t>
        </is>
      </c>
      <c r="B703" t="inlineStr">
        <is>
          <t>O010351</t>
        </is>
      </c>
      <c r="C703" t="n">
        <v>20251030</v>
      </c>
      <c r="D703" s="4" t="inlineStr">
        <is>
          <t>C011</t>
        </is>
      </c>
      <c r="E703" s="4" t="inlineStr">
        <is>
          <t>P053</t>
        </is>
      </c>
      <c r="F703" t="inlineStr">
        <is>
          <t>XS</t>
        </is>
      </c>
      <c r="G703" s="4" t="inlineStr">
        <is>
          <t>CH04</t>
        </is>
      </c>
      <c r="H703" s="4" t="inlineStr">
        <is>
          <t>PR00</t>
        </is>
      </c>
      <c r="I703" s="8" t="n">
        <v>74</v>
      </c>
      <c r="J703" s="9" t="n">
        <v>0</v>
      </c>
      <c r="K703" s="10">
        <f>I703*(1-J703)</f>
        <v/>
      </c>
      <c r="L703" s="11" t="n">
        <v>1</v>
      </c>
      <c r="M703" s="10">
        <f>K703*L703</f>
        <v/>
      </c>
      <c r="N703" s="8" t="n">
        <v>34.2</v>
      </c>
      <c r="O703" s="10">
        <f>N703*L703</f>
        <v/>
      </c>
      <c r="P703" s="10">
        <f>M703-O703</f>
        <v/>
      </c>
      <c r="Q703" s="11" t="inlineStr">
        <is>
          <t>No</t>
        </is>
      </c>
      <c r="R703" s="11" t="n">
        <v>0</v>
      </c>
      <c r="S703" s="10">
        <f>M703-(R703*K703)</f>
        <v/>
      </c>
      <c r="T703" s="12">
        <f>VLOOKUP(E703,Dim_Product!$A$2:$Q$61,3,FALSE)</f>
        <v/>
      </c>
      <c r="U703" s="12">
        <f>VLOOKUP(E703,Dim_Product!$A$2:$Q$61,4,FALSE)</f>
        <v/>
      </c>
      <c r="V703" s="12">
        <f>VLOOKUP(D703,Dim_Customer!$A$2:$I$121,6,FALSE)</f>
        <v/>
      </c>
      <c r="W703" s="12">
        <f>VLOOKUP(G703,Dim_Channel!$A$2:$B$5,2,FALSE)</f>
        <v/>
      </c>
      <c r="X703" s="12">
        <f>VLOOKUP(H703,Dim_Promotion!$A$2:$G$11,2,FALSE)</f>
        <v/>
      </c>
    </row>
    <row r="704">
      <c r="A704" s="4" t="inlineStr">
        <is>
          <t>SL0703</t>
        </is>
      </c>
      <c r="B704" t="inlineStr">
        <is>
          <t>O010352</t>
        </is>
      </c>
      <c r="C704" t="n">
        <v>20251108</v>
      </c>
      <c r="D704" s="4" t="inlineStr">
        <is>
          <t>C003</t>
        </is>
      </c>
      <c r="E704" s="4" t="inlineStr">
        <is>
          <t>P056</t>
        </is>
      </c>
      <c r="F704" t="inlineStr">
        <is>
          <t>L</t>
        </is>
      </c>
      <c r="G704" s="4" t="inlineStr">
        <is>
          <t>CH02</t>
        </is>
      </c>
      <c r="H704" s="4" t="inlineStr">
        <is>
          <t>PR00</t>
        </is>
      </c>
      <c r="I704" s="8" t="n">
        <v>69</v>
      </c>
      <c r="J704" s="9" t="n">
        <v>0</v>
      </c>
      <c r="K704" s="10">
        <f>I704*(1-J704)</f>
        <v/>
      </c>
      <c r="L704" s="11" t="n">
        <v>1</v>
      </c>
      <c r="M704" s="10">
        <f>K704*L704</f>
        <v/>
      </c>
      <c r="N704" s="8" t="n">
        <v>33.8</v>
      </c>
      <c r="O704" s="10">
        <f>N704*L704</f>
        <v/>
      </c>
      <c r="P704" s="10">
        <f>M704-O704</f>
        <v/>
      </c>
      <c r="Q704" s="11" t="inlineStr">
        <is>
          <t>No</t>
        </is>
      </c>
      <c r="R704" s="11" t="n">
        <v>0</v>
      </c>
      <c r="S704" s="10">
        <f>M704-(R704*K704)</f>
        <v/>
      </c>
      <c r="T704" s="12">
        <f>VLOOKUP(E704,Dim_Product!$A$2:$Q$61,3,FALSE)</f>
        <v/>
      </c>
      <c r="U704" s="12">
        <f>VLOOKUP(E704,Dim_Product!$A$2:$Q$61,4,FALSE)</f>
        <v/>
      </c>
      <c r="V704" s="12">
        <f>VLOOKUP(D704,Dim_Customer!$A$2:$I$121,6,FALSE)</f>
        <v/>
      </c>
      <c r="W704" s="12">
        <f>VLOOKUP(G704,Dim_Channel!$A$2:$B$5,2,FALSE)</f>
        <v/>
      </c>
      <c r="X704" s="12">
        <f>VLOOKUP(H704,Dim_Promotion!$A$2:$G$11,2,FALSE)</f>
        <v/>
      </c>
    </row>
    <row r="705">
      <c r="A705" s="4" t="inlineStr">
        <is>
          <t>SL0704</t>
        </is>
      </c>
      <c r="B705" t="inlineStr">
        <is>
          <t>O010352</t>
        </is>
      </c>
      <c r="C705" t="n">
        <v>20250125</v>
      </c>
      <c r="D705" s="4" t="inlineStr">
        <is>
          <t>C049</t>
        </is>
      </c>
      <c r="E705" s="4" t="inlineStr">
        <is>
          <t>P041</t>
        </is>
      </c>
      <c r="F705" t="inlineStr">
        <is>
          <t>S</t>
        </is>
      </c>
      <c r="G705" s="4" t="inlineStr">
        <is>
          <t>CH01</t>
        </is>
      </c>
      <c r="H705" s="4" t="inlineStr">
        <is>
          <t>PR00</t>
        </is>
      </c>
      <c r="I705" s="8" t="n">
        <v>78</v>
      </c>
      <c r="J705" s="9" t="n">
        <v>0</v>
      </c>
      <c r="K705" s="10">
        <f>I705*(1-J705)</f>
        <v/>
      </c>
      <c r="L705" s="11" t="n">
        <v>1</v>
      </c>
      <c r="M705" s="10">
        <f>K705*L705</f>
        <v/>
      </c>
      <c r="N705" s="8" t="n">
        <v>38.02</v>
      </c>
      <c r="O705" s="10">
        <f>N705*L705</f>
        <v/>
      </c>
      <c r="P705" s="10">
        <f>M705-O705</f>
        <v/>
      </c>
      <c r="Q705" s="11" t="inlineStr">
        <is>
          <t>No</t>
        </is>
      </c>
      <c r="R705" s="11" t="n">
        <v>0</v>
      </c>
      <c r="S705" s="10">
        <f>M705-(R705*K705)</f>
        <v/>
      </c>
      <c r="T705" s="12">
        <f>VLOOKUP(E705,Dim_Product!$A$2:$Q$61,3,FALSE)</f>
        <v/>
      </c>
      <c r="U705" s="12">
        <f>VLOOKUP(E705,Dim_Product!$A$2:$Q$61,4,FALSE)</f>
        <v/>
      </c>
      <c r="V705" s="12">
        <f>VLOOKUP(D705,Dim_Customer!$A$2:$I$121,6,FALSE)</f>
        <v/>
      </c>
      <c r="W705" s="12">
        <f>VLOOKUP(G705,Dim_Channel!$A$2:$B$5,2,FALSE)</f>
        <v/>
      </c>
      <c r="X705" s="12">
        <f>VLOOKUP(H705,Dim_Promotion!$A$2:$G$11,2,FALSE)</f>
        <v/>
      </c>
    </row>
    <row r="706">
      <c r="A706" s="4" t="inlineStr">
        <is>
          <t>SL0705</t>
        </is>
      </c>
      <c r="B706" t="inlineStr">
        <is>
          <t>O010353</t>
        </is>
      </c>
      <c r="C706" t="n">
        <v>20250403</v>
      </c>
      <c r="D706" s="4" t="inlineStr">
        <is>
          <t>C076</t>
        </is>
      </c>
      <c r="E706" s="4" t="inlineStr">
        <is>
          <t>P001</t>
        </is>
      </c>
      <c r="F706" t="inlineStr">
        <is>
          <t>L</t>
        </is>
      </c>
      <c r="G706" s="4" t="inlineStr">
        <is>
          <t>CH03</t>
        </is>
      </c>
      <c r="H706" s="4" t="inlineStr">
        <is>
          <t>PR00</t>
        </is>
      </c>
      <c r="I706" s="8" t="n">
        <v>38</v>
      </c>
      <c r="J706" s="9" t="n">
        <v>0</v>
      </c>
      <c r="K706" s="10">
        <f>I706*(1-J706)</f>
        <v/>
      </c>
      <c r="L706" s="11" t="n">
        <v>4</v>
      </c>
      <c r="M706" s="10">
        <f>K706*L706</f>
        <v/>
      </c>
      <c r="N706" s="8" t="n">
        <v>16.68</v>
      </c>
      <c r="O706" s="10">
        <f>N706*L706</f>
        <v/>
      </c>
      <c r="P706" s="10">
        <f>M706-O706</f>
        <v/>
      </c>
      <c r="Q706" s="11" t="inlineStr">
        <is>
          <t>No</t>
        </is>
      </c>
      <c r="R706" s="11" t="n">
        <v>0</v>
      </c>
      <c r="S706" s="10">
        <f>M706-(R706*K706)</f>
        <v/>
      </c>
      <c r="T706" s="12">
        <f>VLOOKUP(E706,Dim_Product!$A$2:$Q$61,3,FALSE)</f>
        <v/>
      </c>
      <c r="U706" s="12">
        <f>VLOOKUP(E706,Dim_Product!$A$2:$Q$61,4,FALSE)</f>
        <v/>
      </c>
      <c r="V706" s="12">
        <f>VLOOKUP(D706,Dim_Customer!$A$2:$I$121,6,FALSE)</f>
        <v/>
      </c>
      <c r="W706" s="12">
        <f>VLOOKUP(G706,Dim_Channel!$A$2:$B$5,2,FALSE)</f>
        <v/>
      </c>
      <c r="X706" s="12">
        <f>VLOOKUP(H706,Dim_Promotion!$A$2:$G$11,2,FALSE)</f>
        <v/>
      </c>
    </row>
    <row r="707">
      <c r="A707" s="4" t="inlineStr">
        <is>
          <t>SL0706</t>
        </is>
      </c>
      <c r="B707" t="inlineStr">
        <is>
          <t>O010353</t>
        </is>
      </c>
      <c r="C707" t="n">
        <v>20251103</v>
      </c>
      <c r="D707" s="4" t="inlineStr">
        <is>
          <t>C008</t>
        </is>
      </c>
      <c r="E707" s="4" t="inlineStr">
        <is>
          <t>P007</t>
        </is>
      </c>
      <c r="F707" t="inlineStr">
        <is>
          <t>S</t>
        </is>
      </c>
      <c r="G707" s="4" t="inlineStr">
        <is>
          <t>CH01</t>
        </is>
      </c>
      <c r="H707" s="4" t="inlineStr">
        <is>
          <t>PR00</t>
        </is>
      </c>
      <c r="I707" s="8" t="n">
        <v>50</v>
      </c>
      <c r="J707" s="9" t="n">
        <v>0</v>
      </c>
      <c r="K707" s="10">
        <f>I707*(1-J707)</f>
        <v/>
      </c>
      <c r="L707" s="11" t="n">
        <v>1</v>
      </c>
      <c r="M707" s="10">
        <f>K707*L707</f>
        <v/>
      </c>
      <c r="N707" s="8" t="n">
        <v>22.09</v>
      </c>
      <c r="O707" s="10">
        <f>N707*L707</f>
        <v/>
      </c>
      <c r="P707" s="10">
        <f>M707-O707</f>
        <v/>
      </c>
      <c r="Q707" s="11" t="inlineStr">
        <is>
          <t>No</t>
        </is>
      </c>
      <c r="R707" s="11" t="n">
        <v>0</v>
      </c>
      <c r="S707" s="10">
        <f>M707-(R707*K707)</f>
        <v/>
      </c>
      <c r="T707" s="12">
        <f>VLOOKUP(E707,Dim_Product!$A$2:$Q$61,3,FALSE)</f>
        <v/>
      </c>
      <c r="U707" s="12">
        <f>VLOOKUP(E707,Dim_Product!$A$2:$Q$61,4,FALSE)</f>
        <v/>
      </c>
      <c r="V707" s="12">
        <f>VLOOKUP(D707,Dim_Customer!$A$2:$I$121,6,FALSE)</f>
        <v/>
      </c>
      <c r="W707" s="12">
        <f>VLOOKUP(G707,Dim_Channel!$A$2:$B$5,2,FALSE)</f>
        <v/>
      </c>
      <c r="X707" s="12">
        <f>VLOOKUP(H707,Dim_Promotion!$A$2:$G$11,2,FALSE)</f>
        <v/>
      </c>
    </row>
    <row r="708">
      <c r="A708" s="4" t="inlineStr">
        <is>
          <t>SL0707</t>
        </is>
      </c>
      <c r="B708" t="inlineStr">
        <is>
          <t>O010354</t>
        </is>
      </c>
      <c r="C708" t="n">
        <v>20250903</v>
      </c>
      <c r="D708" s="4" t="inlineStr">
        <is>
          <t>C033</t>
        </is>
      </c>
      <c r="E708" s="4" t="inlineStr">
        <is>
          <t>P056</t>
        </is>
      </c>
      <c r="F708" t="inlineStr">
        <is>
          <t>M</t>
        </is>
      </c>
      <c r="G708" s="4" t="inlineStr">
        <is>
          <t>CH03</t>
        </is>
      </c>
      <c r="H708" s="4" t="inlineStr">
        <is>
          <t>PR00</t>
        </is>
      </c>
      <c r="I708" s="8" t="n">
        <v>68</v>
      </c>
      <c r="J708" s="9" t="n">
        <v>0</v>
      </c>
      <c r="K708" s="10">
        <f>I708*(1-J708)</f>
        <v/>
      </c>
      <c r="L708" s="11" t="n">
        <v>1</v>
      </c>
      <c r="M708" s="10">
        <f>K708*L708</f>
        <v/>
      </c>
      <c r="N708" s="8" t="n">
        <v>32.94</v>
      </c>
      <c r="O708" s="10">
        <f>N708*L708</f>
        <v/>
      </c>
      <c r="P708" s="10">
        <f>M708-O708</f>
        <v/>
      </c>
      <c r="Q708" s="11" t="inlineStr">
        <is>
          <t>No</t>
        </is>
      </c>
      <c r="R708" s="11" t="n">
        <v>0</v>
      </c>
      <c r="S708" s="10">
        <f>M708-(R708*K708)</f>
        <v/>
      </c>
      <c r="T708" s="12">
        <f>VLOOKUP(E708,Dim_Product!$A$2:$Q$61,3,FALSE)</f>
        <v/>
      </c>
      <c r="U708" s="12">
        <f>VLOOKUP(E708,Dim_Product!$A$2:$Q$61,4,FALSE)</f>
        <v/>
      </c>
      <c r="V708" s="12">
        <f>VLOOKUP(D708,Dim_Customer!$A$2:$I$121,6,FALSE)</f>
        <v/>
      </c>
      <c r="W708" s="12">
        <f>VLOOKUP(G708,Dim_Channel!$A$2:$B$5,2,FALSE)</f>
        <v/>
      </c>
      <c r="X708" s="12">
        <f>VLOOKUP(H708,Dim_Promotion!$A$2:$G$11,2,FALSE)</f>
        <v/>
      </c>
    </row>
    <row r="709">
      <c r="A709" s="4" t="inlineStr">
        <is>
          <t>SL0708</t>
        </is>
      </c>
      <c r="B709" t="inlineStr">
        <is>
          <t>O010354</t>
        </is>
      </c>
      <c r="C709" t="n">
        <v>20250828</v>
      </c>
      <c r="D709" s="4" t="inlineStr">
        <is>
          <t>C084</t>
        </is>
      </c>
      <c r="E709" s="4" t="inlineStr">
        <is>
          <t>P018</t>
        </is>
      </c>
      <c r="F709" t="inlineStr">
        <is>
          <t>XS</t>
        </is>
      </c>
      <c r="G709" s="4" t="inlineStr">
        <is>
          <t>CH01</t>
        </is>
      </c>
      <c r="H709" s="4" t="inlineStr">
        <is>
          <t>PR00</t>
        </is>
      </c>
      <c r="I709" s="8" t="n">
        <v>65</v>
      </c>
      <c r="J709" s="9" t="n">
        <v>0</v>
      </c>
      <c r="K709" s="10">
        <f>I709*(1-J709)</f>
        <v/>
      </c>
      <c r="L709" s="11" t="n">
        <v>1</v>
      </c>
      <c r="M709" s="10">
        <f>K709*L709</f>
        <v/>
      </c>
      <c r="N709" s="8" t="n">
        <v>30.76</v>
      </c>
      <c r="O709" s="10">
        <f>N709*L709</f>
        <v/>
      </c>
      <c r="P709" s="10">
        <f>M709-O709</f>
        <v/>
      </c>
      <c r="Q709" s="11" t="inlineStr">
        <is>
          <t>No</t>
        </is>
      </c>
      <c r="R709" s="11" t="n">
        <v>0</v>
      </c>
      <c r="S709" s="10">
        <f>M709-(R709*K709)</f>
        <v/>
      </c>
      <c r="T709" s="12">
        <f>VLOOKUP(E709,Dim_Product!$A$2:$Q$61,3,FALSE)</f>
        <v/>
      </c>
      <c r="U709" s="12">
        <f>VLOOKUP(E709,Dim_Product!$A$2:$Q$61,4,FALSE)</f>
        <v/>
      </c>
      <c r="V709" s="12">
        <f>VLOOKUP(D709,Dim_Customer!$A$2:$I$121,6,FALSE)</f>
        <v/>
      </c>
      <c r="W709" s="12">
        <f>VLOOKUP(G709,Dim_Channel!$A$2:$B$5,2,FALSE)</f>
        <v/>
      </c>
      <c r="X709" s="12">
        <f>VLOOKUP(H709,Dim_Promotion!$A$2:$G$11,2,FALSE)</f>
        <v/>
      </c>
    </row>
    <row r="710">
      <c r="A710" s="4" t="inlineStr">
        <is>
          <t>SL0709</t>
        </is>
      </c>
      <c r="B710" t="inlineStr">
        <is>
          <t>O010355</t>
        </is>
      </c>
      <c r="C710" t="n">
        <v>20251208</v>
      </c>
      <c r="D710" s="4" t="inlineStr">
        <is>
          <t>C040</t>
        </is>
      </c>
      <c r="E710" s="4" t="inlineStr">
        <is>
          <t>P043</t>
        </is>
      </c>
      <c r="F710" t="inlineStr">
        <is>
          <t>S</t>
        </is>
      </c>
      <c r="G710" s="4" t="inlineStr">
        <is>
          <t>CH04</t>
        </is>
      </c>
      <c r="H710" s="4" t="inlineStr">
        <is>
          <t>PR00</t>
        </is>
      </c>
      <c r="I710" s="8" t="n">
        <v>81</v>
      </c>
      <c r="J710" s="9" t="n">
        <v>0</v>
      </c>
      <c r="K710" s="10">
        <f>I710*(1-J710)</f>
        <v/>
      </c>
      <c r="L710" s="11" t="n">
        <v>1</v>
      </c>
      <c r="M710" s="10">
        <f>K710*L710</f>
        <v/>
      </c>
      <c r="N710" s="8" t="n">
        <v>38.27</v>
      </c>
      <c r="O710" s="10">
        <f>N710*L710</f>
        <v/>
      </c>
      <c r="P710" s="10">
        <f>M710-O710</f>
        <v/>
      </c>
      <c r="Q710" s="11" t="inlineStr">
        <is>
          <t>No</t>
        </is>
      </c>
      <c r="R710" s="11" t="n">
        <v>0</v>
      </c>
      <c r="S710" s="10">
        <f>M710-(R710*K710)</f>
        <v/>
      </c>
      <c r="T710" s="12">
        <f>VLOOKUP(E710,Dim_Product!$A$2:$Q$61,3,FALSE)</f>
        <v/>
      </c>
      <c r="U710" s="12">
        <f>VLOOKUP(E710,Dim_Product!$A$2:$Q$61,4,FALSE)</f>
        <v/>
      </c>
      <c r="V710" s="12">
        <f>VLOOKUP(D710,Dim_Customer!$A$2:$I$121,6,FALSE)</f>
        <v/>
      </c>
      <c r="W710" s="12">
        <f>VLOOKUP(G710,Dim_Channel!$A$2:$B$5,2,FALSE)</f>
        <v/>
      </c>
      <c r="X710" s="12">
        <f>VLOOKUP(H710,Dim_Promotion!$A$2:$G$11,2,FALSE)</f>
        <v/>
      </c>
    </row>
    <row r="711">
      <c r="A711" s="4" t="inlineStr">
        <is>
          <t>SL0710</t>
        </is>
      </c>
      <c r="B711" t="inlineStr">
        <is>
          <t>O010355</t>
        </is>
      </c>
      <c r="C711" t="n">
        <v>20250702</v>
      </c>
      <c r="D711" s="4" t="inlineStr">
        <is>
          <t>C035</t>
        </is>
      </c>
      <c r="E711" s="4" t="inlineStr">
        <is>
          <t>P016</t>
        </is>
      </c>
      <c r="F711" t="inlineStr">
        <is>
          <t>XL</t>
        </is>
      </c>
      <c r="G711" s="4" t="inlineStr">
        <is>
          <t>CH01</t>
        </is>
      </c>
      <c r="H711" s="4" t="inlineStr">
        <is>
          <t>PR00</t>
        </is>
      </c>
      <c r="I711" s="8" t="n">
        <v>59</v>
      </c>
      <c r="J711" s="9" t="n">
        <v>0</v>
      </c>
      <c r="K711" s="10">
        <f>I711*(1-J711)</f>
        <v/>
      </c>
      <c r="L711" s="11" t="n">
        <v>1</v>
      </c>
      <c r="M711" s="10">
        <f>K711*L711</f>
        <v/>
      </c>
      <c r="N711" s="8" t="n">
        <v>27.08</v>
      </c>
      <c r="O711" s="10">
        <f>N711*L711</f>
        <v/>
      </c>
      <c r="P711" s="10">
        <f>M711-O711</f>
        <v/>
      </c>
      <c r="Q711" s="11" t="inlineStr">
        <is>
          <t>No</t>
        </is>
      </c>
      <c r="R711" s="11" t="n">
        <v>0</v>
      </c>
      <c r="S711" s="10">
        <f>M711-(R711*K711)</f>
        <v/>
      </c>
      <c r="T711" s="12">
        <f>VLOOKUP(E711,Dim_Product!$A$2:$Q$61,3,FALSE)</f>
        <v/>
      </c>
      <c r="U711" s="12">
        <f>VLOOKUP(E711,Dim_Product!$A$2:$Q$61,4,FALSE)</f>
        <v/>
      </c>
      <c r="V711" s="12">
        <f>VLOOKUP(D711,Dim_Customer!$A$2:$I$121,6,FALSE)</f>
        <v/>
      </c>
      <c r="W711" s="12">
        <f>VLOOKUP(G711,Dim_Channel!$A$2:$B$5,2,FALSE)</f>
        <v/>
      </c>
      <c r="X711" s="12">
        <f>VLOOKUP(H711,Dim_Promotion!$A$2:$G$11,2,FALSE)</f>
        <v/>
      </c>
    </row>
    <row r="712">
      <c r="A712" s="4" t="inlineStr">
        <is>
          <t>SL0711</t>
        </is>
      </c>
      <c r="B712" t="inlineStr">
        <is>
          <t>O010356</t>
        </is>
      </c>
      <c r="C712" t="n">
        <v>20250413</v>
      </c>
      <c r="D712" s="4" t="inlineStr">
        <is>
          <t>C024</t>
        </is>
      </c>
      <c r="E712" s="4" t="inlineStr">
        <is>
          <t>P039</t>
        </is>
      </c>
      <c r="F712" t="inlineStr">
        <is>
          <t>M</t>
        </is>
      </c>
      <c r="G712" s="4" t="inlineStr">
        <is>
          <t>CH01</t>
        </is>
      </c>
      <c r="H712" s="4" t="inlineStr">
        <is>
          <t>PR00</t>
        </is>
      </c>
      <c r="I712" s="8" t="n">
        <v>76</v>
      </c>
      <c r="J712" s="9" t="n">
        <v>0</v>
      </c>
      <c r="K712" s="10">
        <f>I712*(1-J712)</f>
        <v/>
      </c>
      <c r="L712" s="11" t="n">
        <v>2</v>
      </c>
      <c r="M712" s="10">
        <f>K712*L712</f>
        <v/>
      </c>
      <c r="N712" s="8" t="n">
        <v>36.01</v>
      </c>
      <c r="O712" s="10">
        <f>N712*L712</f>
        <v/>
      </c>
      <c r="P712" s="10">
        <f>M712-O712</f>
        <v/>
      </c>
      <c r="Q712" s="11" t="inlineStr">
        <is>
          <t>No</t>
        </is>
      </c>
      <c r="R712" s="11" t="n">
        <v>0</v>
      </c>
      <c r="S712" s="10">
        <f>M712-(R712*K712)</f>
        <v/>
      </c>
      <c r="T712" s="12">
        <f>VLOOKUP(E712,Dim_Product!$A$2:$Q$61,3,FALSE)</f>
        <v/>
      </c>
      <c r="U712" s="12">
        <f>VLOOKUP(E712,Dim_Product!$A$2:$Q$61,4,FALSE)</f>
        <v/>
      </c>
      <c r="V712" s="12">
        <f>VLOOKUP(D712,Dim_Customer!$A$2:$I$121,6,FALSE)</f>
        <v/>
      </c>
      <c r="W712" s="12">
        <f>VLOOKUP(G712,Dim_Channel!$A$2:$B$5,2,FALSE)</f>
        <v/>
      </c>
      <c r="X712" s="12">
        <f>VLOOKUP(H712,Dim_Promotion!$A$2:$G$11,2,FALSE)</f>
        <v/>
      </c>
    </row>
    <row r="713">
      <c r="A713" s="4" t="inlineStr">
        <is>
          <t>SL0712</t>
        </is>
      </c>
      <c r="B713" t="inlineStr">
        <is>
          <t>O010356</t>
        </is>
      </c>
      <c r="C713" t="n">
        <v>20250425</v>
      </c>
      <c r="D713" s="4" t="inlineStr">
        <is>
          <t>C076</t>
        </is>
      </c>
      <c r="E713" s="4" t="inlineStr">
        <is>
          <t>P012</t>
        </is>
      </c>
      <c r="F713" t="inlineStr">
        <is>
          <t>L</t>
        </is>
      </c>
      <c r="G713" s="4" t="inlineStr">
        <is>
          <t>CH02</t>
        </is>
      </c>
      <c r="H713" s="4" t="inlineStr">
        <is>
          <t>PR00</t>
        </is>
      </c>
      <c r="I713" s="8" t="n">
        <v>42</v>
      </c>
      <c r="J713" s="9" t="n">
        <v>0</v>
      </c>
      <c r="K713" s="10">
        <f>I713*(1-J713)</f>
        <v/>
      </c>
      <c r="L713" s="11" t="n">
        <v>2</v>
      </c>
      <c r="M713" s="10">
        <f>K713*L713</f>
        <v/>
      </c>
      <c r="N713" s="8" t="n">
        <v>22.29</v>
      </c>
      <c r="O713" s="10">
        <f>N713*L713</f>
        <v/>
      </c>
      <c r="P713" s="10">
        <f>M713-O713</f>
        <v/>
      </c>
      <c r="Q713" s="11" t="inlineStr">
        <is>
          <t>No</t>
        </is>
      </c>
      <c r="R713" s="11" t="n">
        <v>0</v>
      </c>
      <c r="S713" s="10">
        <f>M713-(R713*K713)</f>
        <v/>
      </c>
      <c r="T713" s="12">
        <f>VLOOKUP(E713,Dim_Product!$A$2:$Q$61,3,FALSE)</f>
        <v/>
      </c>
      <c r="U713" s="12">
        <f>VLOOKUP(E713,Dim_Product!$A$2:$Q$61,4,FALSE)</f>
        <v/>
      </c>
      <c r="V713" s="12">
        <f>VLOOKUP(D713,Dim_Customer!$A$2:$I$121,6,FALSE)</f>
        <v/>
      </c>
      <c r="W713" s="12">
        <f>VLOOKUP(G713,Dim_Channel!$A$2:$B$5,2,FALSE)</f>
        <v/>
      </c>
      <c r="X713" s="12">
        <f>VLOOKUP(H713,Dim_Promotion!$A$2:$G$11,2,FALSE)</f>
        <v/>
      </c>
    </row>
    <row r="714">
      <c r="A714" s="4" t="inlineStr">
        <is>
          <t>SL0713</t>
        </is>
      </c>
      <c r="B714" t="inlineStr">
        <is>
          <t>O010357</t>
        </is>
      </c>
      <c r="C714" t="n">
        <v>20251210</v>
      </c>
      <c r="D714" s="4" t="inlineStr">
        <is>
          <t>C110</t>
        </is>
      </c>
      <c r="E714" s="4" t="inlineStr">
        <is>
          <t>P060</t>
        </is>
      </c>
      <c r="F714" t="inlineStr">
        <is>
          <t>M</t>
        </is>
      </c>
      <c r="G714" s="4" t="inlineStr">
        <is>
          <t>CH03</t>
        </is>
      </c>
      <c r="H714" s="4" t="inlineStr">
        <is>
          <t>PR09</t>
        </is>
      </c>
      <c r="I714" s="8" t="n">
        <v>72</v>
      </c>
      <c r="J714" s="9" t="n">
        <v>0.15</v>
      </c>
      <c r="K714" s="10">
        <f>I714*(1-J714)</f>
        <v/>
      </c>
      <c r="L714" s="11" t="n">
        <v>1</v>
      </c>
      <c r="M714" s="10">
        <f>K714*L714</f>
        <v/>
      </c>
      <c r="N714" s="8" t="n">
        <v>36.1</v>
      </c>
      <c r="O714" s="10">
        <f>N714*L714</f>
        <v/>
      </c>
      <c r="P714" s="10">
        <f>M714-O714</f>
        <v/>
      </c>
      <c r="Q714" s="11" t="inlineStr">
        <is>
          <t>No</t>
        </is>
      </c>
      <c r="R714" s="11" t="n">
        <v>0</v>
      </c>
      <c r="S714" s="10">
        <f>M714-(R714*K714)</f>
        <v/>
      </c>
      <c r="T714" s="12">
        <f>VLOOKUP(E714,Dim_Product!$A$2:$Q$61,3,FALSE)</f>
        <v/>
      </c>
      <c r="U714" s="12">
        <f>VLOOKUP(E714,Dim_Product!$A$2:$Q$61,4,FALSE)</f>
        <v/>
      </c>
      <c r="V714" s="12">
        <f>VLOOKUP(D714,Dim_Customer!$A$2:$I$121,6,FALSE)</f>
        <v/>
      </c>
      <c r="W714" s="12">
        <f>VLOOKUP(G714,Dim_Channel!$A$2:$B$5,2,FALSE)</f>
        <v/>
      </c>
      <c r="X714" s="12">
        <f>VLOOKUP(H714,Dim_Promotion!$A$2:$G$11,2,FALSE)</f>
        <v/>
      </c>
    </row>
    <row r="715">
      <c r="A715" s="4" t="inlineStr">
        <is>
          <t>SL0714</t>
        </is>
      </c>
      <c r="B715" t="inlineStr">
        <is>
          <t>O010357</t>
        </is>
      </c>
      <c r="C715" t="n">
        <v>20251205</v>
      </c>
      <c r="D715" s="4" t="inlineStr">
        <is>
          <t>C117</t>
        </is>
      </c>
      <c r="E715" s="4" t="inlineStr">
        <is>
          <t>P057</t>
        </is>
      </c>
      <c r="F715" t="inlineStr">
        <is>
          <t>M</t>
        </is>
      </c>
      <c r="G715" s="4" t="inlineStr">
        <is>
          <t>CH02</t>
        </is>
      </c>
      <c r="H715" s="4" t="inlineStr">
        <is>
          <t>PR00</t>
        </is>
      </c>
      <c r="I715" s="8" t="n">
        <v>75</v>
      </c>
      <c r="J715" s="9" t="n">
        <v>0</v>
      </c>
      <c r="K715" s="10">
        <f>I715*(1-J715)</f>
        <v/>
      </c>
      <c r="L715" s="11" t="n">
        <v>1</v>
      </c>
      <c r="M715" s="10">
        <f>K715*L715</f>
        <v/>
      </c>
      <c r="N715" s="8" t="n">
        <v>34.88</v>
      </c>
      <c r="O715" s="10">
        <f>N715*L715</f>
        <v/>
      </c>
      <c r="P715" s="10">
        <f>M715-O715</f>
        <v/>
      </c>
      <c r="Q715" s="11" t="inlineStr">
        <is>
          <t>No</t>
        </is>
      </c>
      <c r="R715" s="11" t="n">
        <v>0</v>
      </c>
      <c r="S715" s="10">
        <f>M715-(R715*K715)</f>
        <v/>
      </c>
      <c r="T715" s="12">
        <f>VLOOKUP(E715,Dim_Product!$A$2:$Q$61,3,FALSE)</f>
        <v/>
      </c>
      <c r="U715" s="12">
        <f>VLOOKUP(E715,Dim_Product!$A$2:$Q$61,4,FALSE)</f>
        <v/>
      </c>
      <c r="V715" s="12">
        <f>VLOOKUP(D715,Dim_Customer!$A$2:$I$121,6,FALSE)</f>
        <v/>
      </c>
      <c r="W715" s="12">
        <f>VLOOKUP(G715,Dim_Channel!$A$2:$B$5,2,FALSE)</f>
        <v/>
      </c>
      <c r="X715" s="12">
        <f>VLOOKUP(H715,Dim_Promotion!$A$2:$G$11,2,FALSE)</f>
        <v/>
      </c>
    </row>
    <row r="716">
      <c r="A716" s="4" t="inlineStr">
        <is>
          <t>SL0715</t>
        </is>
      </c>
      <c r="B716" t="inlineStr">
        <is>
          <t>O010358</t>
        </is>
      </c>
      <c r="C716" t="n">
        <v>20250421</v>
      </c>
      <c r="D716" s="4" t="inlineStr">
        <is>
          <t>C104</t>
        </is>
      </c>
      <c r="E716" s="4" t="inlineStr">
        <is>
          <t>P045</t>
        </is>
      </c>
      <c r="F716" t="inlineStr">
        <is>
          <t>S</t>
        </is>
      </c>
      <c r="G716" s="4" t="inlineStr">
        <is>
          <t>CH02</t>
        </is>
      </c>
      <c r="H716" s="4" t="inlineStr">
        <is>
          <t>PR00</t>
        </is>
      </c>
      <c r="I716" s="8" t="n">
        <v>66</v>
      </c>
      <c r="J716" s="9" t="n">
        <v>0</v>
      </c>
      <c r="K716" s="10">
        <f>I716*(1-J716)</f>
        <v/>
      </c>
      <c r="L716" s="11" t="n">
        <v>1</v>
      </c>
      <c r="M716" s="10">
        <f>K716*L716</f>
        <v/>
      </c>
      <c r="N716" s="8" t="n">
        <v>32.37</v>
      </c>
      <c r="O716" s="10">
        <f>N716*L716</f>
        <v/>
      </c>
      <c r="P716" s="10">
        <f>M716-O716</f>
        <v/>
      </c>
      <c r="Q716" s="11" t="inlineStr">
        <is>
          <t>Yes</t>
        </is>
      </c>
      <c r="R716" s="11" t="n">
        <v>1</v>
      </c>
      <c r="S716" s="10">
        <f>M716-(R716*K716)</f>
        <v/>
      </c>
      <c r="T716" s="12">
        <f>VLOOKUP(E716,Dim_Product!$A$2:$Q$61,3,FALSE)</f>
        <v/>
      </c>
      <c r="U716" s="12">
        <f>VLOOKUP(E716,Dim_Product!$A$2:$Q$61,4,FALSE)</f>
        <v/>
      </c>
      <c r="V716" s="12">
        <f>VLOOKUP(D716,Dim_Customer!$A$2:$I$121,6,FALSE)</f>
        <v/>
      </c>
      <c r="W716" s="12">
        <f>VLOOKUP(G716,Dim_Channel!$A$2:$B$5,2,FALSE)</f>
        <v/>
      </c>
      <c r="X716" s="12">
        <f>VLOOKUP(H716,Dim_Promotion!$A$2:$G$11,2,FALSE)</f>
        <v/>
      </c>
    </row>
    <row r="717">
      <c r="A717" s="4" t="inlineStr">
        <is>
          <t>SL0716</t>
        </is>
      </c>
      <c r="B717" t="inlineStr">
        <is>
          <t>O010358</t>
        </is>
      </c>
      <c r="C717" t="n">
        <v>20251216</v>
      </c>
      <c r="D717" s="4" t="inlineStr">
        <is>
          <t>C082</t>
        </is>
      </c>
      <c r="E717" s="4" t="inlineStr">
        <is>
          <t>P050</t>
        </is>
      </c>
      <c r="F717" t="inlineStr">
        <is>
          <t>S</t>
        </is>
      </c>
      <c r="G717" s="4" t="inlineStr">
        <is>
          <t>CH04</t>
        </is>
      </c>
      <c r="H717" s="4" t="inlineStr">
        <is>
          <t>PR00</t>
        </is>
      </c>
      <c r="I717" s="8" t="n">
        <v>66</v>
      </c>
      <c r="J717" s="9" t="n">
        <v>0</v>
      </c>
      <c r="K717" s="10">
        <f>I717*(1-J717)</f>
        <v/>
      </c>
      <c r="L717" s="11" t="n">
        <v>3</v>
      </c>
      <c r="M717" s="10">
        <f>K717*L717</f>
        <v/>
      </c>
      <c r="N717" s="8" t="n">
        <v>30.19</v>
      </c>
      <c r="O717" s="10">
        <f>N717*L717</f>
        <v/>
      </c>
      <c r="P717" s="10">
        <f>M717-O717</f>
        <v/>
      </c>
      <c r="Q717" s="11" t="inlineStr">
        <is>
          <t>No</t>
        </is>
      </c>
      <c r="R717" s="11" t="n">
        <v>0</v>
      </c>
      <c r="S717" s="10">
        <f>M717-(R717*K717)</f>
        <v/>
      </c>
      <c r="T717" s="12">
        <f>VLOOKUP(E717,Dim_Product!$A$2:$Q$61,3,FALSE)</f>
        <v/>
      </c>
      <c r="U717" s="12">
        <f>VLOOKUP(E717,Dim_Product!$A$2:$Q$61,4,FALSE)</f>
        <v/>
      </c>
      <c r="V717" s="12">
        <f>VLOOKUP(D717,Dim_Customer!$A$2:$I$121,6,FALSE)</f>
        <v/>
      </c>
      <c r="W717" s="12">
        <f>VLOOKUP(G717,Dim_Channel!$A$2:$B$5,2,FALSE)</f>
        <v/>
      </c>
      <c r="X717" s="12">
        <f>VLOOKUP(H717,Dim_Promotion!$A$2:$G$11,2,FALSE)</f>
        <v/>
      </c>
    </row>
    <row r="718">
      <c r="A718" s="4" t="inlineStr">
        <is>
          <t>SL0717</t>
        </is>
      </c>
      <c r="B718" t="inlineStr">
        <is>
          <t>O010359</t>
        </is>
      </c>
      <c r="C718" t="n">
        <v>20251109</v>
      </c>
      <c r="D718" s="4" t="inlineStr">
        <is>
          <t>C112</t>
        </is>
      </c>
      <c r="E718" s="4" t="inlineStr">
        <is>
          <t>P028</t>
        </is>
      </c>
      <c r="F718" t="inlineStr">
        <is>
          <t>M</t>
        </is>
      </c>
      <c r="G718" s="4" t="inlineStr">
        <is>
          <t>CH04</t>
        </is>
      </c>
      <c r="H718" s="4" t="inlineStr">
        <is>
          <t>PR00</t>
        </is>
      </c>
      <c r="I718" s="8" t="n">
        <v>95</v>
      </c>
      <c r="J718" s="9" t="n">
        <v>0</v>
      </c>
      <c r="K718" s="10">
        <f>I718*(1-J718)</f>
        <v/>
      </c>
      <c r="L718" s="11" t="n">
        <v>1</v>
      </c>
      <c r="M718" s="10">
        <f>K718*L718</f>
        <v/>
      </c>
      <c r="N718" s="8" t="n">
        <v>48.5</v>
      </c>
      <c r="O718" s="10">
        <f>N718*L718</f>
        <v/>
      </c>
      <c r="P718" s="10">
        <f>M718-O718</f>
        <v/>
      </c>
      <c r="Q718" s="11" t="inlineStr">
        <is>
          <t>No</t>
        </is>
      </c>
      <c r="R718" s="11" t="n">
        <v>0</v>
      </c>
      <c r="S718" s="10">
        <f>M718-(R718*K718)</f>
        <v/>
      </c>
      <c r="T718" s="12">
        <f>VLOOKUP(E718,Dim_Product!$A$2:$Q$61,3,FALSE)</f>
        <v/>
      </c>
      <c r="U718" s="12">
        <f>VLOOKUP(E718,Dim_Product!$A$2:$Q$61,4,FALSE)</f>
        <v/>
      </c>
      <c r="V718" s="12">
        <f>VLOOKUP(D718,Dim_Customer!$A$2:$I$121,6,FALSE)</f>
        <v/>
      </c>
      <c r="W718" s="12">
        <f>VLOOKUP(G718,Dim_Channel!$A$2:$B$5,2,FALSE)</f>
        <v/>
      </c>
      <c r="X718" s="12">
        <f>VLOOKUP(H718,Dim_Promotion!$A$2:$G$11,2,FALSE)</f>
        <v/>
      </c>
    </row>
    <row r="719">
      <c r="A719" s="4" t="inlineStr">
        <is>
          <t>SL0718</t>
        </is>
      </c>
      <c r="B719" t="inlineStr">
        <is>
          <t>O010359</t>
        </is>
      </c>
      <c r="C719" t="n">
        <v>20250518</v>
      </c>
      <c r="D719" s="4" t="inlineStr">
        <is>
          <t>C092</t>
        </is>
      </c>
      <c r="E719" s="4" t="inlineStr">
        <is>
          <t>P003</t>
        </is>
      </c>
      <c r="F719" t="inlineStr">
        <is>
          <t>S</t>
        </is>
      </c>
      <c r="G719" s="4" t="inlineStr">
        <is>
          <t>CH04</t>
        </is>
      </c>
      <c r="H719" s="4" t="inlineStr">
        <is>
          <t>PR00</t>
        </is>
      </c>
      <c r="I719" s="8" t="n">
        <v>42</v>
      </c>
      <c r="J719" s="9" t="n">
        <v>0.05</v>
      </c>
      <c r="K719" s="10">
        <f>I719*(1-J719)</f>
        <v/>
      </c>
      <c r="L719" s="11" t="n">
        <v>1</v>
      </c>
      <c r="M719" s="10">
        <f>K719*L719</f>
        <v/>
      </c>
      <c r="N719" s="8" t="n">
        <v>20.59</v>
      </c>
      <c r="O719" s="10">
        <f>N719*L719</f>
        <v/>
      </c>
      <c r="P719" s="10">
        <f>M719-O719</f>
        <v/>
      </c>
      <c r="Q719" s="11" t="inlineStr">
        <is>
          <t>No</t>
        </is>
      </c>
      <c r="R719" s="11" t="n">
        <v>0</v>
      </c>
      <c r="S719" s="10">
        <f>M719-(R719*K719)</f>
        <v/>
      </c>
      <c r="T719" s="12">
        <f>VLOOKUP(E719,Dim_Product!$A$2:$Q$61,3,FALSE)</f>
        <v/>
      </c>
      <c r="U719" s="12">
        <f>VLOOKUP(E719,Dim_Product!$A$2:$Q$61,4,FALSE)</f>
        <v/>
      </c>
      <c r="V719" s="12">
        <f>VLOOKUP(D719,Dim_Customer!$A$2:$I$121,6,FALSE)</f>
        <v/>
      </c>
      <c r="W719" s="12">
        <f>VLOOKUP(G719,Dim_Channel!$A$2:$B$5,2,FALSE)</f>
        <v/>
      </c>
      <c r="X719" s="12">
        <f>VLOOKUP(H719,Dim_Promotion!$A$2:$G$11,2,FALSE)</f>
        <v/>
      </c>
    </row>
    <row r="720">
      <c r="A720" s="4" t="inlineStr">
        <is>
          <t>SL0719</t>
        </is>
      </c>
      <c r="B720" t="inlineStr">
        <is>
          <t>O010360</t>
        </is>
      </c>
      <c r="C720" t="n">
        <v>20250214</v>
      </c>
      <c r="D720" s="4" t="inlineStr">
        <is>
          <t>C113</t>
        </is>
      </c>
      <c r="E720" s="4" t="inlineStr">
        <is>
          <t>P016</t>
        </is>
      </c>
      <c r="F720" t="inlineStr">
        <is>
          <t>L</t>
        </is>
      </c>
      <c r="G720" s="4" t="inlineStr">
        <is>
          <t>CH01</t>
        </is>
      </c>
      <c r="H720" s="4" t="inlineStr">
        <is>
          <t>PR00</t>
        </is>
      </c>
      <c r="I720" s="8" t="n">
        <v>58</v>
      </c>
      <c r="J720" s="9" t="n">
        <v>0</v>
      </c>
      <c r="K720" s="10">
        <f>I720*(1-J720)</f>
        <v/>
      </c>
      <c r="L720" s="11" t="n">
        <v>1</v>
      </c>
      <c r="M720" s="10">
        <f>K720*L720</f>
        <v/>
      </c>
      <c r="N720" s="8" t="n">
        <v>28.04</v>
      </c>
      <c r="O720" s="10">
        <f>N720*L720</f>
        <v/>
      </c>
      <c r="P720" s="10">
        <f>M720-O720</f>
        <v/>
      </c>
      <c r="Q720" s="11" t="inlineStr">
        <is>
          <t>No</t>
        </is>
      </c>
      <c r="R720" s="11" t="n">
        <v>0</v>
      </c>
      <c r="S720" s="10">
        <f>M720-(R720*K720)</f>
        <v/>
      </c>
      <c r="T720" s="12">
        <f>VLOOKUP(E720,Dim_Product!$A$2:$Q$61,3,FALSE)</f>
        <v/>
      </c>
      <c r="U720" s="12">
        <f>VLOOKUP(E720,Dim_Product!$A$2:$Q$61,4,FALSE)</f>
        <v/>
      </c>
      <c r="V720" s="12">
        <f>VLOOKUP(D720,Dim_Customer!$A$2:$I$121,6,FALSE)</f>
        <v/>
      </c>
      <c r="W720" s="12">
        <f>VLOOKUP(G720,Dim_Channel!$A$2:$B$5,2,FALSE)</f>
        <v/>
      </c>
      <c r="X720" s="12">
        <f>VLOOKUP(H720,Dim_Promotion!$A$2:$G$11,2,FALSE)</f>
        <v/>
      </c>
    </row>
    <row r="721">
      <c r="A721" s="4" t="inlineStr">
        <is>
          <t>SL0720</t>
        </is>
      </c>
      <c r="B721" t="inlineStr">
        <is>
          <t>O010360</t>
        </is>
      </c>
      <c r="C721" t="n">
        <v>20250302</v>
      </c>
      <c r="D721" s="4" t="inlineStr">
        <is>
          <t>C038</t>
        </is>
      </c>
      <c r="E721" s="4" t="inlineStr">
        <is>
          <t>P002</t>
        </is>
      </c>
      <c r="F721" t="inlineStr">
        <is>
          <t>XL</t>
        </is>
      </c>
      <c r="G721" s="4" t="inlineStr">
        <is>
          <t>CH04</t>
        </is>
      </c>
      <c r="H721" s="4" t="inlineStr">
        <is>
          <t>PR03</t>
        </is>
      </c>
      <c r="I721" s="8" t="n">
        <v>42</v>
      </c>
      <c r="J721" s="9" t="n">
        <v>0.08</v>
      </c>
      <c r="K721" s="10">
        <f>I721*(1-J721)</f>
        <v/>
      </c>
      <c r="L721" s="11" t="n">
        <v>2</v>
      </c>
      <c r="M721" s="10">
        <f>K721*L721</f>
        <v/>
      </c>
      <c r="N721" s="8" t="n">
        <v>17.39</v>
      </c>
      <c r="O721" s="10">
        <f>N721*L721</f>
        <v/>
      </c>
      <c r="P721" s="10">
        <f>M721-O721</f>
        <v/>
      </c>
      <c r="Q721" s="11" t="inlineStr">
        <is>
          <t>No</t>
        </is>
      </c>
      <c r="R721" s="11" t="n">
        <v>0</v>
      </c>
      <c r="S721" s="10">
        <f>M721-(R721*K721)</f>
        <v/>
      </c>
      <c r="T721" s="12">
        <f>VLOOKUP(E721,Dim_Product!$A$2:$Q$61,3,FALSE)</f>
        <v/>
      </c>
      <c r="U721" s="12">
        <f>VLOOKUP(E721,Dim_Product!$A$2:$Q$61,4,FALSE)</f>
        <v/>
      </c>
      <c r="V721" s="12">
        <f>VLOOKUP(D721,Dim_Customer!$A$2:$I$121,6,FALSE)</f>
        <v/>
      </c>
      <c r="W721" s="12">
        <f>VLOOKUP(G721,Dim_Channel!$A$2:$B$5,2,FALSE)</f>
        <v/>
      </c>
      <c r="X721" s="12">
        <f>VLOOKUP(H721,Dim_Promotion!$A$2:$G$11,2,FALSE)</f>
        <v/>
      </c>
    </row>
    <row r="722">
      <c r="A722" s="4" t="inlineStr">
        <is>
          <t>SL0721</t>
        </is>
      </c>
      <c r="B722" t="inlineStr">
        <is>
          <t>O010361</t>
        </is>
      </c>
      <c r="C722" t="n">
        <v>20250619</v>
      </c>
      <c r="D722" s="4" t="inlineStr">
        <is>
          <t>C005</t>
        </is>
      </c>
      <c r="E722" s="4" t="inlineStr">
        <is>
          <t>P039</t>
        </is>
      </c>
      <c r="F722" t="inlineStr">
        <is>
          <t>L</t>
        </is>
      </c>
      <c r="G722" s="4" t="inlineStr">
        <is>
          <t>CH02</t>
        </is>
      </c>
      <c r="H722" s="4" t="inlineStr">
        <is>
          <t>PR00</t>
        </is>
      </c>
      <c r="I722" s="8" t="n">
        <v>74</v>
      </c>
      <c r="J722" s="9" t="n">
        <v>0</v>
      </c>
      <c r="K722" s="10">
        <f>I722*(1-J722)</f>
        <v/>
      </c>
      <c r="L722" s="11" t="n">
        <v>1</v>
      </c>
      <c r="M722" s="10">
        <f>K722*L722</f>
        <v/>
      </c>
      <c r="N722" s="8" t="n">
        <v>37.44</v>
      </c>
      <c r="O722" s="10">
        <f>N722*L722</f>
        <v/>
      </c>
      <c r="P722" s="10">
        <f>M722-O722</f>
        <v/>
      </c>
      <c r="Q722" s="11" t="inlineStr">
        <is>
          <t>No</t>
        </is>
      </c>
      <c r="R722" s="11" t="n">
        <v>0</v>
      </c>
      <c r="S722" s="10">
        <f>M722-(R722*K722)</f>
        <v/>
      </c>
      <c r="T722" s="12">
        <f>VLOOKUP(E722,Dim_Product!$A$2:$Q$61,3,FALSE)</f>
        <v/>
      </c>
      <c r="U722" s="12">
        <f>VLOOKUP(E722,Dim_Product!$A$2:$Q$61,4,FALSE)</f>
        <v/>
      </c>
      <c r="V722" s="12">
        <f>VLOOKUP(D722,Dim_Customer!$A$2:$I$121,6,FALSE)</f>
        <v/>
      </c>
      <c r="W722" s="12">
        <f>VLOOKUP(G722,Dim_Channel!$A$2:$B$5,2,FALSE)</f>
        <v/>
      </c>
      <c r="X722" s="12">
        <f>VLOOKUP(H722,Dim_Promotion!$A$2:$G$11,2,FALSE)</f>
        <v/>
      </c>
    </row>
    <row r="723">
      <c r="A723" s="4" t="inlineStr">
        <is>
          <t>SL0722</t>
        </is>
      </c>
      <c r="B723" t="inlineStr">
        <is>
          <t>O010361</t>
        </is>
      </c>
      <c r="C723" t="n">
        <v>20251018</v>
      </c>
      <c r="D723" s="4" t="inlineStr">
        <is>
          <t>C094</t>
        </is>
      </c>
      <c r="E723" s="4" t="inlineStr">
        <is>
          <t>P047</t>
        </is>
      </c>
      <c r="F723" t="inlineStr">
        <is>
          <t>M</t>
        </is>
      </c>
      <c r="G723" s="4" t="inlineStr">
        <is>
          <t>CH01</t>
        </is>
      </c>
      <c r="H723" s="4" t="inlineStr">
        <is>
          <t>PR00</t>
        </is>
      </c>
      <c r="I723" s="8" t="n">
        <v>74</v>
      </c>
      <c r="J723" s="9" t="n">
        <v>0</v>
      </c>
      <c r="K723" s="10">
        <f>I723*(1-J723)</f>
        <v/>
      </c>
      <c r="L723" s="11" t="n">
        <v>1</v>
      </c>
      <c r="M723" s="10">
        <f>K723*L723</f>
        <v/>
      </c>
      <c r="N723" s="8" t="n">
        <v>30.83</v>
      </c>
      <c r="O723" s="10">
        <f>N723*L723</f>
        <v/>
      </c>
      <c r="P723" s="10">
        <f>M723-O723</f>
        <v/>
      </c>
      <c r="Q723" s="11" t="inlineStr">
        <is>
          <t>No</t>
        </is>
      </c>
      <c r="R723" s="11" t="n">
        <v>0</v>
      </c>
      <c r="S723" s="10">
        <f>M723-(R723*K723)</f>
        <v/>
      </c>
      <c r="T723" s="12">
        <f>VLOOKUP(E723,Dim_Product!$A$2:$Q$61,3,FALSE)</f>
        <v/>
      </c>
      <c r="U723" s="12">
        <f>VLOOKUP(E723,Dim_Product!$A$2:$Q$61,4,FALSE)</f>
        <v/>
      </c>
      <c r="V723" s="12">
        <f>VLOOKUP(D723,Dim_Customer!$A$2:$I$121,6,FALSE)</f>
        <v/>
      </c>
      <c r="W723" s="12">
        <f>VLOOKUP(G723,Dim_Channel!$A$2:$B$5,2,FALSE)</f>
        <v/>
      </c>
      <c r="X723" s="12">
        <f>VLOOKUP(H723,Dim_Promotion!$A$2:$G$11,2,FALSE)</f>
        <v/>
      </c>
    </row>
    <row r="724">
      <c r="A724" s="4" t="inlineStr">
        <is>
          <t>SL0723</t>
        </is>
      </c>
      <c r="B724" t="inlineStr">
        <is>
          <t>O010362</t>
        </is>
      </c>
      <c r="C724" t="n">
        <v>20251012</v>
      </c>
      <c r="D724" s="4" t="inlineStr">
        <is>
          <t>C030</t>
        </is>
      </c>
      <c r="E724" s="4" t="inlineStr">
        <is>
          <t>P026</t>
        </is>
      </c>
      <c r="F724" t="inlineStr">
        <is>
          <t>S</t>
        </is>
      </c>
      <c r="G724" s="4" t="inlineStr">
        <is>
          <t>CH02</t>
        </is>
      </c>
      <c r="H724" s="4" t="inlineStr">
        <is>
          <t>PR07</t>
        </is>
      </c>
      <c r="I724" s="8" t="n">
        <v>94</v>
      </c>
      <c r="J724" s="9" t="n">
        <v>0.12</v>
      </c>
      <c r="K724" s="10">
        <f>I724*(1-J724)</f>
        <v/>
      </c>
      <c r="L724" s="11" t="n">
        <v>1</v>
      </c>
      <c r="M724" s="10">
        <f>K724*L724</f>
        <v/>
      </c>
      <c r="N724" s="8" t="n">
        <v>45.05</v>
      </c>
      <c r="O724" s="10">
        <f>N724*L724</f>
        <v/>
      </c>
      <c r="P724" s="10">
        <f>M724-O724</f>
        <v/>
      </c>
      <c r="Q724" s="11" t="inlineStr">
        <is>
          <t>No</t>
        </is>
      </c>
      <c r="R724" s="11" t="n">
        <v>0</v>
      </c>
      <c r="S724" s="10">
        <f>M724-(R724*K724)</f>
        <v/>
      </c>
      <c r="T724" s="12">
        <f>VLOOKUP(E724,Dim_Product!$A$2:$Q$61,3,FALSE)</f>
        <v/>
      </c>
      <c r="U724" s="12">
        <f>VLOOKUP(E724,Dim_Product!$A$2:$Q$61,4,FALSE)</f>
        <v/>
      </c>
      <c r="V724" s="12">
        <f>VLOOKUP(D724,Dim_Customer!$A$2:$I$121,6,FALSE)</f>
        <v/>
      </c>
      <c r="W724" s="12">
        <f>VLOOKUP(G724,Dim_Channel!$A$2:$B$5,2,FALSE)</f>
        <v/>
      </c>
      <c r="X724" s="12">
        <f>VLOOKUP(H724,Dim_Promotion!$A$2:$G$11,2,FALSE)</f>
        <v/>
      </c>
    </row>
    <row r="725">
      <c r="A725" s="4" t="inlineStr">
        <is>
          <t>SL0724</t>
        </is>
      </c>
      <c r="B725" t="inlineStr">
        <is>
          <t>O010362</t>
        </is>
      </c>
      <c r="C725" t="n">
        <v>20251221</v>
      </c>
      <c r="D725" s="4" t="inlineStr">
        <is>
          <t>C062</t>
        </is>
      </c>
      <c r="E725" s="4" t="inlineStr">
        <is>
          <t>P035</t>
        </is>
      </c>
      <c r="F725" t="inlineStr">
        <is>
          <t>M</t>
        </is>
      </c>
      <c r="G725" s="4" t="inlineStr">
        <is>
          <t>CH02</t>
        </is>
      </c>
      <c r="H725" s="4" t="inlineStr">
        <is>
          <t>PR00</t>
        </is>
      </c>
      <c r="I725" s="8" t="n">
        <v>88</v>
      </c>
      <c r="J725" s="9" t="n">
        <v>0</v>
      </c>
      <c r="K725" s="10">
        <f>I725*(1-J725)</f>
        <v/>
      </c>
      <c r="L725" s="11" t="n">
        <v>3</v>
      </c>
      <c r="M725" s="10">
        <f>K725*L725</f>
        <v/>
      </c>
      <c r="N725" s="8" t="n">
        <v>42.77</v>
      </c>
      <c r="O725" s="10">
        <f>N725*L725</f>
        <v/>
      </c>
      <c r="P725" s="10">
        <f>M725-O725</f>
        <v/>
      </c>
      <c r="Q725" s="11" t="inlineStr">
        <is>
          <t>No</t>
        </is>
      </c>
      <c r="R725" s="11" t="n">
        <v>0</v>
      </c>
      <c r="S725" s="10">
        <f>M725-(R725*K725)</f>
        <v/>
      </c>
      <c r="T725" s="12">
        <f>VLOOKUP(E725,Dim_Product!$A$2:$Q$61,3,FALSE)</f>
        <v/>
      </c>
      <c r="U725" s="12">
        <f>VLOOKUP(E725,Dim_Product!$A$2:$Q$61,4,FALSE)</f>
        <v/>
      </c>
      <c r="V725" s="12">
        <f>VLOOKUP(D725,Dim_Customer!$A$2:$I$121,6,FALSE)</f>
        <v/>
      </c>
      <c r="W725" s="12">
        <f>VLOOKUP(G725,Dim_Channel!$A$2:$B$5,2,FALSE)</f>
        <v/>
      </c>
      <c r="X725" s="12">
        <f>VLOOKUP(H725,Dim_Promotion!$A$2:$G$11,2,FALSE)</f>
        <v/>
      </c>
    </row>
    <row r="726">
      <c r="A726" s="4" t="inlineStr">
        <is>
          <t>SL0725</t>
        </is>
      </c>
      <c r="B726" t="inlineStr">
        <is>
          <t>O010363</t>
        </is>
      </c>
      <c r="C726" t="n">
        <v>20250922</v>
      </c>
      <c r="D726" s="4" t="inlineStr">
        <is>
          <t>C018</t>
        </is>
      </c>
      <c r="E726" s="4" t="inlineStr">
        <is>
          <t>P019</t>
        </is>
      </c>
      <c r="F726" t="inlineStr">
        <is>
          <t>S</t>
        </is>
      </c>
      <c r="G726" s="4" t="inlineStr">
        <is>
          <t>CH01</t>
        </is>
      </c>
      <c r="H726" s="4" t="inlineStr">
        <is>
          <t>PR00</t>
        </is>
      </c>
      <c r="I726" s="8" t="n">
        <v>64</v>
      </c>
      <c r="J726" s="9" t="n">
        <v>0</v>
      </c>
      <c r="K726" s="10">
        <f>I726*(1-J726)</f>
        <v/>
      </c>
      <c r="L726" s="11" t="n">
        <v>2</v>
      </c>
      <c r="M726" s="10">
        <f>K726*L726</f>
        <v/>
      </c>
      <c r="N726" s="8" t="n">
        <v>33.04</v>
      </c>
      <c r="O726" s="10">
        <f>N726*L726</f>
        <v/>
      </c>
      <c r="P726" s="10">
        <f>M726-O726</f>
        <v/>
      </c>
      <c r="Q726" s="11" t="inlineStr">
        <is>
          <t>Yes</t>
        </is>
      </c>
      <c r="R726" s="11" t="n">
        <v>1</v>
      </c>
      <c r="S726" s="10">
        <f>M726-(R726*K726)</f>
        <v/>
      </c>
      <c r="T726" s="12">
        <f>VLOOKUP(E726,Dim_Product!$A$2:$Q$61,3,FALSE)</f>
        <v/>
      </c>
      <c r="U726" s="12">
        <f>VLOOKUP(E726,Dim_Product!$A$2:$Q$61,4,FALSE)</f>
        <v/>
      </c>
      <c r="V726" s="12">
        <f>VLOOKUP(D726,Dim_Customer!$A$2:$I$121,6,FALSE)</f>
        <v/>
      </c>
      <c r="W726" s="12">
        <f>VLOOKUP(G726,Dim_Channel!$A$2:$B$5,2,FALSE)</f>
        <v/>
      </c>
      <c r="X726" s="12">
        <f>VLOOKUP(H726,Dim_Promotion!$A$2:$G$11,2,FALSE)</f>
        <v/>
      </c>
    </row>
    <row r="727">
      <c r="A727" s="4" t="inlineStr">
        <is>
          <t>SL0726</t>
        </is>
      </c>
      <c r="B727" t="inlineStr">
        <is>
          <t>O010363</t>
        </is>
      </c>
      <c r="C727" t="n">
        <v>20250625</v>
      </c>
      <c r="D727" s="4" t="inlineStr">
        <is>
          <t>C071</t>
        </is>
      </c>
      <c r="E727" s="4" t="inlineStr">
        <is>
          <t>P042</t>
        </is>
      </c>
      <c r="F727" t="inlineStr">
        <is>
          <t>XS</t>
        </is>
      </c>
      <c r="G727" s="4" t="inlineStr">
        <is>
          <t>CH04</t>
        </is>
      </c>
      <c r="H727" s="4" t="inlineStr">
        <is>
          <t>PR05</t>
        </is>
      </c>
      <c r="I727" s="8" t="n">
        <v>74</v>
      </c>
      <c r="J727" s="9" t="n">
        <v>0.2</v>
      </c>
      <c r="K727" s="10">
        <f>I727*(1-J727)</f>
        <v/>
      </c>
      <c r="L727" s="11" t="n">
        <v>1</v>
      </c>
      <c r="M727" s="10">
        <f>K727*L727</f>
        <v/>
      </c>
      <c r="N727" s="8" t="n">
        <v>38.46</v>
      </c>
      <c r="O727" s="10">
        <f>N727*L727</f>
        <v/>
      </c>
      <c r="P727" s="10">
        <f>M727-O727</f>
        <v/>
      </c>
      <c r="Q727" s="11" t="inlineStr">
        <is>
          <t>No</t>
        </is>
      </c>
      <c r="R727" s="11" t="n">
        <v>0</v>
      </c>
      <c r="S727" s="10">
        <f>M727-(R727*K727)</f>
        <v/>
      </c>
      <c r="T727" s="12">
        <f>VLOOKUP(E727,Dim_Product!$A$2:$Q$61,3,FALSE)</f>
        <v/>
      </c>
      <c r="U727" s="12">
        <f>VLOOKUP(E727,Dim_Product!$A$2:$Q$61,4,FALSE)</f>
        <v/>
      </c>
      <c r="V727" s="12">
        <f>VLOOKUP(D727,Dim_Customer!$A$2:$I$121,6,FALSE)</f>
        <v/>
      </c>
      <c r="W727" s="12">
        <f>VLOOKUP(G727,Dim_Channel!$A$2:$B$5,2,FALSE)</f>
        <v/>
      </c>
      <c r="X727" s="12">
        <f>VLOOKUP(H727,Dim_Promotion!$A$2:$G$11,2,FALSE)</f>
        <v/>
      </c>
    </row>
    <row r="728">
      <c r="A728" s="4" t="inlineStr">
        <is>
          <t>SL0727</t>
        </is>
      </c>
      <c r="B728" t="inlineStr">
        <is>
          <t>O010364</t>
        </is>
      </c>
      <c r="C728" t="n">
        <v>20251130</v>
      </c>
      <c r="D728" s="4" t="inlineStr">
        <is>
          <t>C050</t>
        </is>
      </c>
      <c r="E728" s="4" t="inlineStr">
        <is>
          <t>P054</t>
        </is>
      </c>
      <c r="F728" t="inlineStr">
        <is>
          <t>S</t>
        </is>
      </c>
      <c r="G728" s="4" t="inlineStr">
        <is>
          <t>CH02</t>
        </is>
      </c>
      <c r="H728" s="4" t="inlineStr">
        <is>
          <t>PR08</t>
        </is>
      </c>
      <c r="I728" s="8" t="n">
        <v>72</v>
      </c>
      <c r="J728" s="9" t="n">
        <v>0.25</v>
      </c>
      <c r="K728" s="10">
        <f>I728*(1-J728)</f>
        <v/>
      </c>
      <c r="L728" s="11" t="n">
        <v>1</v>
      </c>
      <c r="M728" s="10">
        <f>K728*L728</f>
        <v/>
      </c>
      <c r="N728" s="8" t="n">
        <v>31.91</v>
      </c>
      <c r="O728" s="10">
        <f>N728*L728</f>
        <v/>
      </c>
      <c r="P728" s="10">
        <f>M728-O728</f>
        <v/>
      </c>
      <c r="Q728" s="11" t="inlineStr">
        <is>
          <t>No</t>
        </is>
      </c>
      <c r="R728" s="11" t="n">
        <v>0</v>
      </c>
      <c r="S728" s="10">
        <f>M728-(R728*K728)</f>
        <v/>
      </c>
      <c r="T728" s="12">
        <f>VLOOKUP(E728,Dim_Product!$A$2:$Q$61,3,FALSE)</f>
        <v/>
      </c>
      <c r="U728" s="12">
        <f>VLOOKUP(E728,Dim_Product!$A$2:$Q$61,4,FALSE)</f>
        <v/>
      </c>
      <c r="V728" s="12">
        <f>VLOOKUP(D728,Dim_Customer!$A$2:$I$121,6,FALSE)</f>
        <v/>
      </c>
      <c r="W728" s="12">
        <f>VLOOKUP(G728,Dim_Channel!$A$2:$B$5,2,FALSE)</f>
        <v/>
      </c>
      <c r="X728" s="12">
        <f>VLOOKUP(H728,Dim_Promotion!$A$2:$G$11,2,FALSE)</f>
        <v/>
      </c>
    </row>
    <row r="729">
      <c r="A729" s="4" t="inlineStr">
        <is>
          <t>SL0728</t>
        </is>
      </c>
      <c r="B729" t="inlineStr">
        <is>
          <t>O010364</t>
        </is>
      </c>
      <c r="C729" t="n">
        <v>20250804</v>
      </c>
      <c r="D729" s="4" t="inlineStr">
        <is>
          <t>C093</t>
        </is>
      </c>
      <c r="E729" s="4" t="inlineStr">
        <is>
          <t>P003</t>
        </is>
      </c>
      <c r="F729" t="inlineStr">
        <is>
          <t>M</t>
        </is>
      </c>
      <c r="G729" s="4" t="inlineStr">
        <is>
          <t>CH03</t>
        </is>
      </c>
      <c r="H729" s="4" t="inlineStr">
        <is>
          <t>PR00</t>
        </is>
      </c>
      <c r="I729" s="8" t="n">
        <v>43</v>
      </c>
      <c r="J729" s="9" t="n">
        <v>0</v>
      </c>
      <c r="K729" s="10">
        <f>I729*(1-J729)</f>
        <v/>
      </c>
      <c r="L729" s="11" t="n">
        <v>2</v>
      </c>
      <c r="M729" s="10">
        <f>K729*L729</f>
        <v/>
      </c>
      <c r="N729" s="8" t="n">
        <v>20.12</v>
      </c>
      <c r="O729" s="10">
        <f>N729*L729</f>
        <v/>
      </c>
      <c r="P729" s="10">
        <f>M729-O729</f>
        <v/>
      </c>
      <c r="Q729" s="11" t="inlineStr">
        <is>
          <t>No</t>
        </is>
      </c>
      <c r="R729" s="11" t="n">
        <v>0</v>
      </c>
      <c r="S729" s="10">
        <f>M729-(R729*K729)</f>
        <v/>
      </c>
      <c r="T729" s="12">
        <f>VLOOKUP(E729,Dim_Product!$A$2:$Q$61,3,FALSE)</f>
        <v/>
      </c>
      <c r="U729" s="12">
        <f>VLOOKUP(E729,Dim_Product!$A$2:$Q$61,4,FALSE)</f>
        <v/>
      </c>
      <c r="V729" s="12">
        <f>VLOOKUP(D729,Dim_Customer!$A$2:$I$121,6,FALSE)</f>
        <v/>
      </c>
      <c r="W729" s="12">
        <f>VLOOKUP(G729,Dim_Channel!$A$2:$B$5,2,FALSE)</f>
        <v/>
      </c>
      <c r="X729" s="12">
        <f>VLOOKUP(H729,Dim_Promotion!$A$2:$G$11,2,FALSE)</f>
        <v/>
      </c>
    </row>
    <row r="730">
      <c r="A730" s="4" t="inlineStr">
        <is>
          <t>SL0729</t>
        </is>
      </c>
      <c r="B730" t="inlineStr">
        <is>
          <t>O010365</t>
        </is>
      </c>
      <c r="C730" t="n">
        <v>20251024</v>
      </c>
      <c r="D730" s="4" t="inlineStr">
        <is>
          <t>C024</t>
        </is>
      </c>
      <c r="E730" s="4" t="inlineStr">
        <is>
          <t>P042</t>
        </is>
      </c>
      <c r="F730" t="inlineStr">
        <is>
          <t>L</t>
        </is>
      </c>
      <c r="G730" s="4" t="inlineStr">
        <is>
          <t>CH01</t>
        </is>
      </c>
      <c r="H730" s="4" t="inlineStr">
        <is>
          <t>PR00</t>
        </is>
      </c>
      <c r="I730" s="8" t="n">
        <v>77</v>
      </c>
      <c r="J730" s="9" t="n">
        <v>0.08</v>
      </c>
      <c r="K730" s="10">
        <f>I730*(1-J730)</f>
        <v/>
      </c>
      <c r="L730" s="11" t="n">
        <v>1</v>
      </c>
      <c r="M730" s="10">
        <f>K730*L730</f>
        <v/>
      </c>
      <c r="N730" s="8" t="n">
        <v>37.23</v>
      </c>
      <c r="O730" s="10">
        <f>N730*L730</f>
        <v/>
      </c>
      <c r="P730" s="10">
        <f>M730-O730</f>
        <v/>
      </c>
      <c r="Q730" s="11" t="inlineStr">
        <is>
          <t>No</t>
        </is>
      </c>
      <c r="R730" s="11" t="n">
        <v>0</v>
      </c>
      <c r="S730" s="10">
        <f>M730-(R730*K730)</f>
        <v/>
      </c>
      <c r="T730" s="12">
        <f>VLOOKUP(E730,Dim_Product!$A$2:$Q$61,3,FALSE)</f>
        <v/>
      </c>
      <c r="U730" s="12">
        <f>VLOOKUP(E730,Dim_Product!$A$2:$Q$61,4,FALSE)</f>
        <v/>
      </c>
      <c r="V730" s="12">
        <f>VLOOKUP(D730,Dim_Customer!$A$2:$I$121,6,FALSE)</f>
        <v/>
      </c>
      <c r="W730" s="12">
        <f>VLOOKUP(G730,Dim_Channel!$A$2:$B$5,2,FALSE)</f>
        <v/>
      </c>
      <c r="X730" s="12">
        <f>VLOOKUP(H730,Dim_Promotion!$A$2:$G$11,2,FALSE)</f>
        <v/>
      </c>
    </row>
    <row r="731">
      <c r="A731" s="4" t="inlineStr">
        <is>
          <t>SL0730</t>
        </is>
      </c>
      <c r="B731" t="inlineStr">
        <is>
          <t>O010365</t>
        </is>
      </c>
      <c r="C731" t="n">
        <v>20250825</v>
      </c>
      <c r="D731" s="4" t="inlineStr">
        <is>
          <t>C013</t>
        </is>
      </c>
      <c r="E731" s="4" t="inlineStr">
        <is>
          <t>P013</t>
        </is>
      </c>
      <c r="F731" t="inlineStr">
        <is>
          <t>S</t>
        </is>
      </c>
      <c r="G731" s="4" t="inlineStr">
        <is>
          <t>CH02</t>
        </is>
      </c>
      <c r="H731" s="4" t="inlineStr">
        <is>
          <t>PR00</t>
        </is>
      </c>
      <c r="I731" s="8" t="n">
        <v>62</v>
      </c>
      <c r="J731" s="9" t="n">
        <v>0</v>
      </c>
      <c r="K731" s="10">
        <f>I731*(1-J731)</f>
        <v/>
      </c>
      <c r="L731" s="11" t="n">
        <v>2</v>
      </c>
      <c r="M731" s="10">
        <f>K731*L731</f>
        <v/>
      </c>
      <c r="N731" s="8" t="n">
        <v>26.15</v>
      </c>
      <c r="O731" s="10">
        <f>N731*L731</f>
        <v/>
      </c>
      <c r="P731" s="10">
        <f>M731-O731</f>
        <v/>
      </c>
      <c r="Q731" s="11" t="inlineStr">
        <is>
          <t>No</t>
        </is>
      </c>
      <c r="R731" s="11" t="n">
        <v>0</v>
      </c>
      <c r="S731" s="10">
        <f>M731-(R731*K731)</f>
        <v/>
      </c>
      <c r="T731" s="12">
        <f>VLOOKUP(E731,Dim_Product!$A$2:$Q$61,3,FALSE)</f>
        <v/>
      </c>
      <c r="U731" s="12">
        <f>VLOOKUP(E731,Dim_Product!$A$2:$Q$61,4,FALSE)</f>
        <v/>
      </c>
      <c r="V731" s="12">
        <f>VLOOKUP(D731,Dim_Customer!$A$2:$I$121,6,FALSE)</f>
        <v/>
      </c>
      <c r="W731" s="12">
        <f>VLOOKUP(G731,Dim_Channel!$A$2:$B$5,2,FALSE)</f>
        <v/>
      </c>
      <c r="X731" s="12">
        <f>VLOOKUP(H731,Dim_Promotion!$A$2:$G$11,2,FALSE)</f>
        <v/>
      </c>
    </row>
    <row r="732">
      <c r="A732" s="4" t="inlineStr">
        <is>
          <t>SL0731</t>
        </is>
      </c>
      <c r="B732" t="inlineStr">
        <is>
          <t>O010366</t>
        </is>
      </c>
      <c r="C732" t="n">
        <v>20250506</v>
      </c>
      <c r="D732" s="4" t="inlineStr">
        <is>
          <t>C019</t>
        </is>
      </c>
      <c r="E732" s="4" t="inlineStr">
        <is>
          <t>P024</t>
        </is>
      </c>
      <c r="F732" t="inlineStr">
        <is>
          <t>XL</t>
        </is>
      </c>
      <c r="G732" s="4" t="inlineStr">
        <is>
          <t>CH01</t>
        </is>
      </c>
      <c r="H732" s="4" t="inlineStr">
        <is>
          <t>PR00</t>
        </is>
      </c>
      <c r="I732" s="8" t="n">
        <v>60</v>
      </c>
      <c r="J732" s="9" t="n">
        <v>0</v>
      </c>
      <c r="K732" s="10">
        <f>I732*(1-J732)</f>
        <v/>
      </c>
      <c r="L732" s="11" t="n">
        <v>1</v>
      </c>
      <c r="M732" s="10">
        <f>K732*L732</f>
        <v/>
      </c>
      <c r="N732" s="8" t="n">
        <v>27.17</v>
      </c>
      <c r="O732" s="10">
        <f>N732*L732</f>
        <v/>
      </c>
      <c r="P732" s="10">
        <f>M732-O732</f>
        <v/>
      </c>
      <c r="Q732" s="11" t="inlineStr">
        <is>
          <t>No</t>
        </is>
      </c>
      <c r="R732" s="11" t="n">
        <v>0</v>
      </c>
      <c r="S732" s="10">
        <f>M732-(R732*K732)</f>
        <v/>
      </c>
      <c r="T732" s="12">
        <f>VLOOKUP(E732,Dim_Product!$A$2:$Q$61,3,FALSE)</f>
        <v/>
      </c>
      <c r="U732" s="12">
        <f>VLOOKUP(E732,Dim_Product!$A$2:$Q$61,4,FALSE)</f>
        <v/>
      </c>
      <c r="V732" s="12">
        <f>VLOOKUP(D732,Dim_Customer!$A$2:$I$121,6,FALSE)</f>
        <v/>
      </c>
      <c r="W732" s="12">
        <f>VLOOKUP(G732,Dim_Channel!$A$2:$B$5,2,FALSE)</f>
        <v/>
      </c>
      <c r="X732" s="12">
        <f>VLOOKUP(H732,Dim_Promotion!$A$2:$G$11,2,FALSE)</f>
        <v/>
      </c>
    </row>
    <row r="733">
      <c r="A733" s="4" t="inlineStr">
        <is>
          <t>SL0732</t>
        </is>
      </c>
      <c r="B733" t="inlineStr">
        <is>
          <t>O010366</t>
        </is>
      </c>
      <c r="C733" t="n">
        <v>20250530</v>
      </c>
      <c r="D733" s="4" t="inlineStr">
        <is>
          <t>C034</t>
        </is>
      </c>
      <c r="E733" s="4" t="inlineStr">
        <is>
          <t>P008</t>
        </is>
      </c>
      <c r="F733" t="inlineStr">
        <is>
          <t>XL</t>
        </is>
      </c>
      <c r="G733" s="4" t="inlineStr">
        <is>
          <t>CH03</t>
        </is>
      </c>
      <c r="H733" s="4" t="inlineStr">
        <is>
          <t>PR00</t>
        </is>
      </c>
      <c r="I733" s="8" t="n">
        <v>50</v>
      </c>
      <c r="J733" s="9" t="n">
        <v>0</v>
      </c>
      <c r="K733" s="10">
        <f>I733*(1-J733)</f>
        <v/>
      </c>
      <c r="L733" s="11" t="n">
        <v>3</v>
      </c>
      <c r="M733" s="10">
        <f>K733*L733</f>
        <v/>
      </c>
      <c r="N733" s="8" t="n">
        <v>23.28</v>
      </c>
      <c r="O733" s="10">
        <f>N733*L733</f>
        <v/>
      </c>
      <c r="P733" s="10">
        <f>M733-O733</f>
        <v/>
      </c>
      <c r="Q733" s="11" t="inlineStr">
        <is>
          <t>No</t>
        </is>
      </c>
      <c r="R733" s="11" t="n">
        <v>0</v>
      </c>
      <c r="S733" s="10">
        <f>M733-(R733*K733)</f>
        <v/>
      </c>
      <c r="T733" s="12">
        <f>VLOOKUP(E733,Dim_Product!$A$2:$Q$61,3,FALSE)</f>
        <v/>
      </c>
      <c r="U733" s="12">
        <f>VLOOKUP(E733,Dim_Product!$A$2:$Q$61,4,FALSE)</f>
        <v/>
      </c>
      <c r="V733" s="12">
        <f>VLOOKUP(D733,Dim_Customer!$A$2:$I$121,6,FALSE)</f>
        <v/>
      </c>
      <c r="W733" s="12">
        <f>VLOOKUP(G733,Dim_Channel!$A$2:$B$5,2,FALSE)</f>
        <v/>
      </c>
      <c r="X733" s="12">
        <f>VLOOKUP(H733,Dim_Promotion!$A$2:$G$11,2,FALSE)</f>
        <v/>
      </c>
    </row>
    <row r="734">
      <c r="A734" s="4" t="inlineStr">
        <is>
          <t>SL0733</t>
        </is>
      </c>
      <c r="B734" t="inlineStr">
        <is>
          <t>O010367</t>
        </is>
      </c>
      <c r="C734" t="n">
        <v>20250127</v>
      </c>
      <c r="D734" s="4" t="inlineStr">
        <is>
          <t>C106</t>
        </is>
      </c>
      <c r="E734" s="4" t="inlineStr">
        <is>
          <t>P002</t>
        </is>
      </c>
      <c r="F734" t="inlineStr">
        <is>
          <t>XL</t>
        </is>
      </c>
      <c r="G734" s="4" t="inlineStr">
        <is>
          <t>CH04</t>
        </is>
      </c>
      <c r="H734" s="4" t="inlineStr">
        <is>
          <t>PR00</t>
        </is>
      </c>
      <c r="I734" s="8" t="n">
        <v>41</v>
      </c>
      <c r="J734" s="9" t="n">
        <v>0</v>
      </c>
      <c r="K734" s="10">
        <f>I734*(1-J734)</f>
        <v/>
      </c>
      <c r="L734" s="11" t="n">
        <v>1</v>
      </c>
      <c r="M734" s="10">
        <f>K734*L734</f>
        <v/>
      </c>
      <c r="N734" s="8" t="n">
        <v>16.77</v>
      </c>
      <c r="O734" s="10">
        <f>N734*L734</f>
        <v/>
      </c>
      <c r="P734" s="10">
        <f>M734-O734</f>
        <v/>
      </c>
      <c r="Q734" s="11" t="inlineStr">
        <is>
          <t>No</t>
        </is>
      </c>
      <c r="R734" s="11" t="n">
        <v>0</v>
      </c>
      <c r="S734" s="10">
        <f>M734-(R734*K734)</f>
        <v/>
      </c>
      <c r="T734" s="12">
        <f>VLOOKUP(E734,Dim_Product!$A$2:$Q$61,3,FALSE)</f>
        <v/>
      </c>
      <c r="U734" s="12">
        <f>VLOOKUP(E734,Dim_Product!$A$2:$Q$61,4,FALSE)</f>
        <v/>
      </c>
      <c r="V734" s="12">
        <f>VLOOKUP(D734,Dim_Customer!$A$2:$I$121,6,FALSE)</f>
        <v/>
      </c>
      <c r="W734" s="12">
        <f>VLOOKUP(G734,Dim_Channel!$A$2:$B$5,2,FALSE)</f>
        <v/>
      </c>
      <c r="X734" s="12">
        <f>VLOOKUP(H734,Dim_Promotion!$A$2:$G$11,2,FALSE)</f>
        <v/>
      </c>
    </row>
    <row r="735">
      <c r="A735" s="4" t="inlineStr">
        <is>
          <t>SL0734</t>
        </is>
      </c>
      <c r="B735" t="inlineStr">
        <is>
          <t>O010367</t>
        </is>
      </c>
      <c r="C735" t="n">
        <v>20251115</v>
      </c>
      <c r="D735" s="4" t="inlineStr">
        <is>
          <t>C114</t>
        </is>
      </c>
      <c r="E735" s="4" t="inlineStr">
        <is>
          <t>P024</t>
        </is>
      </c>
      <c r="F735" t="inlineStr">
        <is>
          <t>XL</t>
        </is>
      </c>
      <c r="G735" s="4" t="inlineStr">
        <is>
          <t>CH04</t>
        </is>
      </c>
      <c r="H735" s="4" t="inlineStr">
        <is>
          <t>PR00</t>
        </is>
      </c>
      <c r="I735" s="8" t="n">
        <v>60</v>
      </c>
      <c r="J735" s="9" t="n">
        <v>0</v>
      </c>
      <c r="K735" s="10">
        <f>I735*(1-J735)</f>
        <v/>
      </c>
      <c r="L735" s="11" t="n">
        <v>2</v>
      </c>
      <c r="M735" s="10">
        <f>K735*L735</f>
        <v/>
      </c>
      <c r="N735" s="8" t="n">
        <v>27.67</v>
      </c>
      <c r="O735" s="10">
        <f>N735*L735</f>
        <v/>
      </c>
      <c r="P735" s="10">
        <f>M735-O735</f>
        <v/>
      </c>
      <c r="Q735" s="11" t="inlineStr">
        <is>
          <t>No</t>
        </is>
      </c>
      <c r="R735" s="11" t="n">
        <v>0</v>
      </c>
      <c r="S735" s="10">
        <f>M735-(R735*K735)</f>
        <v/>
      </c>
      <c r="T735" s="12">
        <f>VLOOKUP(E735,Dim_Product!$A$2:$Q$61,3,FALSE)</f>
        <v/>
      </c>
      <c r="U735" s="12">
        <f>VLOOKUP(E735,Dim_Product!$A$2:$Q$61,4,FALSE)</f>
        <v/>
      </c>
      <c r="V735" s="12">
        <f>VLOOKUP(D735,Dim_Customer!$A$2:$I$121,6,FALSE)</f>
        <v/>
      </c>
      <c r="W735" s="12">
        <f>VLOOKUP(G735,Dim_Channel!$A$2:$B$5,2,FALSE)</f>
        <v/>
      </c>
      <c r="X735" s="12">
        <f>VLOOKUP(H735,Dim_Promotion!$A$2:$G$11,2,FALSE)</f>
        <v/>
      </c>
    </row>
    <row r="736">
      <c r="A736" s="4" t="inlineStr">
        <is>
          <t>SL0735</t>
        </is>
      </c>
      <c r="B736" t="inlineStr">
        <is>
          <t>O010368</t>
        </is>
      </c>
      <c r="C736" t="n">
        <v>20250206</v>
      </c>
      <c r="D736" s="4" t="inlineStr">
        <is>
          <t>C065</t>
        </is>
      </c>
      <c r="E736" s="4" t="inlineStr">
        <is>
          <t>P019</t>
        </is>
      </c>
      <c r="F736" t="inlineStr">
        <is>
          <t>M</t>
        </is>
      </c>
      <c r="G736" s="4" t="inlineStr">
        <is>
          <t>CH02</t>
        </is>
      </c>
      <c r="H736" s="4" t="inlineStr">
        <is>
          <t>PR00</t>
        </is>
      </c>
      <c r="I736" s="8" t="n">
        <v>64</v>
      </c>
      <c r="J736" s="9" t="n">
        <v>0</v>
      </c>
      <c r="K736" s="10">
        <f>I736*(1-J736)</f>
        <v/>
      </c>
      <c r="L736" s="11" t="n">
        <v>2</v>
      </c>
      <c r="M736" s="10">
        <f>K736*L736</f>
        <v/>
      </c>
      <c r="N736" s="8" t="n">
        <v>31.43</v>
      </c>
      <c r="O736" s="10">
        <f>N736*L736</f>
        <v/>
      </c>
      <c r="P736" s="10">
        <f>M736-O736</f>
        <v/>
      </c>
      <c r="Q736" s="11" t="inlineStr">
        <is>
          <t>No</t>
        </is>
      </c>
      <c r="R736" s="11" t="n">
        <v>0</v>
      </c>
      <c r="S736" s="10">
        <f>M736-(R736*K736)</f>
        <v/>
      </c>
      <c r="T736" s="12">
        <f>VLOOKUP(E736,Dim_Product!$A$2:$Q$61,3,FALSE)</f>
        <v/>
      </c>
      <c r="U736" s="12">
        <f>VLOOKUP(E736,Dim_Product!$A$2:$Q$61,4,FALSE)</f>
        <v/>
      </c>
      <c r="V736" s="12">
        <f>VLOOKUP(D736,Dim_Customer!$A$2:$I$121,6,FALSE)</f>
        <v/>
      </c>
      <c r="W736" s="12">
        <f>VLOOKUP(G736,Dim_Channel!$A$2:$B$5,2,FALSE)</f>
        <v/>
      </c>
      <c r="X736" s="12">
        <f>VLOOKUP(H736,Dim_Promotion!$A$2:$G$11,2,FALSE)</f>
        <v/>
      </c>
    </row>
    <row r="737">
      <c r="A737" s="4" t="inlineStr">
        <is>
          <t>SL0736</t>
        </is>
      </c>
      <c r="B737" t="inlineStr">
        <is>
          <t>O010368</t>
        </is>
      </c>
      <c r="C737" t="n">
        <v>20251017</v>
      </c>
      <c r="D737" s="4" t="inlineStr">
        <is>
          <t>C041</t>
        </is>
      </c>
      <c r="E737" s="4" t="inlineStr">
        <is>
          <t>P010</t>
        </is>
      </c>
      <c r="F737" t="inlineStr">
        <is>
          <t>XL</t>
        </is>
      </c>
      <c r="G737" s="4" t="inlineStr">
        <is>
          <t>CH02</t>
        </is>
      </c>
      <c r="H737" s="4" t="inlineStr">
        <is>
          <t>PR00</t>
        </is>
      </c>
      <c r="I737" s="8" t="n">
        <v>46</v>
      </c>
      <c r="J737" s="9" t="n">
        <v>0</v>
      </c>
      <c r="K737" s="10">
        <f>I737*(1-J737)</f>
        <v/>
      </c>
      <c r="L737" s="11" t="n">
        <v>1</v>
      </c>
      <c r="M737" s="10">
        <f>K737*L737</f>
        <v/>
      </c>
      <c r="N737" s="8" t="n">
        <v>20.3</v>
      </c>
      <c r="O737" s="10">
        <f>N737*L737</f>
        <v/>
      </c>
      <c r="P737" s="10">
        <f>M737-O737</f>
        <v/>
      </c>
      <c r="Q737" s="11" t="inlineStr">
        <is>
          <t>No</t>
        </is>
      </c>
      <c r="R737" s="11" t="n">
        <v>0</v>
      </c>
      <c r="S737" s="10">
        <f>M737-(R737*K737)</f>
        <v/>
      </c>
      <c r="T737" s="12">
        <f>VLOOKUP(E737,Dim_Product!$A$2:$Q$61,3,FALSE)</f>
        <v/>
      </c>
      <c r="U737" s="12">
        <f>VLOOKUP(E737,Dim_Product!$A$2:$Q$61,4,FALSE)</f>
        <v/>
      </c>
      <c r="V737" s="12">
        <f>VLOOKUP(D737,Dim_Customer!$A$2:$I$121,6,FALSE)</f>
        <v/>
      </c>
      <c r="W737" s="12">
        <f>VLOOKUP(G737,Dim_Channel!$A$2:$B$5,2,FALSE)</f>
        <v/>
      </c>
      <c r="X737" s="12">
        <f>VLOOKUP(H737,Dim_Promotion!$A$2:$G$11,2,FALSE)</f>
        <v/>
      </c>
    </row>
    <row r="738">
      <c r="A738" s="4" t="inlineStr">
        <is>
          <t>SL0737</t>
        </is>
      </c>
      <c r="B738" t="inlineStr">
        <is>
          <t>O010369</t>
        </is>
      </c>
      <c r="C738" t="n">
        <v>20250407</v>
      </c>
      <c r="D738" s="4" t="inlineStr">
        <is>
          <t>C034</t>
        </is>
      </c>
      <c r="E738" s="4" t="inlineStr">
        <is>
          <t>P027</t>
        </is>
      </c>
      <c r="F738" t="inlineStr">
        <is>
          <t>M</t>
        </is>
      </c>
      <c r="G738" s="4" t="inlineStr">
        <is>
          <t>CH02</t>
        </is>
      </c>
      <c r="H738" s="4" t="inlineStr">
        <is>
          <t>PR00</t>
        </is>
      </c>
      <c r="I738" s="8" t="n">
        <v>91</v>
      </c>
      <c r="J738" s="9" t="n">
        <v>0</v>
      </c>
      <c r="K738" s="10">
        <f>I738*(1-J738)</f>
        <v/>
      </c>
      <c r="L738" s="11" t="n">
        <v>3</v>
      </c>
      <c r="M738" s="10">
        <f>K738*L738</f>
        <v/>
      </c>
      <c r="N738" s="8" t="n">
        <v>46.41</v>
      </c>
      <c r="O738" s="10">
        <f>N738*L738</f>
        <v/>
      </c>
      <c r="P738" s="10">
        <f>M738-O738</f>
        <v/>
      </c>
      <c r="Q738" s="11" t="inlineStr">
        <is>
          <t>No</t>
        </is>
      </c>
      <c r="R738" s="11" t="n">
        <v>0</v>
      </c>
      <c r="S738" s="10">
        <f>M738-(R738*K738)</f>
        <v/>
      </c>
      <c r="T738" s="12">
        <f>VLOOKUP(E738,Dim_Product!$A$2:$Q$61,3,FALSE)</f>
        <v/>
      </c>
      <c r="U738" s="12">
        <f>VLOOKUP(E738,Dim_Product!$A$2:$Q$61,4,FALSE)</f>
        <v/>
      </c>
      <c r="V738" s="12">
        <f>VLOOKUP(D738,Dim_Customer!$A$2:$I$121,6,FALSE)</f>
        <v/>
      </c>
      <c r="W738" s="12">
        <f>VLOOKUP(G738,Dim_Channel!$A$2:$B$5,2,FALSE)</f>
        <v/>
      </c>
      <c r="X738" s="12">
        <f>VLOOKUP(H738,Dim_Promotion!$A$2:$G$11,2,FALSE)</f>
        <v/>
      </c>
    </row>
    <row r="739">
      <c r="A739" s="4" t="inlineStr">
        <is>
          <t>SL0738</t>
        </is>
      </c>
      <c r="B739" t="inlineStr">
        <is>
          <t>O010369</t>
        </is>
      </c>
      <c r="C739" t="n">
        <v>20250103</v>
      </c>
      <c r="D739" s="4" t="inlineStr">
        <is>
          <t>C063</t>
        </is>
      </c>
      <c r="E739" s="4" t="inlineStr">
        <is>
          <t>P032</t>
        </is>
      </c>
      <c r="F739" t="inlineStr">
        <is>
          <t>S</t>
        </is>
      </c>
      <c r="G739" s="4" t="inlineStr">
        <is>
          <t>CH01</t>
        </is>
      </c>
      <c r="H739" s="4" t="inlineStr">
        <is>
          <t>PR00</t>
        </is>
      </c>
      <c r="I739" s="8" t="n">
        <v>116</v>
      </c>
      <c r="J739" s="9" t="n">
        <v>0</v>
      </c>
      <c r="K739" s="10">
        <f>I739*(1-J739)</f>
        <v/>
      </c>
      <c r="L739" s="11" t="n">
        <v>1</v>
      </c>
      <c r="M739" s="10">
        <f>K739*L739</f>
        <v/>
      </c>
      <c r="N739" s="8" t="n">
        <v>56.05</v>
      </c>
      <c r="O739" s="10">
        <f>N739*L739</f>
        <v/>
      </c>
      <c r="P739" s="10">
        <f>M739-O739</f>
        <v/>
      </c>
      <c r="Q739" s="11" t="inlineStr">
        <is>
          <t>No</t>
        </is>
      </c>
      <c r="R739" s="11" t="n">
        <v>0</v>
      </c>
      <c r="S739" s="10">
        <f>M739-(R739*K739)</f>
        <v/>
      </c>
      <c r="T739" s="12">
        <f>VLOOKUP(E739,Dim_Product!$A$2:$Q$61,3,FALSE)</f>
        <v/>
      </c>
      <c r="U739" s="12">
        <f>VLOOKUP(E739,Dim_Product!$A$2:$Q$61,4,FALSE)</f>
        <v/>
      </c>
      <c r="V739" s="12">
        <f>VLOOKUP(D739,Dim_Customer!$A$2:$I$121,6,FALSE)</f>
        <v/>
      </c>
      <c r="W739" s="12">
        <f>VLOOKUP(G739,Dim_Channel!$A$2:$B$5,2,FALSE)</f>
        <v/>
      </c>
      <c r="X739" s="12">
        <f>VLOOKUP(H739,Dim_Promotion!$A$2:$G$11,2,FALSE)</f>
        <v/>
      </c>
    </row>
    <row r="740">
      <c r="A740" s="4" t="inlineStr">
        <is>
          <t>SL0739</t>
        </is>
      </c>
      <c r="B740" t="inlineStr">
        <is>
          <t>O010370</t>
        </is>
      </c>
      <c r="C740" t="n">
        <v>20251229</v>
      </c>
      <c r="D740" s="4" t="inlineStr">
        <is>
          <t>C039</t>
        </is>
      </c>
      <c r="E740" s="4" t="inlineStr">
        <is>
          <t>P050</t>
        </is>
      </c>
      <c r="F740" t="inlineStr">
        <is>
          <t>L</t>
        </is>
      </c>
      <c r="G740" s="4" t="inlineStr">
        <is>
          <t>CH01</t>
        </is>
      </c>
      <c r="H740" s="4" t="inlineStr">
        <is>
          <t>PR00</t>
        </is>
      </c>
      <c r="I740" s="8" t="n">
        <v>68</v>
      </c>
      <c r="J740" s="9" t="n">
        <v>0</v>
      </c>
      <c r="K740" s="10">
        <f>I740*(1-J740)</f>
        <v/>
      </c>
      <c r="L740" s="11" t="n">
        <v>1</v>
      </c>
      <c r="M740" s="10">
        <f>K740*L740</f>
        <v/>
      </c>
      <c r="N740" s="8" t="n">
        <v>29.57</v>
      </c>
      <c r="O740" s="10">
        <f>N740*L740</f>
        <v/>
      </c>
      <c r="P740" s="10">
        <f>M740-O740</f>
        <v/>
      </c>
      <c r="Q740" s="11" t="inlineStr">
        <is>
          <t>No</t>
        </is>
      </c>
      <c r="R740" s="11" t="n">
        <v>0</v>
      </c>
      <c r="S740" s="10">
        <f>M740-(R740*K740)</f>
        <v/>
      </c>
      <c r="T740" s="12">
        <f>VLOOKUP(E740,Dim_Product!$A$2:$Q$61,3,FALSE)</f>
        <v/>
      </c>
      <c r="U740" s="12">
        <f>VLOOKUP(E740,Dim_Product!$A$2:$Q$61,4,FALSE)</f>
        <v/>
      </c>
      <c r="V740" s="12">
        <f>VLOOKUP(D740,Dim_Customer!$A$2:$I$121,6,FALSE)</f>
        <v/>
      </c>
      <c r="W740" s="12">
        <f>VLOOKUP(G740,Dim_Channel!$A$2:$B$5,2,FALSE)</f>
        <v/>
      </c>
      <c r="X740" s="12">
        <f>VLOOKUP(H740,Dim_Promotion!$A$2:$G$11,2,FALSE)</f>
        <v/>
      </c>
    </row>
    <row r="741">
      <c r="A741" s="4" t="inlineStr">
        <is>
          <t>SL0740</t>
        </is>
      </c>
      <c r="B741" t="inlineStr">
        <is>
          <t>O010370</t>
        </is>
      </c>
      <c r="C741" t="n">
        <v>20251125</v>
      </c>
      <c r="D741" s="4" t="inlineStr">
        <is>
          <t>C098</t>
        </is>
      </c>
      <c r="E741" s="4" t="inlineStr">
        <is>
          <t>P018</t>
        </is>
      </c>
      <c r="F741" t="inlineStr">
        <is>
          <t>XS</t>
        </is>
      </c>
      <c r="G741" s="4" t="inlineStr">
        <is>
          <t>CH01</t>
        </is>
      </c>
      <c r="H741" s="4" t="inlineStr">
        <is>
          <t>PR00</t>
        </is>
      </c>
      <c r="I741" s="8" t="n">
        <v>65</v>
      </c>
      <c r="J741" s="9" t="n">
        <v>0</v>
      </c>
      <c r="K741" s="10">
        <f>I741*(1-J741)</f>
        <v/>
      </c>
      <c r="L741" s="11" t="n">
        <v>1</v>
      </c>
      <c r="M741" s="10">
        <f>K741*L741</f>
        <v/>
      </c>
      <c r="N741" s="8" t="n">
        <v>31.82</v>
      </c>
      <c r="O741" s="10">
        <f>N741*L741</f>
        <v/>
      </c>
      <c r="P741" s="10">
        <f>M741-O741</f>
        <v/>
      </c>
      <c r="Q741" s="11" t="inlineStr">
        <is>
          <t>No</t>
        </is>
      </c>
      <c r="R741" s="11" t="n">
        <v>0</v>
      </c>
      <c r="S741" s="10">
        <f>M741-(R741*K741)</f>
        <v/>
      </c>
      <c r="T741" s="12">
        <f>VLOOKUP(E741,Dim_Product!$A$2:$Q$61,3,FALSE)</f>
        <v/>
      </c>
      <c r="U741" s="12">
        <f>VLOOKUP(E741,Dim_Product!$A$2:$Q$61,4,FALSE)</f>
        <v/>
      </c>
      <c r="V741" s="12">
        <f>VLOOKUP(D741,Dim_Customer!$A$2:$I$121,6,FALSE)</f>
        <v/>
      </c>
      <c r="W741" s="12">
        <f>VLOOKUP(G741,Dim_Channel!$A$2:$B$5,2,FALSE)</f>
        <v/>
      </c>
      <c r="X741" s="12">
        <f>VLOOKUP(H741,Dim_Promotion!$A$2:$G$11,2,FALSE)</f>
        <v/>
      </c>
    </row>
    <row r="742">
      <c r="A742" s="4" t="inlineStr">
        <is>
          <t>SL0741</t>
        </is>
      </c>
      <c r="B742" t="inlineStr">
        <is>
          <t>O010371</t>
        </is>
      </c>
      <c r="C742" t="n">
        <v>20251116</v>
      </c>
      <c r="D742" s="4" t="inlineStr">
        <is>
          <t>C077</t>
        </is>
      </c>
      <c r="E742" s="4" t="inlineStr">
        <is>
          <t>P023</t>
        </is>
      </c>
      <c r="F742" t="inlineStr">
        <is>
          <t>M</t>
        </is>
      </c>
      <c r="G742" s="4" t="inlineStr">
        <is>
          <t>CH02</t>
        </is>
      </c>
      <c r="H742" s="4" t="inlineStr">
        <is>
          <t>PR00</t>
        </is>
      </c>
      <c r="I742" s="8" t="n">
        <v>57</v>
      </c>
      <c r="J742" s="9" t="n">
        <v>0</v>
      </c>
      <c r="K742" s="10">
        <f>I742*(1-J742)</f>
        <v/>
      </c>
      <c r="L742" s="11" t="n">
        <v>1</v>
      </c>
      <c r="M742" s="10">
        <f>K742*L742</f>
        <v/>
      </c>
      <c r="N742" s="8" t="n">
        <v>26.68</v>
      </c>
      <c r="O742" s="10">
        <f>N742*L742</f>
        <v/>
      </c>
      <c r="P742" s="10">
        <f>M742-O742</f>
        <v/>
      </c>
      <c r="Q742" s="11" t="inlineStr">
        <is>
          <t>No</t>
        </is>
      </c>
      <c r="R742" s="11" t="n">
        <v>0</v>
      </c>
      <c r="S742" s="10">
        <f>M742-(R742*K742)</f>
        <v/>
      </c>
      <c r="T742" s="12">
        <f>VLOOKUP(E742,Dim_Product!$A$2:$Q$61,3,FALSE)</f>
        <v/>
      </c>
      <c r="U742" s="12">
        <f>VLOOKUP(E742,Dim_Product!$A$2:$Q$61,4,FALSE)</f>
        <v/>
      </c>
      <c r="V742" s="12">
        <f>VLOOKUP(D742,Dim_Customer!$A$2:$I$121,6,FALSE)</f>
        <v/>
      </c>
      <c r="W742" s="12">
        <f>VLOOKUP(G742,Dim_Channel!$A$2:$B$5,2,FALSE)</f>
        <v/>
      </c>
      <c r="X742" s="12">
        <f>VLOOKUP(H742,Dim_Promotion!$A$2:$G$11,2,FALSE)</f>
        <v/>
      </c>
    </row>
    <row r="743">
      <c r="A743" s="4" t="inlineStr">
        <is>
          <t>SL0742</t>
        </is>
      </c>
      <c r="B743" t="inlineStr">
        <is>
          <t>O010371</t>
        </is>
      </c>
      <c r="C743" t="n">
        <v>20250513</v>
      </c>
      <c r="D743" s="4" t="inlineStr">
        <is>
          <t>C104</t>
        </is>
      </c>
      <c r="E743" s="4" t="inlineStr">
        <is>
          <t>P025</t>
        </is>
      </c>
      <c r="F743" t="inlineStr">
        <is>
          <t>XL</t>
        </is>
      </c>
      <c r="G743" s="4" t="inlineStr">
        <is>
          <t>CH02</t>
        </is>
      </c>
      <c r="H743" s="4" t="inlineStr">
        <is>
          <t>PR00</t>
        </is>
      </c>
      <c r="I743" s="8" t="n">
        <v>95</v>
      </c>
      <c r="J743" s="9" t="n">
        <v>0</v>
      </c>
      <c r="K743" s="10">
        <f>I743*(1-J743)</f>
        <v/>
      </c>
      <c r="L743" s="11" t="n">
        <v>1</v>
      </c>
      <c r="M743" s="10">
        <f>K743*L743</f>
        <v/>
      </c>
      <c r="N743" s="8" t="n">
        <v>44.22</v>
      </c>
      <c r="O743" s="10">
        <f>N743*L743</f>
        <v/>
      </c>
      <c r="P743" s="10">
        <f>M743-O743</f>
        <v/>
      </c>
      <c r="Q743" s="11" t="inlineStr">
        <is>
          <t>No</t>
        </is>
      </c>
      <c r="R743" s="11" t="n">
        <v>0</v>
      </c>
      <c r="S743" s="10">
        <f>M743-(R743*K743)</f>
        <v/>
      </c>
      <c r="T743" s="12">
        <f>VLOOKUP(E743,Dim_Product!$A$2:$Q$61,3,FALSE)</f>
        <v/>
      </c>
      <c r="U743" s="12">
        <f>VLOOKUP(E743,Dim_Product!$A$2:$Q$61,4,FALSE)</f>
        <v/>
      </c>
      <c r="V743" s="12">
        <f>VLOOKUP(D743,Dim_Customer!$A$2:$I$121,6,FALSE)</f>
        <v/>
      </c>
      <c r="W743" s="12">
        <f>VLOOKUP(G743,Dim_Channel!$A$2:$B$5,2,FALSE)</f>
        <v/>
      </c>
      <c r="X743" s="12">
        <f>VLOOKUP(H743,Dim_Promotion!$A$2:$G$11,2,FALSE)</f>
        <v/>
      </c>
    </row>
    <row r="744">
      <c r="A744" s="4" t="inlineStr">
        <is>
          <t>SL0743</t>
        </is>
      </c>
      <c r="B744" t="inlineStr">
        <is>
          <t>O010372</t>
        </is>
      </c>
      <c r="C744" t="n">
        <v>20250429</v>
      </c>
      <c r="D744" s="4" t="inlineStr">
        <is>
          <t>C022</t>
        </is>
      </c>
      <c r="E744" s="4" t="inlineStr">
        <is>
          <t>P036</t>
        </is>
      </c>
      <c r="F744" t="inlineStr">
        <is>
          <t>L</t>
        </is>
      </c>
      <c r="G744" s="4" t="inlineStr">
        <is>
          <t>CH04</t>
        </is>
      </c>
      <c r="H744" s="4" t="inlineStr">
        <is>
          <t>PR00</t>
        </is>
      </c>
      <c r="I744" s="8" t="n">
        <v>88</v>
      </c>
      <c r="J744" s="9" t="n">
        <v>0</v>
      </c>
      <c r="K744" s="10">
        <f>I744*(1-J744)</f>
        <v/>
      </c>
      <c r="L744" s="11" t="n">
        <v>2</v>
      </c>
      <c r="M744" s="10">
        <f>K744*L744</f>
        <v/>
      </c>
      <c r="N744" s="8" t="n">
        <v>43.09</v>
      </c>
      <c r="O744" s="10">
        <f>N744*L744</f>
        <v/>
      </c>
      <c r="P744" s="10">
        <f>M744-O744</f>
        <v/>
      </c>
      <c r="Q744" s="11" t="inlineStr">
        <is>
          <t>No</t>
        </is>
      </c>
      <c r="R744" s="11" t="n">
        <v>0</v>
      </c>
      <c r="S744" s="10">
        <f>M744-(R744*K744)</f>
        <v/>
      </c>
      <c r="T744" s="12">
        <f>VLOOKUP(E744,Dim_Product!$A$2:$Q$61,3,FALSE)</f>
        <v/>
      </c>
      <c r="U744" s="12">
        <f>VLOOKUP(E744,Dim_Product!$A$2:$Q$61,4,FALSE)</f>
        <v/>
      </c>
      <c r="V744" s="12">
        <f>VLOOKUP(D744,Dim_Customer!$A$2:$I$121,6,FALSE)</f>
        <v/>
      </c>
      <c r="W744" s="12">
        <f>VLOOKUP(G744,Dim_Channel!$A$2:$B$5,2,FALSE)</f>
        <v/>
      </c>
      <c r="X744" s="12">
        <f>VLOOKUP(H744,Dim_Promotion!$A$2:$G$11,2,FALSE)</f>
        <v/>
      </c>
    </row>
    <row r="745">
      <c r="A745" s="4" t="inlineStr">
        <is>
          <t>SL0744</t>
        </is>
      </c>
      <c r="B745" t="inlineStr">
        <is>
          <t>O010372</t>
        </is>
      </c>
      <c r="C745" t="n">
        <v>20250917</v>
      </c>
      <c r="D745" s="4" t="inlineStr">
        <is>
          <t>C027</t>
        </is>
      </c>
      <c r="E745" s="4" t="inlineStr">
        <is>
          <t>P020</t>
        </is>
      </c>
      <c r="F745" t="inlineStr">
        <is>
          <t>S</t>
        </is>
      </c>
      <c r="G745" s="4" t="inlineStr">
        <is>
          <t>CH02</t>
        </is>
      </c>
      <c r="H745" s="4" t="inlineStr">
        <is>
          <t>PR00</t>
        </is>
      </c>
      <c r="I745" s="8" t="n">
        <v>64</v>
      </c>
      <c r="J745" s="9" t="n">
        <v>0</v>
      </c>
      <c r="K745" s="10">
        <f>I745*(1-J745)</f>
        <v/>
      </c>
      <c r="L745" s="11" t="n">
        <v>1</v>
      </c>
      <c r="M745" s="10">
        <f>K745*L745</f>
        <v/>
      </c>
      <c r="N745" s="8" t="n">
        <v>29.69</v>
      </c>
      <c r="O745" s="10">
        <f>N745*L745</f>
        <v/>
      </c>
      <c r="P745" s="10">
        <f>M745-O745</f>
        <v/>
      </c>
      <c r="Q745" s="11" t="inlineStr">
        <is>
          <t>No</t>
        </is>
      </c>
      <c r="R745" s="11" t="n">
        <v>0</v>
      </c>
      <c r="S745" s="10">
        <f>M745-(R745*K745)</f>
        <v/>
      </c>
      <c r="T745" s="12">
        <f>VLOOKUP(E745,Dim_Product!$A$2:$Q$61,3,FALSE)</f>
        <v/>
      </c>
      <c r="U745" s="12">
        <f>VLOOKUP(E745,Dim_Product!$A$2:$Q$61,4,FALSE)</f>
        <v/>
      </c>
      <c r="V745" s="12">
        <f>VLOOKUP(D745,Dim_Customer!$A$2:$I$121,6,FALSE)</f>
        <v/>
      </c>
      <c r="W745" s="12">
        <f>VLOOKUP(G745,Dim_Channel!$A$2:$B$5,2,FALSE)</f>
        <v/>
      </c>
      <c r="X745" s="12">
        <f>VLOOKUP(H745,Dim_Promotion!$A$2:$G$11,2,FALSE)</f>
        <v/>
      </c>
    </row>
    <row r="746">
      <c r="A746" s="4" t="inlineStr">
        <is>
          <t>SL0745</t>
        </is>
      </c>
      <c r="B746" t="inlineStr">
        <is>
          <t>O010373</t>
        </is>
      </c>
      <c r="C746" t="n">
        <v>20250618</v>
      </c>
      <c r="D746" s="4" t="inlineStr">
        <is>
          <t>C094</t>
        </is>
      </c>
      <c r="E746" s="4" t="inlineStr">
        <is>
          <t>P014</t>
        </is>
      </c>
      <c r="F746" t="inlineStr">
        <is>
          <t>XL</t>
        </is>
      </c>
      <c r="G746" s="4" t="inlineStr">
        <is>
          <t>CH03</t>
        </is>
      </c>
      <c r="H746" s="4" t="inlineStr">
        <is>
          <t>PR00</t>
        </is>
      </c>
      <c r="I746" s="8" t="n">
        <v>62</v>
      </c>
      <c r="J746" s="9" t="n">
        <v>0</v>
      </c>
      <c r="K746" s="10">
        <f>I746*(1-J746)</f>
        <v/>
      </c>
      <c r="L746" s="11" t="n">
        <v>1</v>
      </c>
      <c r="M746" s="10">
        <f>K746*L746</f>
        <v/>
      </c>
      <c r="N746" s="8" t="n">
        <v>27.25</v>
      </c>
      <c r="O746" s="10">
        <f>N746*L746</f>
        <v/>
      </c>
      <c r="P746" s="10">
        <f>M746-O746</f>
        <v/>
      </c>
      <c r="Q746" s="11" t="inlineStr">
        <is>
          <t>No</t>
        </is>
      </c>
      <c r="R746" s="11" t="n">
        <v>0</v>
      </c>
      <c r="S746" s="10">
        <f>M746-(R746*K746)</f>
        <v/>
      </c>
      <c r="T746" s="12">
        <f>VLOOKUP(E746,Dim_Product!$A$2:$Q$61,3,FALSE)</f>
        <v/>
      </c>
      <c r="U746" s="12">
        <f>VLOOKUP(E746,Dim_Product!$A$2:$Q$61,4,FALSE)</f>
        <v/>
      </c>
      <c r="V746" s="12">
        <f>VLOOKUP(D746,Dim_Customer!$A$2:$I$121,6,FALSE)</f>
        <v/>
      </c>
      <c r="W746" s="12">
        <f>VLOOKUP(G746,Dim_Channel!$A$2:$B$5,2,FALSE)</f>
        <v/>
      </c>
      <c r="X746" s="12">
        <f>VLOOKUP(H746,Dim_Promotion!$A$2:$G$11,2,FALSE)</f>
        <v/>
      </c>
    </row>
    <row r="747">
      <c r="A747" s="4" t="inlineStr">
        <is>
          <t>SL0746</t>
        </is>
      </c>
      <c r="B747" t="inlineStr">
        <is>
          <t>O010373</t>
        </is>
      </c>
      <c r="C747" t="n">
        <v>20250508</v>
      </c>
      <c r="D747" s="4" t="inlineStr">
        <is>
          <t>C081</t>
        </is>
      </c>
      <c r="E747" s="4" t="inlineStr">
        <is>
          <t>P045</t>
        </is>
      </c>
      <c r="F747" t="inlineStr">
        <is>
          <t>S</t>
        </is>
      </c>
      <c r="G747" s="4" t="inlineStr">
        <is>
          <t>CH01</t>
        </is>
      </c>
      <c r="H747" s="4" t="inlineStr">
        <is>
          <t>PR00</t>
        </is>
      </c>
      <c r="I747" s="8" t="n">
        <v>66</v>
      </c>
      <c r="J747" s="9" t="n">
        <v>0</v>
      </c>
      <c r="K747" s="10">
        <f>I747*(1-J747)</f>
        <v/>
      </c>
      <c r="L747" s="11" t="n">
        <v>2</v>
      </c>
      <c r="M747" s="10">
        <f>K747*L747</f>
        <v/>
      </c>
      <c r="N747" s="8" t="n">
        <v>34.08</v>
      </c>
      <c r="O747" s="10">
        <f>N747*L747</f>
        <v/>
      </c>
      <c r="P747" s="10">
        <f>M747-O747</f>
        <v/>
      </c>
      <c r="Q747" s="11" t="inlineStr">
        <is>
          <t>No</t>
        </is>
      </c>
      <c r="R747" s="11" t="n">
        <v>0</v>
      </c>
      <c r="S747" s="10">
        <f>M747-(R747*K747)</f>
        <v/>
      </c>
      <c r="T747" s="12">
        <f>VLOOKUP(E747,Dim_Product!$A$2:$Q$61,3,FALSE)</f>
        <v/>
      </c>
      <c r="U747" s="12">
        <f>VLOOKUP(E747,Dim_Product!$A$2:$Q$61,4,FALSE)</f>
        <v/>
      </c>
      <c r="V747" s="12">
        <f>VLOOKUP(D747,Dim_Customer!$A$2:$I$121,6,FALSE)</f>
        <v/>
      </c>
      <c r="W747" s="12">
        <f>VLOOKUP(G747,Dim_Channel!$A$2:$B$5,2,FALSE)</f>
        <v/>
      </c>
      <c r="X747" s="12">
        <f>VLOOKUP(H747,Dim_Promotion!$A$2:$G$11,2,FALSE)</f>
        <v/>
      </c>
    </row>
    <row r="748">
      <c r="A748" s="4" t="inlineStr">
        <is>
          <t>SL0747</t>
        </is>
      </c>
      <c r="B748" t="inlineStr">
        <is>
          <t>O010374</t>
        </is>
      </c>
      <c r="C748" t="n">
        <v>20250217</v>
      </c>
      <c r="D748" s="4" t="inlineStr">
        <is>
          <t>C093</t>
        </is>
      </c>
      <c r="E748" s="4" t="inlineStr">
        <is>
          <t>P041</t>
        </is>
      </c>
      <c r="F748" t="inlineStr">
        <is>
          <t>XS</t>
        </is>
      </c>
      <c r="G748" s="4" t="inlineStr">
        <is>
          <t>CH04</t>
        </is>
      </c>
      <c r="H748" s="4" t="inlineStr">
        <is>
          <t>PR00</t>
        </is>
      </c>
      <c r="I748" s="8" t="n">
        <v>76</v>
      </c>
      <c r="J748" s="9" t="n">
        <v>0</v>
      </c>
      <c r="K748" s="10">
        <f>I748*(1-J748)</f>
        <v/>
      </c>
      <c r="L748" s="11" t="n">
        <v>2</v>
      </c>
      <c r="M748" s="10">
        <f>K748*L748</f>
        <v/>
      </c>
      <c r="N748" s="8" t="n">
        <v>39.05</v>
      </c>
      <c r="O748" s="10">
        <f>N748*L748</f>
        <v/>
      </c>
      <c r="P748" s="10">
        <f>M748-O748</f>
        <v/>
      </c>
      <c r="Q748" s="11" t="inlineStr">
        <is>
          <t>No</t>
        </is>
      </c>
      <c r="R748" s="11" t="n">
        <v>0</v>
      </c>
      <c r="S748" s="10">
        <f>M748-(R748*K748)</f>
        <v/>
      </c>
      <c r="T748" s="12">
        <f>VLOOKUP(E748,Dim_Product!$A$2:$Q$61,3,FALSE)</f>
        <v/>
      </c>
      <c r="U748" s="12">
        <f>VLOOKUP(E748,Dim_Product!$A$2:$Q$61,4,FALSE)</f>
        <v/>
      </c>
      <c r="V748" s="12">
        <f>VLOOKUP(D748,Dim_Customer!$A$2:$I$121,6,FALSE)</f>
        <v/>
      </c>
      <c r="W748" s="12">
        <f>VLOOKUP(G748,Dim_Channel!$A$2:$B$5,2,FALSE)</f>
        <v/>
      </c>
      <c r="X748" s="12">
        <f>VLOOKUP(H748,Dim_Promotion!$A$2:$G$11,2,FALSE)</f>
        <v/>
      </c>
    </row>
    <row r="749">
      <c r="A749" s="4" t="inlineStr">
        <is>
          <t>SL0748</t>
        </is>
      </c>
      <c r="B749" t="inlineStr">
        <is>
          <t>O010374</t>
        </is>
      </c>
      <c r="C749" t="n">
        <v>20250810</v>
      </c>
      <c r="D749" s="4" t="inlineStr">
        <is>
          <t>C101</t>
        </is>
      </c>
      <c r="E749" s="4" t="inlineStr">
        <is>
          <t>P018</t>
        </is>
      </c>
      <c r="F749" t="inlineStr">
        <is>
          <t>XS</t>
        </is>
      </c>
      <c r="G749" s="4" t="inlineStr">
        <is>
          <t>CH01</t>
        </is>
      </c>
      <c r="H749" s="4" t="inlineStr">
        <is>
          <t>PR00</t>
        </is>
      </c>
      <c r="I749" s="8" t="n">
        <v>66</v>
      </c>
      <c r="J749" s="9" t="n">
        <v>0</v>
      </c>
      <c r="K749" s="10">
        <f>I749*(1-J749)</f>
        <v/>
      </c>
      <c r="L749" s="11" t="n">
        <v>1</v>
      </c>
      <c r="M749" s="10">
        <f>K749*L749</f>
        <v/>
      </c>
      <c r="N749" s="8" t="n">
        <v>30.92</v>
      </c>
      <c r="O749" s="10">
        <f>N749*L749</f>
        <v/>
      </c>
      <c r="P749" s="10">
        <f>M749-O749</f>
        <v/>
      </c>
      <c r="Q749" s="11" t="inlineStr">
        <is>
          <t>No</t>
        </is>
      </c>
      <c r="R749" s="11" t="n">
        <v>0</v>
      </c>
      <c r="S749" s="10">
        <f>M749-(R749*K749)</f>
        <v/>
      </c>
      <c r="T749" s="12">
        <f>VLOOKUP(E749,Dim_Product!$A$2:$Q$61,3,FALSE)</f>
        <v/>
      </c>
      <c r="U749" s="12">
        <f>VLOOKUP(E749,Dim_Product!$A$2:$Q$61,4,FALSE)</f>
        <v/>
      </c>
      <c r="V749" s="12">
        <f>VLOOKUP(D749,Dim_Customer!$A$2:$I$121,6,FALSE)</f>
        <v/>
      </c>
      <c r="W749" s="12">
        <f>VLOOKUP(G749,Dim_Channel!$A$2:$B$5,2,FALSE)</f>
        <v/>
      </c>
      <c r="X749" s="12">
        <f>VLOOKUP(H749,Dim_Promotion!$A$2:$G$11,2,FALSE)</f>
        <v/>
      </c>
    </row>
    <row r="750">
      <c r="A750" s="4" t="inlineStr">
        <is>
          <t>SL0749</t>
        </is>
      </c>
      <c r="B750" t="inlineStr">
        <is>
          <t>O010375</t>
        </is>
      </c>
      <c r="C750" t="n">
        <v>20251218</v>
      </c>
      <c r="D750" s="4" t="inlineStr">
        <is>
          <t>C036</t>
        </is>
      </c>
      <c r="E750" s="4" t="inlineStr">
        <is>
          <t>P027</t>
        </is>
      </c>
      <c r="F750" t="inlineStr">
        <is>
          <t>L</t>
        </is>
      </c>
      <c r="G750" s="4" t="inlineStr">
        <is>
          <t>CH02</t>
        </is>
      </c>
      <c r="H750" s="4" t="inlineStr">
        <is>
          <t>PR00</t>
        </is>
      </c>
      <c r="I750" s="8" t="n">
        <v>94</v>
      </c>
      <c r="J750" s="9" t="n">
        <v>0</v>
      </c>
      <c r="K750" s="10">
        <f>I750*(1-J750)</f>
        <v/>
      </c>
      <c r="L750" s="11" t="n">
        <v>2</v>
      </c>
      <c r="M750" s="10">
        <f>K750*L750</f>
        <v/>
      </c>
      <c r="N750" s="8" t="n">
        <v>46.67</v>
      </c>
      <c r="O750" s="10">
        <f>N750*L750</f>
        <v/>
      </c>
      <c r="P750" s="10">
        <f>M750-O750</f>
        <v/>
      </c>
      <c r="Q750" s="11" t="inlineStr">
        <is>
          <t>No</t>
        </is>
      </c>
      <c r="R750" s="11" t="n">
        <v>0</v>
      </c>
      <c r="S750" s="10">
        <f>M750-(R750*K750)</f>
        <v/>
      </c>
      <c r="T750" s="12">
        <f>VLOOKUP(E750,Dim_Product!$A$2:$Q$61,3,FALSE)</f>
        <v/>
      </c>
      <c r="U750" s="12">
        <f>VLOOKUP(E750,Dim_Product!$A$2:$Q$61,4,FALSE)</f>
        <v/>
      </c>
      <c r="V750" s="12">
        <f>VLOOKUP(D750,Dim_Customer!$A$2:$I$121,6,FALSE)</f>
        <v/>
      </c>
      <c r="W750" s="12">
        <f>VLOOKUP(G750,Dim_Channel!$A$2:$B$5,2,FALSE)</f>
        <v/>
      </c>
      <c r="X750" s="12">
        <f>VLOOKUP(H750,Dim_Promotion!$A$2:$G$11,2,FALSE)</f>
        <v/>
      </c>
    </row>
    <row r="751">
      <c r="A751" s="4" t="inlineStr">
        <is>
          <t>SL0750</t>
        </is>
      </c>
      <c r="B751" t="inlineStr">
        <is>
          <t>O010375</t>
        </is>
      </c>
      <c r="C751" t="n">
        <v>20251015</v>
      </c>
      <c r="D751" s="4" t="inlineStr">
        <is>
          <t>C029</t>
        </is>
      </c>
      <c r="E751" s="4" t="inlineStr">
        <is>
          <t>P034</t>
        </is>
      </c>
      <c r="F751" t="inlineStr">
        <is>
          <t>XL</t>
        </is>
      </c>
      <c r="G751" s="4" t="inlineStr">
        <is>
          <t>CH01</t>
        </is>
      </c>
      <c r="H751" s="4" t="inlineStr">
        <is>
          <t>PR00</t>
        </is>
      </c>
      <c r="I751" s="8" t="n">
        <v>90</v>
      </c>
      <c r="J751" s="9" t="n">
        <v>0</v>
      </c>
      <c r="K751" s="10">
        <f>I751*(1-J751)</f>
        <v/>
      </c>
      <c r="L751" s="11" t="n">
        <v>1</v>
      </c>
      <c r="M751" s="10">
        <f>K751*L751</f>
        <v/>
      </c>
      <c r="N751" s="8" t="n">
        <v>45.26</v>
      </c>
      <c r="O751" s="10">
        <f>N751*L751</f>
        <v/>
      </c>
      <c r="P751" s="10">
        <f>M751-O751</f>
        <v/>
      </c>
      <c r="Q751" s="11" t="inlineStr">
        <is>
          <t>No</t>
        </is>
      </c>
      <c r="R751" s="11" t="n">
        <v>0</v>
      </c>
      <c r="S751" s="10">
        <f>M751-(R751*K751)</f>
        <v/>
      </c>
      <c r="T751" s="12">
        <f>VLOOKUP(E751,Dim_Product!$A$2:$Q$61,3,FALSE)</f>
        <v/>
      </c>
      <c r="U751" s="12">
        <f>VLOOKUP(E751,Dim_Product!$A$2:$Q$61,4,FALSE)</f>
        <v/>
      </c>
      <c r="V751" s="12">
        <f>VLOOKUP(D751,Dim_Customer!$A$2:$I$121,6,FALSE)</f>
        <v/>
      </c>
      <c r="W751" s="12">
        <f>VLOOKUP(G751,Dim_Channel!$A$2:$B$5,2,FALSE)</f>
        <v/>
      </c>
      <c r="X751" s="12">
        <f>VLOOKUP(H751,Dim_Promotion!$A$2:$G$11,2,FALSE)</f>
        <v/>
      </c>
    </row>
    <row r="752">
      <c r="A752" s="4" t="inlineStr">
        <is>
          <t>SL0751</t>
        </is>
      </c>
      <c r="B752" t="inlineStr">
        <is>
          <t>O010376</t>
        </is>
      </c>
      <c r="C752" t="n">
        <v>20250206</v>
      </c>
      <c r="D752" s="4" t="inlineStr">
        <is>
          <t>C027</t>
        </is>
      </c>
      <c r="E752" s="4" t="inlineStr">
        <is>
          <t>P051</t>
        </is>
      </c>
      <c r="F752" t="inlineStr">
        <is>
          <t>M</t>
        </is>
      </c>
      <c r="G752" s="4" t="inlineStr">
        <is>
          <t>CH01</t>
        </is>
      </c>
      <c r="H752" s="4" t="inlineStr">
        <is>
          <t>PR00</t>
        </is>
      </c>
      <c r="I752" s="8" t="n">
        <v>72</v>
      </c>
      <c r="J752" s="9" t="n">
        <v>0</v>
      </c>
      <c r="K752" s="10">
        <f>I752*(1-J752)</f>
        <v/>
      </c>
      <c r="L752" s="11" t="n">
        <v>2</v>
      </c>
      <c r="M752" s="10">
        <f>K752*L752</f>
        <v/>
      </c>
      <c r="N752" s="8" t="n">
        <v>28.52</v>
      </c>
      <c r="O752" s="10">
        <f>N752*L752</f>
        <v/>
      </c>
      <c r="P752" s="10">
        <f>M752-O752</f>
        <v/>
      </c>
      <c r="Q752" s="11" t="inlineStr">
        <is>
          <t>No</t>
        </is>
      </c>
      <c r="R752" s="11" t="n">
        <v>0</v>
      </c>
      <c r="S752" s="10">
        <f>M752-(R752*K752)</f>
        <v/>
      </c>
      <c r="T752" s="12">
        <f>VLOOKUP(E752,Dim_Product!$A$2:$Q$61,3,FALSE)</f>
        <v/>
      </c>
      <c r="U752" s="12">
        <f>VLOOKUP(E752,Dim_Product!$A$2:$Q$61,4,FALSE)</f>
        <v/>
      </c>
      <c r="V752" s="12">
        <f>VLOOKUP(D752,Dim_Customer!$A$2:$I$121,6,FALSE)</f>
        <v/>
      </c>
      <c r="W752" s="12">
        <f>VLOOKUP(G752,Dim_Channel!$A$2:$B$5,2,FALSE)</f>
        <v/>
      </c>
      <c r="X752" s="12">
        <f>VLOOKUP(H752,Dim_Promotion!$A$2:$G$11,2,FALSE)</f>
        <v/>
      </c>
    </row>
    <row r="753">
      <c r="A753" s="4" t="inlineStr">
        <is>
          <t>SL0752</t>
        </is>
      </c>
      <c r="B753" t="inlineStr">
        <is>
          <t>O010376</t>
        </is>
      </c>
      <c r="C753" t="n">
        <v>20250624</v>
      </c>
      <c r="D753" s="4" t="inlineStr">
        <is>
          <t>C044</t>
        </is>
      </c>
      <c r="E753" s="4" t="inlineStr">
        <is>
          <t>P049</t>
        </is>
      </c>
      <c r="F753" t="inlineStr">
        <is>
          <t>L</t>
        </is>
      </c>
      <c r="G753" s="4" t="inlineStr">
        <is>
          <t>CH02</t>
        </is>
      </c>
      <c r="H753" s="4" t="inlineStr">
        <is>
          <t>PR05</t>
        </is>
      </c>
      <c r="I753" s="8" t="n">
        <v>70</v>
      </c>
      <c r="J753" s="9" t="n">
        <v>0.2</v>
      </c>
      <c r="K753" s="10">
        <f>I753*(1-J753)</f>
        <v/>
      </c>
      <c r="L753" s="11" t="n">
        <v>1</v>
      </c>
      <c r="M753" s="10">
        <f>K753*L753</f>
        <v/>
      </c>
      <c r="N753" s="8" t="n">
        <v>29.73</v>
      </c>
      <c r="O753" s="10">
        <f>N753*L753</f>
        <v/>
      </c>
      <c r="P753" s="10">
        <f>M753-O753</f>
        <v/>
      </c>
      <c r="Q753" s="11" t="inlineStr">
        <is>
          <t>No</t>
        </is>
      </c>
      <c r="R753" s="11" t="n">
        <v>0</v>
      </c>
      <c r="S753" s="10">
        <f>M753-(R753*K753)</f>
        <v/>
      </c>
      <c r="T753" s="12">
        <f>VLOOKUP(E753,Dim_Product!$A$2:$Q$61,3,FALSE)</f>
        <v/>
      </c>
      <c r="U753" s="12">
        <f>VLOOKUP(E753,Dim_Product!$A$2:$Q$61,4,FALSE)</f>
        <v/>
      </c>
      <c r="V753" s="12">
        <f>VLOOKUP(D753,Dim_Customer!$A$2:$I$121,6,FALSE)</f>
        <v/>
      </c>
      <c r="W753" s="12">
        <f>VLOOKUP(G753,Dim_Channel!$A$2:$B$5,2,FALSE)</f>
        <v/>
      </c>
      <c r="X753" s="12">
        <f>VLOOKUP(H753,Dim_Promotion!$A$2:$G$11,2,FALSE)</f>
        <v/>
      </c>
    </row>
    <row r="754">
      <c r="A754" s="4" t="inlineStr">
        <is>
          <t>SL0753</t>
        </is>
      </c>
      <c r="B754" t="inlineStr">
        <is>
          <t>O010377</t>
        </is>
      </c>
      <c r="C754" t="n">
        <v>20250811</v>
      </c>
      <c r="D754" s="4" t="inlineStr">
        <is>
          <t>C084</t>
        </is>
      </c>
      <c r="E754" s="4" t="inlineStr">
        <is>
          <t>P013</t>
        </is>
      </c>
      <c r="F754" t="inlineStr">
        <is>
          <t>M</t>
        </is>
      </c>
      <c r="G754" s="4" t="inlineStr">
        <is>
          <t>CH02</t>
        </is>
      </c>
      <c r="H754" s="4" t="inlineStr">
        <is>
          <t>PR06</t>
        </is>
      </c>
      <c r="I754" s="8" t="n">
        <v>58</v>
      </c>
      <c r="J754" s="9" t="n">
        <v>0.1</v>
      </c>
      <c r="K754" s="10">
        <f>I754*(1-J754)</f>
        <v/>
      </c>
      <c r="L754" s="11" t="n">
        <v>3</v>
      </c>
      <c r="M754" s="10">
        <f>K754*L754</f>
        <v/>
      </c>
      <c r="N754" s="8" t="n">
        <v>26.14</v>
      </c>
      <c r="O754" s="10">
        <f>N754*L754</f>
        <v/>
      </c>
      <c r="P754" s="10">
        <f>M754-O754</f>
        <v/>
      </c>
      <c r="Q754" s="11" t="inlineStr">
        <is>
          <t>No</t>
        </is>
      </c>
      <c r="R754" s="11" t="n">
        <v>0</v>
      </c>
      <c r="S754" s="10">
        <f>M754-(R754*K754)</f>
        <v/>
      </c>
      <c r="T754" s="12">
        <f>VLOOKUP(E754,Dim_Product!$A$2:$Q$61,3,FALSE)</f>
        <v/>
      </c>
      <c r="U754" s="12">
        <f>VLOOKUP(E754,Dim_Product!$A$2:$Q$61,4,FALSE)</f>
        <v/>
      </c>
      <c r="V754" s="12">
        <f>VLOOKUP(D754,Dim_Customer!$A$2:$I$121,6,FALSE)</f>
        <v/>
      </c>
      <c r="W754" s="12">
        <f>VLOOKUP(G754,Dim_Channel!$A$2:$B$5,2,FALSE)</f>
        <v/>
      </c>
      <c r="X754" s="12">
        <f>VLOOKUP(H754,Dim_Promotion!$A$2:$G$11,2,FALSE)</f>
        <v/>
      </c>
    </row>
    <row r="755">
      <c r="A755" s="4" t="inlineStr">
        <is>
          <t>SL0754</t>
        </is>
      </c>
      <c r="B755" t="inlineStr">
        <is>
          <t>O010377</t>
        </is>
      </c>
      <c r="C755" t="n">
        <v>20250301</v>
      </c>
      <c r="D755" s="4" t="inlineStr">
        <is>
          <t>C021</t>
        </is>
      </c>
      <c r="E755" s="4" t="inlineStr">
        <is>
          <t>P030</t>
        </is>
      </c>
      <c r="F755" t="inlineStr">
        <is>
          <t>S</t>
        </is>
      </c>
      <c r="G755" s="4" t="inlineStr">
        <is>
          <t>CH04</t>
        </is>
      </c>
      <c r="H755" s="4" t="inlineStr">
        <is>
          <t>PR00</t>
        </is>
      </c>
      <c r="I755" s="8" t="n">
        <v>109</v>
      </c>
      <c r="J755" s="9" t="n">
        <v>0</v>
      </c>
      <c r="K755" s="10">
        <f>I755*(1-J755)</f>
        <v/>
      </c>
      <c r="L755" s="11" t="n">
        <v>1</v>
      </c>
      <c r="M755" s="10">
        <f>K755*L755</f>
        <v/>
      </c>
      <c r="N755" s="8" t="n">
        <v>57.58</v>
      </c>
      <c r="O755" s="10">
        <f>N755*L755</f>
        <v/>
      </c>
      <c r="P755" s="10">
        <f>M755-O755</f>
        <v/>
      </c>
      <c r="Q755" s="11" t="inlineStr">
        <is>
          <t>No</t>
        </is>
      </c>
      <c r="R755" s="11" t="n">
        <v>0</v>
      </c>
      <c r="S755" s="10">
        <f>M755-(R755*K755)</f>
        <v/>
      </c>
      <c r="T755" s="12">
        <f>VLOOKUP(E755,Dim_Product!$A$2:$Q$61,3,FALSE)</f>
        <v/>
      </c>
      <c r="U755" s="12">
        <f>VLOOKUP(E755,Dim_Product!$A$2:$Q$61,4,FALSE)</f>
        <v/>
      </c>
      <c r="V755" s="12">
        <f>VLOOKUP(D755,Dim_Customer!$A$2:$I$121,6,FALSE)</f>
        <v/>
      </c>
      <c r="W755" s="12">
        <f>VLOOKUP(G755,Dim_Channel!$A$2:$B$5,2,FALSE)</f>
        <v/>
      </c>
      <c r="X755" s="12">
        <f>VLOOKUP(H755,Dim_Promotion!$A$2:$G$11,2,FALSE)</f>
        <v/>
      </c>
    </row>
    <row r="756">
      <c r="A756" s="4" t="inlineStr">
        <is>
          <t>SL0755</t>
        </is>
      </c>
      <c r="B756" t="inlineStr">
        <is>
          <t>O010378</t>
        </is>
      </c>
      <c r="C756" t="n">
        <v>20251018</v>
      </c>
      <c r="D756" s="4" t="inlineStr">
        <is>
          <t>C054</t>
        </is>
      </c>
      <c r="E756" s="4" t="inlineStr">
        <is>
          <t>P023</t>
        </is>
      </c>
      <c r="F756" t="inlineStr">
        <is>
          <t>M</t>
        </is>
      </c>
      <c r="G756" s="4" t="inlineStr">
        <is>
          <t>CH01</t>
        </is>
      </c>
      <c r="H756" s="4" t="inlineStr">
        <is>
          <t>PR00</t>
        </is>
      </c>
      <c r="I756" s="8" t="n">
        <v>58</v>
      </c>
      <c r="J756" s="9" t="n">
        <v>0</v>
      </c>
      <c r="K756" s="10">
        <f>I756*(1-J756)</f>
        <v/>
      </c>
      <c r="L756" s="11" t="n">
        <v>1</v>
      </c>
      <c r="M756" s="10">
        <f>K756*L756</f>
        <v/>
      </c>
      <c r="N756" s="8" t="n">
        <v>26.87</v>
      </c>
      <c r="O756" s="10">
        <f>N756*L756</f>
        <v/>
      </c>
      <c r="P756" s="10">
        <f>M756-O756</f>
        <v/>
      </c>
      <c r="Q756" s="11" t="inlineStr">
        <is>
          <t>No</t>
        </is>
      </c>
      <c r="R756" s="11" t="n">
        <v>0</v>
      </c>
      <c r="S756" s="10">
        <f>M756-(R756*K756)</f>
        <v/>
      </c>
      <c r="T756" s="12">
        <f>VLOOKUP(E756,Dim_Product!$A$2:$Q$61,3,FALSE)</f>
        <v/>
      </c>
      <c r="U756" s="12">
        <f>VLOOKUP(E756,Dim_Product!$A$2:$Q$61,4,FALSE)</f>
        <v/>
      </c>
      <c r="V756" s="12">
        <f>VLOOKUP(D756,Dim_Customer!$A$2:$I$121,6,FALSE)</f>
        <v/>
      </c>
      <c r="W756" s="12">
        <f>VLOOKUP(G756,Dim_Channel!$A$2:$B$5,2,FALSE)</f>
        <v/>
      </c>
      <c r="X756" s="12">
        <f>VLOOKUP(H756,Dim_Promotion!$A$2:$G$11,2,FALSE)</f>
        <v/>
      </c>
    </row>
    <row r="757">
      <c r="A757" s="4" t="inlineStr">
        <is>
          <t>SL0756</t>
        </is>
      </c>
      <c r="B757" t="inlineStr">
        <is>
          <t>O010378</t>
        </is>
      </c>
      <c r="C757" t="n">
        <v>20250310</v>
      </c>
      <c r="D757" s="4" t="inlineStr">
        <is>
          <t>C067</t>
        </is>
      </c>
      <c r="E757" s="4" t="inlineStr">
        <is>
          <t>P057</t>
        </is>
      </c>
      <c r="F757" t="inlineStr">
        <is>
          <t>L</t>
        </is>
      </c>
      <c r="G757" s="4" t="inlineStr">
        <is>
          <t>CH01</t>
        </is>
      </c>
      <c r="H757" s="4" t="inlineStr">
        <is>
          <t>PR00</t>
        </is>
      </c>
      <c r="I757" s="8" t="n">
        <v>74</v>
      </c>
      <c r="J757" s="9" t="n">
        <v>0</v>
      </c>
      <c r="K757" s="10">
        <f>I757*(1-J757)</f>
        <v/>
      </c>
      <c r="L757" s="11" t="n">
        <v>1</v>
      </c>
      <c r="M757" s="10">
        <f>K757*L757</f>
        <v/>
      </c>
      <c r="N757" s="8" t="n">
        <v>35.8</v>
      </c>
      <c r="O757" s="10">
        <f>N757*L757</f>
        <v/>
      </c>
      <c r="P757" s="10">
        <f>M757-O757</f>
        <v/>
      </c>
      <c r="Q757" s="11" t="inlineStr">
        <is>
          <t>No</t>
        </is>
      </c>
      <c r="R757" s="11" t="n">
        <v>0</v>
      </c>
      <c r="S757" s="10">
        <f>M757-(R757*K757)</f>
        <v/>
      </c>
      <c r="T757" s="12">
        <f>VLOOKUP(E757,Dim_Product!$A$2:$Q$61,3,FALSE)</f>
        <v/>
      </c>
      <c r="U757" s="12">
        <f>VLOOKUP(E757,Dim_Product!$A$2:$Q$61,4,FALSE)</f>
        <v/>
      </c>
      <c r="V757" s="12">
        <f>VLOOKUP(D757,Dim_Customer!$A$2:$I$121,6,FALSE)</f>
        <v/>
      </c>
      <c r="W757" s="12">
        <f>VLOOKUP(G757,Dim_Channel!$A$2:$B$5,2,FALSE)</f>
        <v/>
      </c>
      <c r="X757" s="12">
        <f>VLOOKUP(H757,Dim_Promotion!$A$2:$G$11,2,FALSE)</f>
        <v/>
      </c>
    </row>
    <row r="758">
      <c r="A758" s="4" t="inlineStr">
        <is>
          <t>SL0757</t>
        </is>
      </c>
      <c r="B758" t="inlineStr">
        <is>
          <t>O010379</t>
        </is>
      </c>
      <c r="C758" t="n">
        <v>20250506</v>
      </c>
      <c r="D758" s="4" t="inlineStr">
        <is>
          <t>C020</t>
        </is>
      </c>
      <c r="E758" s="4" t="inlineStr">
        <is>
          <t>P001</t>
        </is>
      </c>
      <c r="F758" t="inlineStr">
        <is>
          <t>M</t>
        </is>
      </c>
      <c r="G758" s="4" t="inlineStr">
        <is>
          <t>CH01</t>
        </is>
      </c>
      <c r="H758" s="4" t="inlineStr">
        <is>
          <t>PR00</t>
        </is>
      </c>
      <c r="I758" s="8" t="n">
        <v>42</v>
      </c>
      <c r="J758" s="9" t="n">
        <v>0.08</v>
      </c>
      <c r="K758" s="10">
        <f>I758*(1-J758)</f>
        <v/>
      </c>
      <c r="L758" s="11" t="n">
        <v>1</v>
      </c>
      <c r="M758" s="10">
        <f>K758*L758</f>
        <v/>
      </c>
      <c r="N758" s="8" t="n">
        <v>17.02</v>
      </c>
      <c r="O758" s="10">
        <f>N758*L758</f>
        <v/>
      </c>
      <c r="P758" s="10">
        <f>M758-O758</f>
        <v/>
      </c>
      <c r="Q758" s="11" t="inlineStr">
        <is>
          <t>No</t>
        </is>
      </c>
      <c r="R758" s="11" t="n">
        <v>0</v>
      </c>
      <c r="S758" s="10">
        <f>M758-(R758*K758)</f>
        <v/>
      </c>
      <c r="T758" s="12">
        <f>VLOOKUP(E758,Dim_Product!$A$2:$Q$61,3,FALSE)</f>
        <v/>
      </c>
      <c r="U758" s="12">
        <f>VLOOKUP(E758,Dim_Product!$A$2:$Q$61,4,FALSE)</f>
        <v/>
      </c>
      <c r="V758" s="12">
        <f>VLOOKUP(D758,Dim_Customer!$A$2:$I$121,6,FALSE)</f>
        <v/>
      </c>
      <c r="W758" s="12">
        <f>VLOOKUP(G758,Dim_Channel!$A$2:$B$5,2,FALSE)</f>
        <v/>
      </c>
      <c r="X758" s="12">
        <f>VLOOKUP(H758,Dim_Promotion!$A$2:$G$11,2,FALSE)</f>
        <v/>
      </c>
    </row>
    <row r="759">
      <c r="A759" s="4" t="inlineStr">
        <is>
          <t>SL0758</t>
        </is>
      </c>
      <c r="B759" t="inlineStr">
        <is>
          <t>O010379</t>
        </is>
      </c>
      <c r="C759" t="n">
        <v>20250421</v>
      </c>
      <c r="D759" s="4" t="inlineStr">
        <is>
          <t>C002</t>
        </is>
      </c>
      <c r="E759" s="4" t="inlineStr">
        <is>
          <t>P055</t>
        </is>
      </c>
      <c r="F759" t="inlineStr">
        <is>
          <t>L</t>
        </is>
      </c>
      <c r="G759" s="4" t="inlineStr">
        <is>
          <t>CH04</t>
        </is>
      </c>
      <c r="H759" s="4" t="inlineStr">
        <is>
          <t>PR00</t>
        </is>
      </c>
      <c r="I759" s="8" t="n">
        <v>72</v>
      </c>
      <c r="J759" s="9" t="n">
        <v>0</v>
      </c>
      <c r="K759" s="10">
        <f>I759*(1-J759)</f>
        <v/>
      </c>
      <c r="L759" s="11" t="n">
        <v>2</v>
      </c>
      <c r="M759" s="10">
        <f>K759*L759</f>
        <v/>
      </c>
      <c r="N759" s="8" t="n">
        <v>35.23</v>
      </c>
      <c r="O759" s="10">
        <f>N759*L759</f>
        <v/>
      </c>
      <c r="P759" s="10">
        <f>M759-O759</f>
        <v/>
      </c>
      <c r="Q759" s="11" t="inlineStr">
        <is>
          <t>No</t>
        </is>
      </c>
      <c r="R759" s="11" t="n">
        <v>0</v>
      </c>
      <c r="S759" s="10">
        <f>M759-(R759*K759)</f>
        <v/>
      </c>
      <c r="T759" s="12">
        <f>VLOOKUP(E759,Dim_Product!$A$2:$Q$61,3,FALSE)</f>
        <v/>
      </c>
      <c r="U759" s="12">
        <f>VLOOKUP(E759,Dim_Product!$A$2:$Q$61,4,FALSE)</f>
        <v/>
      </c>
      <c r="V759" s="12">
        <f>VLOOKUP(D759,Dim_Customer!$A$2:$I$121,6,FALSE)</f>
        <v/>
      </c>
      <c r="W759" s="12">
        <f>VLOOKUP(G759,Dim_Channel!$A$2:$B$5,2,FALSE)</f>
        <v/>
      </c>
      <c r="X759" s="12">
        <f>VLOOKUP(H759,Dim_Promotion!$A$2:$G$11,2,FALSE)</f>
        <v/>
      </c>
    </row>
    <row r="760">
      <c r="A760" s="4" t="inlineStr">
        <is>
          <t>SL0759</t>
        </is>
      </c>
      <c r="B760" t="inlineStr">
        <is>
          <t>O010380</t>
        </is>
      </c>
      <c r="C760" t="n">
        <v>20250907</v>
      </c>
      <c r="D760" s="4" t="inlineStr">
        <is>
          <t>C010</t>
        </is>
      </c>
      <c r="E760" s="4" t="inlineStr">
        <is>
          <t>P035</t>
        </is>
      </c>
      <c r="F760" t="inlineStr">
        <is>
          <t>M</t>
        </is>
      </c>
      <c r="G760" s="4" t="inlineStr">
        <is>
          <t>CH01</t>
        </is>
      </c>
      <c r="H760" s="4" t="inlineStr">
        <is>
          <t>PR07</t>
        </is>
      </c>
      <c r="I760" s="8" t="n">
        <v>88</v>
      </c>
      <c r="J760" s="9" t="n">
        <v>0.12</v>
      </c>
      <c r="K760" s="10">
        <f>I760*(1-J760)</f>
        <v/>
      </c>
      <c r="L760" s="11" t="n">
        <v>2</v>
      </c>
      <c r="M760" s="10">
        <f>K760*L760</f>
        <v/>
      </c>
      <c r="N760" s="8" t="n">
        <v>43.66</v>
      </c>
      <c r="O760" s="10">
        <f>N760*L760</f>
        <v/>
      </c>
      <c r="P760" s="10">
        <f>M760-O760</f>
        <v/>
      </c>
      <c r="Q760" s="11" t="inlineStr">
        <is>
          <t>No</t>
        </is>
      </c>
      <c r="R760" s="11" t="n">
        <v>0</v>
      </c>
      <c r="S760" s="10">
        <f>M760-(R760*K760)</f>
        <v/>
      </c>
      <c r="T760" s="12">
        <f>VLOOKUP(E760,Dim_Product!$A$2:$Q$61,3,FALSE)</f>
        <v/>
      </c>
      <c r="U760" s="12">
        <f>VLOOKUP(E760,Dim_Product!$A$2:$Q$61,4,FALSE)</f>
        <v/>
      </c>
      <c r="V760" s="12">
        <f>VLOOKUP(D760,Dim_Customer!$A$2:$I$121,6,FALSE)</f>
        <v/>
      </c>
      <c r="W760" s="12">
        <f>VLOOKUP(G760,Dim_Channel!$A$2:$B$5,2,FALSE)</f>
        <v/>
      </c>
      <c r="X760" s="12">
        <f>VLOOKUP(H760,Dim_Promotion!$A$2:$G$11,2,FALSE)</f>
        <v/>
      </c>
    </row>
    <row r="761">
      <c r="A761" s="4" t="inlineStr">
        <is>
          <t>SL0760</t>
        </is>
      </c>
      <c r="B761" t="inlineStr">
        <is>
          <t>O010380</t>
        </is>
      </c>
      <c r="C761" t="n">
        <v>20250525</v>
      </c>
      <c r="D761" s="4" t="inlineStr">
        <is>
          <t>C110</t>
        </is>
      </c>
      <c r="E761" s="4" t="inlineStr">
        <is>
          <t>P035</t>
        </is>
      </c>
      <c r="F761" t="inlineStr">
        <is>
          <t>XL</t>
        </is>
      </c>
      <c r="G761" s="4" t="inlineStr">
        <is>
          <t>CH04</t>
        </is>
      </c>
      <c r="H761" s="4" t="inlineStr">
        <is>
          <t>PR00</t>
        </is>
      </c>
      <c r="I761" s="8" t="n">
        <v>88</v>
      </c>
      <c r="J761" s="9" t="n">
        <v>0</v>
      </c>
      <c r="K761" s="10">
        <f>I761*(1-J761)</f>
        <v/>
      </c>
      <c r="L761" s="11" t="n">
        <v>1</v>
      </c>
      <c r="M761" s="10">
        <f>K761*L761</f>
        <v/>
      </c>
      <c r="N761" s="8" t="n">
        <v>42.74</v>
      </c>
      <c r="O761" s="10">
        <f>N761*L761</f>
        <v/>
      </c>
      <c r="P761" s="10">
        <f>M761-O761</f>
        <v/>
      </c>
      <c r="Q761" s="11" t="inlineStr">
        <is>
          <t>No</t>
        </is>
      </c>
      <c r="R761" s="11" t="n">
        <v>0</v>
      </c>
      <c r="S761" s="10">
        <f>M761-(R761*K761)</f>
        <v/>
      </c>
      <c r="T761" s="12">
        <f>VLOOKUP(E761,Dim_Product!$A$2:$Q$61,3,FALSE)</f>
        <v/>
      </c>
      <c r="U761" s="12">
        <f>VLOOKUP(E761,Dim_Product!$A$2:$Q$61,4,FALSE)</f>
        <v/>
      </c>
      <c r="V761" s="12">
        <f>VLOOKUP(D761,Dim_Customer!$A$2:$I$121,6,FALSE)</f>
        <v/>
      </c>
      <c r="W761" s="12">
        <f>VLOOKUP(G761,Dim_Channel!$A$2:$B$5,2,FALSE)</f>
        <v/>
      </c>
      <c r="X761" s="12">
        <f>VLOOKUP(H761,Dim_Promotion!$A$2:$G$11,2,FALSE)</f>
        <v/>
      </c>
    </row>
    <row r="762">
      <c r="A762" s="4" t="inlineStr">
        <is>
          <t>SL0761</t>
        </is>
      </c>
      <c r="B762" t="inlineStr">
        <is>
          <t>O010381</t>
        </is>
      </c>
      <c r="C762" t="n">
        <v>20251220</v>
      </c>
      <c r="D762" s="4" t="inlineStr">
        <is>
          <t>C019</t>
        </is>
      </c>
      <c r="E762" s="4" t="inlineStr">
        <is>
          <t>P008</t>
        </is>
      </c>
      <c r="F762" t="inlineStr">
        <is>
          <t>S</t>
        </is>
      </c>
      <c r="G762" s="4" t="inlineStr">
        <is>
          <t>CH01</t>
        </is>
      </c>
      <c r="H762" s="4" t="inlineStr">
        <is>
          <t>PR00</t>
        </is>
      </c>
      <c r="I762" s="8" t="n">
        <v>53</v>
      </c>
      <c r="J762" s="9" t="n">
        <v>0</v>
      </c>
      <c r="K762" s="10">
        <f>I762*(1-J762)</f>
        <v/>
      </c>
      <c r="L762" s="11" t="n">
        <v>1</v>
      </c>
      <c r="M762" s="10">
        <f>K762*L762</f>
        <v/>
      </c>
      <c r="N762" s="8" t="n">
        <v>23.19</v>
      </c>
      <c r="O762" s="10">
        <f>N762*L762</f>
        <v/>
      </c>
      <c r="P762" s="10">
        <f>M762-O762</f>
        <v/>
      </c>
      <c r="Q762" s="11" t="inlineStr">
        <is>
          <t>No</t>
        </is>
      </c>
      <c r="R762" s="11" t="n">
        <v>0</v>
      </c>
      <c r="S762" s="10">
        <f>M762-(R762*K762)</f>
        <v/>
      </c>
      <c r="T762" s="12">
        <f>VLOOKUP(E762,Dim_Product!$A$2:$Q$61,3,FALSE)</f>
        <v/>
      </c>
      <c r="U762" s="12">
        <f>VLOOKUP(E762,Dim_Product!$A$2:$Q$61,4,FALSE)</f>
        <v/>
      </c>
      <c r="V762" s="12">
        <f>VLOOKUP(D762,Dim_Customer!$A$2:$I$121,6,FALSE)</f>
        <v/>
      </c>
      <c r="W762" s="12">
        <f>VLOOKUP(G762,Dim_Channel!$A$2:$B$5,2,FALSE)</f>
        <v/>
      </c>
      <c r="X762" s="12">
        <f>VLOOKUP(H762,Dim_Promotion!$A$2:$G$11,2,FALSE)</f>
        <v/>
      </c>
    </row>
    <row r="763">
      <c r="A763" s="4" t="inlineStr">
        <is>
          <t>SL0762</t>
        </is>
      </c>
      <c r="B763" t="inlineStr">
        <is>
          <t>O010381</t>
        </is>
      </c>
      <c r="C763" t="n">
        <v>20251008</v>
      </c>
      <c r="D763" s="4" t="inlineStr">
        <is>
          <t>C072</t>
        </is>
      </c>
      <c r="E763" s="4" t="inlineStr">
        <is>
          <t>P041</t>
        </is>
      </c>
      <c r="F763" t="inlineStr">
        <is>
          <t>L</t>
        </is>
      </c>
      <c r="G763" s="4" t="inlineStr">
        <is>
          <t>CH01</t>
        </is>
      </c>
      <c r="H763" s="4" t="inlineStr">
        <is>
          <t>PR00</t>
        </is>
      </c>
      <c r="I763" s="8" t="n">
        <v>78</v>
      </c>
      <c r="J763" s="9" t="n">
        <v>0</v>
      </c>
      <c r="K763" s="10">
        <f>I763*(1-J763)</f>
        <v/>
      </c>
      <c r="L763" s="11" t="n">
        <v>3</v>
      </c>
      <c r="M763" s="10">
        <f>K763*L763</f>
        <v/>
      </c>
      <c r="N763" s="8" t="n">
        <v>39.4</v>
      </c>
      <c r="O763" s="10">
        <f>N763*L763</f>
        <v/>
      </c>
      <c r="P763" s="10">
        <f>M763-O763</f>
        <v/>
      </c>
      <c r="Q763" s="11" t="inlineStr">
        <is>
          <t>No</t>
        </is>
      </c>
      <c r="R763" s="11" t="n">
        <v>0</v>
      </c>
      <c r="S763" s="10">
        <f>M763-(R763*K763)</f>
        <v/>
      </c>
      <c r="T763" s="12">
        <f>VLOOKUP(E763,Dim_Product!$A$2:$Q$61,3,FALSE)</f>
        <v/>
      </c>
      <c r="U763" s="12">
        <f>VLOOKUP(E763,Dim_Product!$A$2:$Q$61,4,FALSE)</f>
        <v/>
      </c>
      <c r="V763" s="12">
        <f>VLOOKUP(D763,Dim_Customer!$A$2:$I$121,6,FALSE)</f>
        <v/>
      </c>
      <c r="W763" s="12">
        <f>VLOOKUP(G763,Dim_Channel!$A$2:$B$5,2,FALSE)</f>
        <v/>
      </c>
      <c r="X763" s="12">
        <f>VLOOKUP(H763,Dim_Promotion!$A$2:$G$11,2,FALSE)</f>
        <v/>
      </c>
    </row>
    <row r="764">
      <c r="A764" s="4" t="inlineStr">
        <is>
          <t>SL0763</t>
        </is>
      </c>
      <c r="B764" t="inlineStr">
        <is>
          <t>O010382</t>
        </is>
      </c>
      <c r="C764" t="n">
        <v>20251027</v>
      </c>
      <c r="D764" s="4" t="inlineStr">
        <is>
          <t>C056</t>
        </is>
      </c>
      <c r="E764" s="4" t="inlineStr">
        <is>
          <t>P033</t>
        </is>
      </c>
      <c r="F764" t="inlineStr">
        <is>
          <t>XL</t>
        </is>
      </c>
      <c r="G764" s="4" t="inlineStr">
        <is>
          <t>CH03</t>
        </is>
      </c>
      <c r="H764" s="4" t="inlineStr">
        <is>
          <t>PR00</t>
        </is>
      </c>
      <c r="I764" s="8" t="n">
        <v>87</v>
      </c>
      <c r="J764" s="9" t="n">
        <v>0</v>
      </c>
      <c r="K764" s="10">
        <f>I764*(1-J764)</f>
        <v/>
      </c>
      <c r="L764" s="11" t="n">
        <v>1</v>
      </c>
      <c r="M764" s="10">
        <f>K764*L764</f>
        <v/>
      </c>
      <c r="N764" s="8" t="n">
        <v>41.61</v>
      </c>
      <c r="O764" s="10">
        <f>N764*L764</f>
        <v/>
      </c>
      <c r="P764" s="10">
        <f>M764-O764</f>
        <v/>
      </c>
      <c r="Q764" s="11" t="inlineStr">
        <is>
          <t>No</t>
        </is>
      </c>
      <c r="R764" s="11" t="n">
        <v>0</v>
      </c>
      <c r="S764" s="10">
        <f>M764-(R764*K764)</f>
        <v/>
      </c>
      <c r="T764" s="12">
        <f>VLOOKUP(E764,Dim_Product!$A$2:$Q$61,3,FALSE)</f>
        <v/>
      </c>
      <c r="U764" s="12">
        <f>VLOOKUP(E764,Dim_Product!$A$2:$Q$61,4,FALSE)</f>
        <v/>
      </c>
      <c r="V764" s="12">
        <f>VLOOKUP(D764,Dim_Customer!$A$2:$I$121,6,FALSE)</f>
        <v/>
      </c>
      <c r="W764" s="12">
        <f>VLOOKUP(G764,Dim_Channel!$A$2:$B$5,2,FALSE)</f>
        <v/>
      </c>
      <c r="X764" s="12">
        <f>VLOOKUP(H764,Dim_Promotion!$A$2:$G$11,2,FALSE)</f>
        <v/>
      </c>
    </row>
    <row r="765">
      <c r="A765" s="4" t="inlineStr">
        <is>
          <t>SL0764</t>
        </is>
      </c>
      <c r="B765" t="inlineStr">
        <is>
          <t>O010382</t>
        </is>
      </c>
      <c r="C765" t="n">
        <v>20251125</v>
      </c>
      <c r="D765" s="4" t="inlineStr">
        <is>
          <t>C086</t>
        </is>
      </c>
      <c r="E765" s="4" t="inlineStr">
        <is>
          <t>P020</t>
        </is>
      </c>
      <c r="F765" t="inlineStr">
        <is>
          <t>M</t>
        </is>
      </c>
      <c r="G765" s="4" t="inlineStr">
        <is>
          <t>CH04</t>
        </is>
      </c>
      <c r="H765" s="4" t="inlineStr">
        <is>
          <t>PR08</t>
        </is>
      </c>
      <c r="I765" s="8" t="n">
        <v>64</v>
      </c>
      <c r="J765" s="9" t="n">
        <v>0.25</v>
      </c>
      <c r="K765" s="10">
        <f>I765*(1-J765)</f>
        <v/>
      </c>
      <c r="L765" s="11" t="n">
        <v>1</v>
      </c>
      <c r="M765" s="10">
        <f>K765*L765</f>
        <v/>
      </c>
      <c r="N765" s="8" t="n">
        <v>29.72</v>
      </c>
      <c r="O765" s="10">
        <f>N765*L765</f>
        <v/>
      </c>
      <c r="P765" s="10">
        <f>M765-O765</f>
        <v/>
      </c>
      <c r="Q765" s="11" t="inlineStr">
        <is>
          <t>No</t>
        </is>
      </c>
      <c r="R765" s="11" t="n">
        <v>0</v>
      </c>
      <c r="S765" s="10">
        <f>M765-(R765*K765)</f>
        <v/>
      </c>
      <c r="T765" s="12">
        <f>VLOOKUP(E765,Dim_Product!$A$2:$Q$61,3,FALSE)</f>
        <v/>
      </c>
      <c r="U765" s="12">
        <f>VLOOKUP(E765,Dim_Product!$A$2:$Q$61,4,FALSE)</f>
        <v/>
      </c>
      <c r="V765" s="12">
        <f>VLOOKUP(D765,Dim_Customer!$A$2:$I$121,6,FALSE)</f>
        <v/>
      </c>
      <c r="W765" s="12">
        <f>VLOOKUP(G765,Dim_Channel!$A$2:$B$5,2,FALSE)</f>
        <v/>
      </c>
      <c r="X765" s="12">
        <f>VLOOKUP(H765,Dim_Promotion!$A$2:$G$11,2,FALSE)</f>
        <v/>
      </c>
    </row>
    <row r="766">
      <c r="A766" s="4" t="inlineStr">
        <is>
          <t>SL0765</t>
        </is>
      </c>
      <c r="B766" t="inlineStr">
        <is>
          <t>O010383</t>
        </is>
      </c>
      <c r="C766" t="n">
        <v>20250115</v>
      </c>
      <c r="D766" s="4" t="inlineStr">
        <is>
          <t>C047</t>
        </is>
      </c>
      <c r="E766" s="4" t="inlineStr">
        <is>
          <t>P031</t>
        </is>
      </c>
      <c r="F766" t="inlineStr">
        <is>
          <t>S</t>
        </is>
      </c>
      <c r="G766" s="4" t="inlineStr">
        <is>
          <t>CH01</t>
        </is>
      </c>
      <c r="H766" s="4" t="inlineStr">
        <is>
          <t>PR00</t>
        </is>
      </c>
      <c r="I766" s="8" t="n">
        <v>110</v>
      </c>
      <c r="J766" s="9" t="n">
        <v>0</v>
      </c>
      <c r="K766" s="10">
        <f>I766*(1-J766)</f>
        <v/>
      </c>
      <c r="L766" s="11" t="n">
        <v>2</v>
      </c>
      <c r="M766" s="10">
        <f>K766*L766</f>
        <v/>
      </c>
      <c r="N766" s="8" t="n">
        <v>54.81</v>
      </c>
      <c r="O766" s="10">
        <f>N766*L766</f>
        <v/>
      </c>
      <c r="P766" s="10">
        <f>M766-O766</f>
        <v/>
      </c>
      <c r="Q766" s="11" t="inlineStr">
        <is>
          <t>No</t>
        </is>
      </c>
      <c r="R766" s="11" t="n">
        <v>0</v>
      </c>
      <c r="S766" s="10">
        <f>M766-(R766*K766)</f>
        <v/>
      </c>
      <c r="T766" s="12">
        <f>VLOOKUP(E766,Dim_Product!$A$2:$Q$61,3,FALSE)</f>
        <v/>
      </c>
      <c r="U766" s="12">
        <f>VLOOKUP(E766,Dim_Product!$A$2:$Q$61,4,FALSE)</f>
        <v/>
      </c>
      <c r="V766" s="12">
        <f>VLOOKUP(D766,Dim_Customer!$A$2:$I$121,6,FALSE)</f>
        <v/>
      </c>
      <c r="W766" s="12">
        <f>VLOOKUP(G766,Dim_Channel!$A$2:$B$5,2,FALSE)</f>
        <v/>
      </c>
      <c r="X766" s="12">
        <f>VLOOKUP(H766,Dim_Promotion!$A$2:$G$11,2,FALSE)</f>
        <v/>
      </c>
    </row>
    <row r="767">
      <c r="A767" s="4" t="inlineStr">
        <is>
          <t>SL0766</t>
        </is>
      </c>
      <c r="B767" t="inlineStr">
        <is>
          <t>O010383</t>
        </is>
      </c>
      <c r="C767" t="n">
        <v>20250123</v>
      </c>
      <c r="D767" s="4" t="inlineStr">
        <is>
          <t>C091</t>
        </is>
      </c>
      <c r="E767" s="4" t="inlineStr">
        <is>
          <t>P014</t>
        </is>
      </c>
      <c r="F767" t="inlineStr">
        <is>
          <t>XL</t>
        </is>
      </c>
      <c r="G767" s="4" t="inlineStr">
        <is>
          <t>CH03</t>
        </is>
      </c>
      <c r="H767" s="4" t="inlineStr">
        <is>
          <t>PR00</t>
        </is>
      </c>
      <c r="I767" s="8" t="n">
        <v>61</v>
      </c>
      <c r="J767" s="9" t="n">
        <v>0</v>
      </c>
      <c r="K767" s="10">
        <f>I767*(1-J767)</f>
        <v/>
      </c>
      <c r="L767" s="11" t="n">
        <v>4</v>
      </c>
      <c r="M767" s="10">
        <f>K767*L767</f>
        <v/>
      </c>
      <c r="N767" s="8" t="n">
        <v>27.48</v>
      </c>
      <c r="O767" s="10">
        <f>N767*L767</f>
        <v/>
      </c>
      <c r="P767" s="10">
        <f>M767-O767</f>
        <v/>
      </c>
      <c r="Q767" s="11" t="inlineStr">
        <is>
          <t>No</t>
        </is>
      </c>
      <c r="R767" s="11" t="n">
        <v>0</v>
      </c>
      <c r="S767" s="10">
        <f>M767-(R767*K767)</f>
        <v/>
      </c>
      <c r="T767" s="12">
        <f>VLOOKUP(E767,Dim_Product!$A$2:$Q$61,3,FALSE)</f>
        <v/>
      </c>
      <c r="U767" s="12">
        <f>VLOOKUP(E767,Dim_Product!$A$2:$Q$61,4,FALSE)</f>
        <v/>
      </c>
      <c r="V767" s="12">
        <f>VLOOKUP(D767,Dim_Customer!$A$2:$I$121,6,FALSE)</f>
        <v/>
      </c>
      <c r="W767" s="12">
        <f>VLOOKUP(G767,Dim_Channel!$A$2:$B$5,2,FALSE)</f>
        <v/>
      </c>
      <c r="X767" s="12">
        <f>VLOOKUP(H767,Dim_Promotion!$A$2:$G$11,2,FALSE)</f>
        <v/>
      </c>
    </row>
    <row r="768">
      <c r="A768" s="4" t="inlineStr">
        <is>
          <t>SL0767</t>
        </is>
      </c>
      <c r="B768" t="inlineStr">
        <is>
          <t>O010384</t>
        </is>
      </c>
      <c r="C768" t="n">
        <v>20250728</v>
      </c>
      <c r="D768" s="4" t="inlineStr">
        <is>
          <t>C083</t>
        </is>
      </c>
      <c r="E768" s="4" t="inlineStr">
        <is>
          <t>P003</t>
        </is>
      </c>
      <c r="F768" t="inlineStr">
        <is>
          <t>XL</t>
        </is>
      </c>
      <c r="G768" s="4" t="inlineStr">
        <is>
          <t>CH01</t>
        </is>
      </c>
      <c r="H768" s="4" t="inlineStr">
        <is>
          <t>PR00</t>
        </is>
      </c>
      <c r="I768" s="8" t="n">
        <v>42</v>
      </c>
      <c r="J768" s="9" t="n">
        <v>0</v>
      </c>
      <c r="K768" s="10">
        <f>I768*(1-J768)</f>
        <v/>
      </c>
      <c r="L768" s="11" t="n">
        <v>1</v>
      </c>
      <c r="M768" s="10">
        <f>K768*L768</f>
        <v/>
      </c>
      <c r="N768" s="8" t="n">
        <v>20.6</v>
      </c>
      <c r="O768" s="10">
        <f>N768*L768</f>
        <v/>
      </c>
      <c r="P768" s="10">
        <f>M768-O768</f>
        <v/>
      </c>
      <c r="Q768" s="11" t="inlineStr">
        <is>
          <t>No</t>
        </is>
      </c>
      <c r="R768" s="11" t="n">
        <v>0</v>
      </c>
      <c r="S768" s="10">
        <f>M768-(R768*K768)</f>
        <v/>
      </c>
      <c r="T768" s="12">
        <f>VLOOKUP(E768,Dim_Product!$A$2:$Q$61,3,FALSE)</f>
        <v/>
      </c>
      <c r="U768" s="12">
        <f>VLOOKUP(E768,Dim_Product!$A$2:$Q$61,4,FALSE)</f>
        <v/>
      </c>
      <c r="V768" s="12">
        <f>VLOOKUP(D768,Dim_Customer!$A$2:$I$121,6,FALSE)</f>
        <v/>
      </c>
      <c r="W768" s="12">
        <f>VLOOKUP(G768,Dim_Channel!$A$2:$B$5,2,FALSE)</f>
        <v/>
      </c>
      <c r="X768" s="12">
        <f>VLOOKUP(H768,Dim_Promotion!$A$2:$G$11,2,FALSE)</f>
        <v/>
      </c>
    </row>
    <row r="769">
      <c r="A769" s="4" t="inlineStr">
        <is>
          <t>SL0768</t>
        </is>
      </c>
      <c r="B769" t="inlineStr">
        <is>
          <t>O010384</t>
        </is>
      </c>
      <c r="C769" t="n">
        <v>20250623</v>
      </c>
      <c r="D769" s="4" t="inlineStr">
        <is>
          <t>C008</t>
        </is>
      </c>
      <c r="E769" s="4" t="inlineStr">
        <is>
          <t>P039</t>
        </is>
      </c>
      <c r="F769" t="inlineStr">
        <is>
          <t>S</t>
        </is>
      </c>
      <c r="G769" s="4" t="inlineStr">
        <is>
          <t>CH02</t>
        </is>
      </c>
      <c r="H769" s="4" t="inlineStr">
        <is>
          <t>PR05</t>
        </is>
      </c>
      <c r="I769" s="8" t="n">
        <v>74</v>
      </c>
      <c r="J769" s="9" t="n">
        <v>0.2</v>
      </c>
      <c r="K769" s="10">
        <f>I769*(1-J769)</f>
        <v/>
      </c>
      <c r="L769" s="11" t="n">
        <v>2</v>
      </c>
      <c r="M769" s="10">
        <f>K769*L769</f>
        <v/>
      </c>
      <c r="N769" s="8" t="n">
        <v>36.55</v>
      </c>
      <c r="O769" s="10">
        <f>N769*L769</f>
        <v/>
      </c>
      <c r="P769" s="10">
        <f>M769-O769</f>
        <v/>
      </c>
      <c r="Q769" s="11" t="inlineStr">
        <is>
          <t>No</t>
        </is>
      </c>
      <c r="R769" s="11" t="n">
        <v>0</v>
      </c>
      <c r="S769" s="10">
        <f>M769-(R769*K769)</f>
        <v/>
      </c>
      <c r="T769" s="12">
        <f>VLOOKUP(E769,Dim_Product!$A$2:$Q$61,3,FALSE)</f>
        <v/>
      </c>
      <c r="U769" s="12">
        <f>VLOOKUP(E769,Dim_Product!$A$2:$Q$61,4,FALSE)</f>
        <v/>
      </c>
      <c r="V769" s="12">
        <f>VLOOKUP(D769,Dim_Customer!$A$2:$I$121,6,FALSE)</f>
        <v/>
      </c>
      <c r="W769" s="12">
        <f>VLOOKUP(G769,Dim_Channel!$A$2:$B$5,2,FALSE)</f>
        <v/>
      </c>
      <c r="X769" s="12">
        <f>VLOOKUP(H769,Dim_Promotion!$A$2:$G$11,2,FALSE)</f>
        <v/>
      </c>
    </row>
    <row r="770">
      <c r="A770" s="4" t="inlineStr">
        <is>
          <t>SL0769</t>
        </is>
      </c>
      <c r="B770" t="inlineStr">
        <is>
          <t>O010385</t>
        </is>
      </c>
      <c r="C770" t="n">
        <v>20250722</v>
      </c>
      <c r="D770" s="4" t="inlineStr">
        <is>
          <t>C052</t>
        </is>
      </c>
      <c r="E770" s="4" t="inlineStr">
        <is>
          <t>P024</t>
        </is>
      </c>
      <c r="F770" t="inlineStr">
        <is>
          <t>S</t>
        </is>
      </c>
      <c r="G770" s="4" t="inlineStr">
        <is>
          <t>CH01</t>
        </is>
      </c>
      <c r="H770" s="4" t="inlineStr">
        <is>
          <t>PR00</t>
        </is>
      </c>
      <c r="I770" s="8" t="n">
        <v>60</v>
      </c>
      <c r="J770" s="9" t="n">
        <v>0</v>
      </c>
      <c r="K770" s="10">
        <f>I770*(1-J770)</f>
        <v/>
      </c>
      <c r="L770" s="11" t="n">
        <v>1</v>
      </c>
      <c r="M770" s="10">
        <f>K770*L770</f>
        <v/>
      </c>
      <c r="N770" s="8" t="n">
        <v>27.18</v>
      </c>
      <c r="O770" s="10">
        <f>N770*L770</f>
        <v/>
      </c>
      <c r="P770" s="10">
        <f>M770-O770</f>
        <v/>
      </c>
      <c r="Q770" s="11" t="inlineStr">
        <is>
          <t>No</t>
        </is>
      </c>
      <c r="R770" s="11" t="n">
        <v>0</v>
      </c>
      <c r="S770" s="10">
        <f>M770-(R770*K770)</f>
        <v/>
      </c>
      <c r="T770" s="12">
        <f>VLOOKUP(E770,Dim_Product!$A$2:$Q$61,3,FALSE)</f>
        <v/>
      </c>
      <c r="U770" s="12">
        <f>VLOOKUP(E770,Dim_Product!$A$2:$Q$61,4,FALSE)</f>
        <v/>
      </c>
      <c r="V770" s="12">
        <f>VLOOKUP(D770,Dim_Customer!$A$2:$I$121,6,FALSE)</f>
        <v/>
      </c>
      <c r="W770" s="12">
        <f>VLOOKUP(G770,Dim_Channel!$A$2:$B$5,2,FALSE)</f>
        <v/>
      </c>
      <c r="X770" s="12">
        <f>VLOOKUP(H770,Dim_Promotion!$A$2:$G$11,2,FALSE)</f>
        <v/>
      </c>
    </row>
    <row r="771">
      <c r="A771" s="4" t="inlineStr">
        <is>
          <t>SL0770</t>
        </is>
      </c>
      <c r="B771" t="inlineStr">
        <is>
          <t>O010385</t>
        </is>
      </c>
      <c r="C771" t="n">
        <v>20250317</v>
      </c>
      <c r="D771" s="4" t="inlineStr">
        <is>
          <t>C053</t>
        </is>
      </c>
      <c r="E771" s="4" t="inlineStr">
        <is>
          <t>P049</t>
        </is>
      </c>
      <c r="F771" t="inlineStr">
        <is>
          <t>M</t>
        </is>
      </c>
      <c r="G771" s="4" t="inlineStr">
        <is>
          <t>CH02</t>
        </is>
      </c>
      <c r="H771" s="4" t="inlineStr">
        <is>
          <t>PR00</t>
        </is>
      </c>
      <c r="I771" s="8" t="n">
        <v>72</v>
      </c>
      <c r="J771" s="9" t="n">
        <v>0</v>
      </c>
      <c r="K771" s="10">
        <f>I771*(1-J771)</f>
        <v/>
      </c>
      <c r="L771" s="11" t="n">
        <v>2</v>
      </c>
      <c r="M771" s="10">
        <f>K771*L771</f>
        <v/>
      </c>
      <c r="N771" s="8" t="n">
        <v>28.57</v>
      </c>
      <c r="O771" s="10">
        <f>N771*L771</f>
        <v/>
      </c>
      <c r="P771" s="10">
        <f>M771-O771</f>
        <v/>
      </c>
      <c r="Q771" s="11" t="inlineStr">
        <is>
          <t>No</t>
        </is>
      </c>
      <c r="R771" s="11" t="n">
        <v>0</v>
      </c>
      <c r="S771" s="10">
        <f>M771-(R771*K771)</f>
        <v/>
      </c>
      <c r="T771" s="12">
        <f>VLOOKUP(E771,Dim_Product!$A$2:$Q$61,3,FALSE)</f>
        <v/>
      </c>
      <c r="U771" s="12">
        <f>VLOOKUP(E771,Dim_Product!$A$2:$Q$61,4,FALSE)</f>
        <v/>
      </c>
      <c r="V771" s="12">
        <f>VLOOKUP(D771,Dim_Customer!$A$2:$I$121,6,FALSE)</f>
        <v/>
      </c>
      <c r="W771" s="12">
        <f>VLOOKUP(G771,Dim_Channel!$A$2:$B$5,2,FALSE)</f>
        <v/>
      </c>
      <c r="X771" s="12">
        <f>VLOOKUP(H771,Dim_Promotion!$A$2:$G$11,2,FALSE)</f>
        <v/>
      </c>
    </row>
    <row r="772">
      <c r="A772" s="4" t="inlineStr">
        <is>
          <t>SL0771</t>
        </is>
      </c>
      <c r="B772" t="inlineStr">
        <is>
          <t>O010386</t>
        </is>
      </c>
      <c r="C772" t="n">
        <v>20250203</v>
      </c>
      <c r="D772" s="4" t="inlineStr">
        <is>
          <t>C024</t>
        </is>
      </c>
      <c r="E772" s="4" t="inlineStr">
        <is>
          <t>P043</t>
        </is>
      </c>
      <c r="F772" t="inlineStr">
        <is>
          <t>M</t>
        </is>
      </c>
      <c r="G772" s="4" t="inlineStr">
        <is>
          <t>CH04</t>
        </is>
      </c>
      <c r="H772" s="4" t="inlineStr">
        <is>
          <t>PR02</t>
        </is>
      </c>
      <c r="I772" s="8" t="n">
        <v>78</v>
      </c>
      <c r="J772" s="9" t="n">
        <v>0.15</v>
      </c>
      <c r="K772" s="10">
        <f>I772*(1-J772)</f>
        <v/>
      </c>
      <c r="L772" s="11" t="n">
        <v>1</v>
      </c>
      <c r="M772" s="10">
        <f>K772*L772</f>
        <v/>
      </c>
      <c r="N772" s="8" t="n">
        <v>38.09</v>
      </c>
      <c r="O772" s="10">
        <f>N772*L772</f>
        <v/>
      </c>
      <c r="P772" s="10">
        <f>M772-O772</f>
        <v/>
      </c>
      <c r="Q772" s="11" t="inlineStr">
        <is>
          <t>No</t>
        </is>
      </c>
      <c r="R772" s="11" t="n">
        <v>0</v>
      </c>
      <c r="S772" s="10">
        <f>M772-(R772*K772)</f>
        <v/>
      </c>
      <c r="T772" s="12">
        <f>VLOOKUP(E772,Dim_Product!$A$2:$Q$61,3,FALSE)</f>
        <v/>
      </c>
      <c r="U772" s="12">
        <f>VLOOKUP(E772,Dim_Product!$A$2:$Q$61,4,FALSE)</f>
        <v/>
      </c>
      <c r="V772" s="12">
        <f>VLOOKUP(D772,Dim_Customer!$A$2:$I$121,6,FALSE)</f>
        <v/>
      </c>
      <c r="W772" s="12">
        <f>VLOOKUP(G772,Dim_Channel!$A$2:$B$5,2,FALSE)</f>
        <v/>
      </c>
      <c r="X772" s="12">
        <f>VLOOKUP(H772,Dim_Promotion!$A$2:$G$11,2,FALSE)</f>
        <v/>
      </c>
    </row>
    <row r="773">
      <c r="A773" s="4" t="inlineStr">
        <is>
          <t>SL0772</t>
        </is>
      </c>
      <c r="B773" t="inlineStr">
        <is>
          <t>O010386</t>
        </is>
      </c>
      <c r="C773" t="n">
        <v>20251008</v>
      </c>
      <c r="D773" s="4" t="inlineStr">
        <is>
          <t>C040</t>
        </is>
      </c>
      <c r="E773" s="4" t="inlineStr">
        <is>
          <t>P049</t>
        </is>
      </c>
      <c r="F773" t="inlineStr">
        <is>
          <t>XL</t>
        </is>
      </c>
      <c r="G773" s="4" t="inlineStr">
        <is>
          <t>CH02</t>
        </is>
      </c>
      <c r="H773" s="4" t="inlineStr">
        <is>
          <t>PR00</t>
        </is>
      </c>
      <c r="I773" s="8" t="n">
        <v>70</v>
      </c>
      <c r="J773" s="9" t="n">
        <v>0</v>
      </c>
      <c r="K773" s="10">
        <f>I773*(1-J773)</f>
        <v/>
      </c>
      <c r="L773" s="11" t="n">
        <v>1</v>
      </c>
      <c r="M773" s="10">
        <f>K773*L773</f>
        <v/>
      </c>
      <c r="N773" s="8" t="n">
        <v>29.08</v>
      </c>
      <c r="O773" s="10">
        <f>N773*L773</f>
        <v/>
      </c>
      <c r="P773" s="10">
        <f>M773-O773</f>
        <v/>
      </c>
      <c r="Q773" s="11" t="inlineStr">
        <is>
          <t>No</t>
        </is>
      </c>
      <c r="R773" s="11" t="n">
        <v>0</v>
      </c>
      <c r="S773" s="10">
        <f>M773-(R773*K773)</f>
        <v/>
      </c>
      <c r="T773" s="12">
        <f>VLOOKUP(E773,Dim_Product!$A$2:$Q$61,3,FALSE)</f>
        <v/>
      </c>
      <c r="U773" s="12">
        <f>VLOOKUP(E773,Dim_Product!$A$2:$Q$61,4,FALSE)</f>
        <v/>
      </c>
      <c r="V773" s="12">
        <f>VLOOKUP(D773,Dim_Customer!$A$2:$I$121,6,FALSE)</f>
        <v/>
      </c>
      <c r="W773" s="12">
        <f>VLOOKUP(G773,Dim_Channel!$A$2:$B$5,2,FALSE)</f>
        <v/>
      </c>
      <c r="X773" s="12">
        <f>VLOOKUP(H773,Dim_Promotion!$A$2:$G$11,2,FALSE)</f>
        <v/>
      </c>
    </row>
    <row r="774">
      <c r="A774" s="4" t="inlineStr">
        <is>
          <t>SL0773</t>
        </is>
      </c>
      <c r="B774" t="inlineStr">
        <is>
          <t>O010387</t>
        </is>
      </c>
      <c r="C774" t="n">
        <v>20250519</v>
      </c>
      <c r="D774" s="4" t="inlineStr">
        <is>
          <t>C041</t>
        </is>
      </c>
      <c r="E774" s="4" t="inlineStr">
        <is>
          <t>P015</t>
        </is>
      </c>
      <c r="F774" t="inlineStr">
        <is>
          <t>XL</t>
        </is>
      </c>
      <c r="G774" s="4" t="inlineStr">
        <is>
          <t>CH01</t>
        </is>
      </c>
      <c r="H774" s="4" t="inlineStr">
        <is>
          <t>PR00</t>
        </is>
      </c>
      <c r="I774" s="8" t="n">
        <v>58</v>
      </c>
      <c r="J774" s="9" t="n">
        <v>0.08</v>
      </c>
      <c r="K774" s="10">
        <f>I774*(1-J774)</f>
        <v/>
      </c>
      <c r="L774" s="11" t="n">
        <v>1</v>
      </c>
      <c r="M774" s="10">
        <f>K774*L774</f>
        <v/>
      </c>
      <c r="N774" s="8" t="n">
        <v>26.68</v>
      </c>
      <c r="O774" s="10">
        <f>N774*L774</f>
        <v/>
      </c>
      <c r="P774" s="10">
        <f>M774-O774</f>
        <v/>
      </c>
      <c r="Q774" s="11" t="inlineStr">
        <is>
          <t>No</t>
        </is>
      </c>
      <c r="R774" s="11" t="n">
        <v>0</v>
      </c>
      <c r="S774" s="10">
        <f>M774-(R774*K774)</f>
        <v/>
      </c>
      <c r="T774" s="12">
        <f>VLOOKUP(E774,Dim_Product!$A$2:$Q$61,3,FALSE)</f>
        <v/>
      </c>
      <c r="U774" s="12">
        <f>VLOOKUP(E774,Dim_Product!$A$2:$Q$61,4,FALSE)</f>
        <v/>
      </c>
      <c r="V774" s="12">
        <f>VLOOKUP(D774,Dim_Customer!$A$2:$I$121,6,FALSE)</f>
        <v/>
      </c>
      <c r="W774" s="12">
        <f>VLOOKUP(G774,Dim_Channel!$A$2:$B$5,2,FALSE)</f>
        <v/>
      </c>
      <c r="X774" s="12">
        <f>VLOOKUP(H774,Dim_Promotion!$A$2:$G$11,2,FALSE)</f>
        <v/>
      </c>
    </row>
    <row r="775">
      <c r="A775" s="4" t="inlineStr">
        <is>
          <t>SL0774</t>
        </is>
      </c>
      <c r="B775" t="inlineStr">
        <is>
          <t>O010387</t>
        </is>
      </c>
      <c r="C775" t="n">
        <v>20251122</v>
      </c>
      <c r="D775" s="4" t="inlineStr">
        <is>
          <t>C107</t>
        </is>
      </c>
      <c r="E775" s="4" t="inlineStr">
        <is>
          <t>P034</t>
        </is>
      </c>
      <c r="F775" t="inlineStr">
        <is>
          <t>L</t>
        </is>
      </c>
      <c r="G775" s="4" t="inlineStr">
        <is>
          <t>CH04</t>
        </is>
      </c>
      <c r="H775" s="4" t="inlineStr">
        <is>
          <t>PR00</t>
        </is>
      </c>
      <c r="I775" s="8" t="n">
        <v>90</v>
      </c>
      <c r="J775" s="9" t="n">
        <v>0</v>
      </c>
      <c r="K775" s="10">
        <f>I775*(1-J775)</f>
        <v/>
      </c>
      <c r="L775" s="11" t="n">
        <v>1</v>
      </c>
      <c r="M775" s="10">
        <f>K775*L775</f>
        <v/>
      </c>
      <c r="N775" s="8" t="n">
        <v>44.97</v>
      </c>
      <c r="O775" s="10">
        <f>N775*L775</f>
        <v/>
      </c>
      <c r="P775" s="10">
        <f>M775-O775</f>
        <v/>
      </c>
      <c r="Q775" s="11" t="inlineStr">
        <is>
          <t>No</t>
        </is>
      </c>
      <c r="R775" s="11" t="n">
        <v>0</v>
      </c>
      <c r="S775" s="10">
        <f>M775-(R775*K775)</f>
        <v/>
      </c>
      <c r="T775" s="12">
        <f>VLOOKUP(E775,Dim_Product!$A$2:$Q$61,3,FALSE)</f>
        <v/>
      </c>
      <c r="U775" s="12">
        <f>VLOOKUP(E775,Dim_Product!$A$2:$Q$61,4,FALSE)</f>
        <v/>
      </c>
      <c r="V775" s="12">
        <f>VLOOKUP(D775,Dim_Customer!$A$2:$I$121,6,FALSE)</f>
        <v/>
      </c>
      <c r="W775" s="12">
        <f>VLOOKUP(G775,Dim_Channel!$A$2:$B$5,2,FALSE)</f>
        <v/>
      </c>
      <c r="X775" s="12">
        <f>VLOOKUP(H775,Dim_Promotion!$A$2:$G$11,2,FALSE)</f>
        <v/>
      </c>
    </row>
    <row r="776">
      <c r="A776" s="4" t="inlineStr">
        <is>
          <t>SL0775</t>
        </is>
      </c>
      <c r="B776" t="inlineStr">
        <is>
          <t>O010388</t>
        </is>
      </c>
      <c r="C776" t="n">
        <v>20251126</v>
      </c>
      <c r="D776" s="4" t="inlineStr">
        <is>
          <t>C035</t>
        </is>
      </c>
      <c r="E776" s="4" t="inlineStr">
        <is>
          <t>P014</t>
        </is>
      </c>
      <c r="F776" t="inlineStr">
        <is>
          <t>S</t>
        </is>
      </c>
      <c r="G776" s="4" t="inlineStr">
        <is>
          <t>CH01</t>
        </is>
      </c>
      <c r="H776" s="4" t="inlineStr">
        <is>
          <t>PR08</t>
        </is>
      </c>
      <c r="I776" s="8" t="n">
        <v>60</v>
      </c>
      <c r="J776" s="9" t="n">
        <v>0.25</v>
      </c>
      <c r="K776" s="10">
        <f>I776*(1-J776)</f>
        <v/>
      </c>
      <c r="L776" s="11" t="n">
        <v>1</v>
      </c>
      <c r="M776" s="10">
        <f>K776*L776</f>
        <v/>
      </c>
      <c r="N776" s="8" t="n">
        <v>27.22</v>
      </c>
      <c r="O776" s="10">
        <f>N776*L776</f>
        <v/>
      </c>
      <c r="P776" s="10">
        <f>M776-O776</f>
        <v/>
      </c>
      <c r="Q776" s="11" t="inlineStr">
        <is>
          <t>No</t>
        </is>
      </c>
      <c r="R776" s="11" t="n">
        <v>0</v>
      </c>
      <c r="S776" s="10">
        <f>M776-(R776*K776)</f>
        <v/>
      </c>
      <c r="T776" s="12">
        <f>VLOOKUP(E776,Dim_Product!$A$2:$Q$61,3,FALSE)</f>
        <v/>
      </c>
      <c r="U776" s="12">
        <f>VLOOKUP(E776,Dim_Product!$A$2:$Q$61,4,FALSE)</f>
        <v/>
      </c>
      <c r="V776" s="12">
        <f>VLOOKUP(D776,Dim_Customer!$A$2:$I$121,6,FALSE)</f>
        <v/>
      </c>
      <c r="W776" s="12">
        <f>VLOOKUP(G776,Dim_Channel!$A$2:$B$5,2,FALSE)</f>
        <v/>
      </c>
      <c r="X776" s="12">
        <f>VLOOKUP(H776,Dim_Promotion!$A$2:$G$11,2,FALSE)</f>
        <v/>
      </c>
    </row>
    <row r="777">
      <c r="A777" s="4" t="inlineStr">
        <is>
          <t>SL0776</t>
        </is>
      </c>
      <c r="B777" t="inlineStr">
        <is>
          <t>O010388</t>
        </is>
      </c>
      <c r="C777" t="n">
        <v>20250822</v>
      </c>
      <c r="D777" s="4" t="inlineStr">
        <is>
          <t>C076</t>
        </is>
      </c>
      <c r="E777" s="4" t="inlineStr">
        <is>
          <t>P053</t>
        </is>
      </c>
      <c r="F777" t="inlineStr">
        <is>
          <t>XS</t>
        </is>
      </c>
      <c r="G777" s="4" t="inlineStr">
        <is>
          <t>CH01</t>
        </is>
      </c>
      <c r="H777" s="4" t="inlineStr">
        <is>
          <t>PR00</t>
        </is>
      </c>
      <c r="I777" s="8" t="n">
        <v>75</v>
      </c>
      <c r="J777" s="9" t="n">
        <v>0</v>
      </c>
      <c r="K777" s="10">
        <f>I777*(1-J777)</f>
        <v/>
      </c>
      <c r="L777" s="11" t="n">
        <v>1</v>
      </c>
      <c r="M777" s="10">
        <f>K777*L777</f>
        <v/>
      </c>
      <c r="N777" s="8" t="n">
        <v>34.64</v>
      </c>
      <c r="O777" s="10">
        <f>N777*L777</f>
        <v/>
      </c>
      <c r="P777" s="10">
        <f>M777-O777</f>
        <v/>
      </c>
      <c r="Q777" s="11" t="inlineStr">
        <is>
          <t>No</t>
        </is>
      </c>
      <c r="R777" s="11" t="n">
        <v>0</v>
      </c>
      <c r="S777" s="10">
        <f>M777-(R777*K777)</f>
        <v/>
      </c>
      <c r="T777" s="12">
        <f>VLOOKUP(E777,Dim_Product!$A$2:$Q$61,3,FALSE)</f>
        <v/>
      </c>
      <c r="U777" s="12">
        <f>VLOOKUP(E777,Dim_Product!$A$2:$Q$61,4,FALSE)</f>
        <v/>
      </c>
      <c r="V777" s="12">
        <f>VLOOKUP(D777,Dim_Customer!$A$2:$I$121,6,FALSE)</f>
        <v/>
      </c>
      <c r="W777" s="12">
        <f>VLOOKUP(G777,Dim_Channel!$A$2:$B$5,2,FALSE)</f>
        <v/>
      </c>
      <c r="X777" s="12">
        <f>VLOOKUP(H777,Dim_Promotion!$A$2:$G$11,2,FALSE)</f>
        <v/>
      </c>
    </row>
    <row r="778">
      <c r="A778" s="4" t="inlineStr">
        <is>
          <t>SL0777</t>
        </is>
      </c>
      <c r="B778" t="inlineStr">
        <is>
          <t>O010389</t>
        </is>
      </c>
      <c r="C778" t="n">
        <v>20251210</v>
      </c>
      <c r="D778" s="4" t="inlineStr">
        <is>
          <t>C021</t>
        </is>
      </c>
      <c r="E778" s="4" t="inlineStr">
        <is>
          <t>P026</t>
        </is>
      </c>
      <c r="F778" t="inlineStr">
        <is>
          <t>S</t>
        </is>
      </c>
      <c r="G778" s="4" t="inlineStr">
        <is>
          <t>CH03</t>
        </is>
      </c>
      <c r="H778" s="4" t="inlineStr">
        <is>
          <t>PR00</t>
        </is>
      </c>
      <c r="I778" s="8" t="n">
        <v>95</v>
      </c>
      <c r="J778" s="9" t="n">
        <v>0</v>
      </c>
      <c r="K778" s="10">
        <f>I778*(1-J778)</f>
        <v/>
      </c>
      <c r="L778" s="11" t="n">
        <v>1</v>
      </c>
      <c r="M778" s="10">
        <f>K778*L778</f>
        <v/>
      </c>
      <c r="N778" s="8" t="n">
        <v>46.07</v>
      </c>
      <c r="O778" s="10">
        <f>N778*L778</f>
        <v/>
      </c>
      <c r="P778" s="10">
        <f>M778-O778</f>
        <v/>
      </c>
      <c r="Q778" s="11" t="inlineStr">
        <is>
          <t>No</t>
        </is>
      </c>
      <c r="R778" s="11" t="n">
        <v>0</v>
      </c>
      <c r="S778" s="10">
        <f>M778-(R778*K778)</f>
        <v/>
      </c>
      <c r="T778" s="12">
        <f>VLOOKUP(E778,Dim_Product!$A$2:$Q$61,3,FALSE)</f>
        <v/>
      </c>
      <c r="U778" s="12">
        <f>VLOOKUP(E778,Dim_Product!$A$2:$Q$61,4,FALSE)</f>
        <v/>
      </c>
      <c r="V778" s="12">
        <f>VLOOKUP(D778,Dim_Customer!$A$2:$I$121,6,FALSE)</f>
        <v/>
      </c>
      <c r="W778" s="12">
        <f>VLOOKUP(G778,Dim_Channel!$A$2:$B$5,2,FALSE)</f>
        <v/>
      </c>
      <c r="X778" s="12">
        <f>VLOOKUP(H778,Dim_Promotion!$A$2:$G$11,2,FALSE)</f>
        <v/>
      </c>
    </row>
    <row r="779">
      <c r="A779" s="4" t="inlineStr">
        <is>
          <t>SL0778</t>
        </is>
      </c>
      <c r="B779" t="inlineStr">
        <is>
          <t>O010389</t>
        </is>
      </c>
      <c r="C779" t="n">
        <v>20250424</v>
      </c>
      <c r="D779" s="4" t="inlineStr">
        <is>
          <t>C048</t>
        </is>
      </c>
      <c r="E779" s="4" t="inlineStr">
        <is>
          <t>P035</t>
        </is>
      </c>
      <c r="F779" t="inlineStr">
        <is>
          <t>M</t>
        </is>
      </c>
      <c r="G779" s="4" t="inlineStr">
        <is>
          <t>CH01</t>
        </is>
      </c>
      <c r="H779" s="4" t="inlineStr">
        <is>
          <t>PR00</t>
        </is>
      </c>
      <c r="I779" s="8" t="n">
        <v>90</v>
      </c>
      <c r="J779" s="9" t="n">
        <v>0</v>
      </c>
      <c r="K779" s="10">
        <f>I779*(1-J779)</f>
        <v/>
      </c>
      <c r="L779" s="11" t="n">
        <v>1</v>
      </c>
      <c r="M779" s="10">
        <f>K779*L779</f>
        <v/>
      </c>
      <c r="N779" s="8" t="n">
        <v>43.24</v>
      </c>
      <c r="O779" s="10">
        <f>N779*L779</f>
        <v/>
      </c>
      <c r="P779" s="10">
        <f>M779-O779</f>
        <v/>
      </c>
      <c r="Q779" s="11" t="inlineStr">
        <is>
          <t>No</t>
        </is>
      </c>
      <c r="R779" s="11" t="n">
        <v>0</v>
      </c>
      <c r="S779" s="10">
        <f>M779-(R779*K779)</f>
        <v/>
      </c>
      <c r="T779" s="12">
        <f>VLOOKUP(E779,Dim_Product!$A$2:$Q$61,3,FALSE)</f>
        <v/>
      </c>
      <c r="U779" s="12">
        <f>VLOOKUP(E779,Dim_Product!$A$2:$Q$61,4,FALSE)</f>
        <v/>
      </c>
      <c r="V779" s="12">
        <f>VLOOKUP(D779,Dim_Customer!$A$2:$I$121,6,FALSE)</f>
        <v/>
      </c>
      <c r="W779" s="12">
        <f>VLOOKUP(G779,Dim_Channel!$A$2:$B$5,2,FALSE)</f>
        <v/>
      </c>
      <c r="X779" s="12">
        <f>VLOOKUP(H779,Dim_Promotion!$A$2:$G$11,2,FALSE)</f>
        <v/>
      </c>
    </row>
    <row r="780">
      <c r="A780" s="4" t="inlineStr">
        <is>
          <t>SL0779</t>
        </is>
      </c>
      <c r="B780" t="inlineStr">
        <is>
          <t>O010390</t>
        </is>
      </c>
      <c r="C780" t="n">
        <v>20250819</v>
      </c>
      <c r="D780" s="4" t="inlineStr">
        <is>
          <t>C004</t>
        </is>
      </c>
      <c r="E780" s="4" t="inlineStr">
        <is>
          <t>P009</t>
        </is>
      </c>
      <c r="F780" t="inlineStr">
        <is>
          <t>M</t>
        </is>
      </c>
      <c r="G780" s="4" t="inlineStr">
        <is>
          <t>CH03</t>
        </is>
      </c>
      <c r="H780" s="4" t="inlineStr">
        <is>
          <t>PR00</t>
        </is>
      </c>
      <c r="I780" s="8" t="n">
        <v>50</v>
      </c>
      <c r="J780" s="9" t="n">
        <v>0</v>
      </c>
      <c r="K780" s="10">
        <f>I780*(1-J780)</f>
        <v/>
      </c>
      <c r="L780" s="11" t="n">
        <v>1</v>
      </c>
      <c r="M780" s="10">
        <f>K780*L780</f>
        <v/>
      </c>
      <c r="N780" s="8" t="n">
        <v>19.73</v>
      </c>
      <c r="O780" s="10">
        <f>N780*L780</f>
        <v/>
      </c>
      <c r="P780" s="10">
        <f>M780-O780</f>
        <v/>
      </c>
      <c r="Q780" s="11" t="inlineStr">
        <is>
          <t>No</t>
        </is>
      </c>
      <c r="R780" s="11" t="n">
        <v>0</v>
      </c>
      <c r="S780" s="10">
        <f>M780-(R780*K780)</f>
        <v/>
      </c>
      <c r="T780" s="12">
        <f>VLOOKUP(E780,Dim_Product!$A$2:$Q$61,3,FALSE)</f>
        <v/>
      </c>
      <c r="U780" s="12">
        <f>VLOOKUP(E780,Dim_Product!$A$2:$Q$61,4,FALSE)</f>
        <v/>
      </c>
      <c r="V780" s="12">
        <f>VLOOKUP(D780,Dim_Customer!$A$2:$I$121,6,FALSE)</f>
        <v/>
      </c>
      <c r="W780" s="12">
        <f>VLOOKUP(G780,Dim_Channel!$A$2:$B$5,2,FALSE)</f>
        <v/>
      </c>
      <c r="X780" s="12">
        <f>VLOOKUP(H780,Dim_Promotion!$A$2:$G$11,2,FALSE)</f>
        <v/>
      </c>
    </row>
    <row r="781">
      <c r="A781" s="4" t="inlineStr">
        <is>
          <t>SL0780</t>
        </is>
      </c>
      <c r="B781" t="inlineStr">
        <is>
          <t>O010390</t>
        </is>
      </c>
      <c r="C781" t="n">
        <v>20250311</v>
      </c>
      <c r="D781" s="4" t="inlineStr">
        <is>
          <t>C101</t>
        </is>
      </c>
      <c r="E781" s="4" t="inlineStr">
        <is>
          <t>P047</t>
        </is>
      </c>
      <c r="F781" t="inlineStr">
        <is>
          <t>S</t>
        </is>
      </c>
      <c r="G781" s="4" t="inlineStr">
        <is>
          <t>CH01</t>
        </is>
      </c>
      <c r="H781" s="4" t="inlineStr">
        <is>
          <t>PR00</t>
        </is>
      </c>
      <c r="I781" s="8" t="n">
        <v>72</v>
      </c>
      <c r="J781" s="9" t="n">
        <v>0</v>
      </c>
      <c r="K781" s="10">
        <f>I781*(1-J781)</f>
        <v/>
      </c>
      <c r="L781" s="11" t="n">
        <v>1</v>
      </c>
      <c r="M781" s="10">
        <f>K781*L781</f>
        <v/>
      </c>
      <c r="N781" s="8" t="n">
        <v>30.72</v>
      </c>
      <c r="O781" s="10">
        <f>N781*L781</f>
        <v/>
      </c>
      <c r="P781" s="10">
        <f>M781-O781</f>
        <v/>
      </c>
      <c r="Q781" s="11" t="inlineStr">
        <is>
          <t>No</t>
        </is>
      </c>
      <c r="R781" s="11" t="n">
        <v>0</v>
      </c>
      <c r="S781" s="10">
        <f>M781-(R781*K781)</f>
        <v/>
      </c>
      <c r="T781" s="12">
        <f>VLOOKUP(E781,Dim_Product!$A$2:$Q$61,3,FALSE)</f>
        <v/>
      </c>
      <c r="U781" s="12">
        <f>VLOOKUP(E781,Dim_Product!$A$2:$Q$61,4,FALSE)</f>
        <v/>
      </c>
      <c r="V781" s="12">
        <f>VLOOKUP(D781,Dim_Customer!$A$2:$I$121,6,FALSE)</f>
        <v/>
      </c>
      <c r="W781" s="12">
        <f>VLOOKUP(G781,Dim_Channel!$A$2:$B$5,2,FALSE)</f>
        <v/>
      </c>
      <c r="X781" s="12">
        <f>VLOOKUP(H781,Dim_Promotion!$A$2:$G$11,2,FALSE)</f>
        <v/>
      </c>
    </row>
    <row r="782">
      <c r="A782" s="4" t="inlineStr">
        <is>
          <t>SL0781</t>
        </is>
      </c>
      <c r="B782" t="inlineStr">
        <is>
          <t>O010391</t>
        </is>
      </c>
      <c r="C782" t="n">
        <v>20250624</v>
      </c>
      <c r="D782" s="4" t="inlineStr">
        <is>
          <t>C032</t>
        </is>
      </c>
      <c r="E782" s="4" t="inlineStr">
        <is>
          <t>P009</t>
        </is>
      </c>
      <c r="F782" t="inlineStr">
        <is>
          <t>L</t>
        </is>
      </c>
      <c r="G782" s="4" t="inlineStr">
        <is>
          <t>CH01</t>
        </is>
      </c>
      <c r="H782" s="4" t="inlineStr">
        <is>
          <t>PR00</t>
        </is>
      </c>
      <c r="I782" s="8" t="n">
        <v>48</v>
      </c>
      <c r="J782" s="9" t="n">
        <v>0.08</v>
      </c>
      <c r="K782" s="10">
        <f>I782*(1-J782)</f>
        <v/>
      </c>
      <c r="L782" s="11" t="n">
        <v>2</v>
      </c>
      <c r="M782" s="10">
        <f>K782*L782</f>
        <v/>
      </c>
      <c r="N782" s="8" t="n">
        <v>19.38</v>
      </c>
      <c r="O782" s="10">
        <f>N782*L782</f>
        <v/>
      </c>
      <c r="P782" s="10">
        <f>M782-O782</f>
        <v/>
      </c>
      <c r="Q782" s="11" t="inlineStr">
        <is>
          <t>No</t>
        </is>
      </c>
      <c r="R782" s="11" t="n">
        <v>0</v>
      </c>
      <c r="S782" s="10">
        <f>M782-(R782*K782)</f>
        <v/>
      </c>
      <c r="T782" s="12">
        <f>VLOOKUP(E782,Dim_Product!$A$2:$Q$61,3,FALSE)</f>
        <v/>
      </c>
      <c r="U782" s="12">
        <f>VLOOKUP(E782,Dim_Product!$A$2:$Q$61,4,FALSE)</f>
        <v/>
      </c>
      <c r="V782" s="12">
        <f>VLOOKUP(D782,Dim_Customer!$A$2:$I$121,6,FALSE)</f>
        <v/>
      </c>
      <c r="W782" s="12">
        <f>VLOOKUP(G782,Dim_Channel!$A$2:$B$5,2,FALSE)</f>
        <v/>
      </c>
      <c r="X782" s="12">
        <f>VLOOKUP(H782,Dim_Promotion!$A$2:$G$11,2,FALSE)</f>
        <v/>
      </c>
    </row>
    <row r="783">
      <c r="A783" s="4" t="inlineStr">
        <is>
          <t>SL0782</t>
        </is>
      </c>
      <c r="B783" t="inlineStr">
        <is>
          <t>O010391</t>
        </is>
      </c>
      <c r="C783" t="n">
        <v>20251025</v>
      </c>
      <c r="D783" s="4" t="inlineStr">
        <is>
          <t>C118</t>
        </is>
      </c>
      <c r="E783" s="4" t="inlineStr">
        <is>
          <t>P005</t>
        </is>
      </c>
      <c r="F783" t="inlineStr">
        <is>
          <t>L</t>
        </is>
      </c>
      <c r="G783" s="4" t="inlineStr">
        <is>
          <t>CH01</t>
        </is>
      </c>
      <c r="H783" s="4" t="inlineStr">
        <is>
          <t>PR00</t>
        </is>
      </c>
      <c r="I783" s="8" t="n">
        <v>53</v>
      </c>
      <c r="J783" s="9" t="n">
        <v>0</v>
      </c>
      <c r="K783" s="10">
        <f>I783*(1-J783)</f>
        <v/>
      </c>
      <c r="L783" s="11" t="n">
        <v>1</v>
      </c>
      <c r="M783" s="10">
        <f>K783*L783</f>
        <v/>
      </c>
      <c r="N783" s="8" t="n">
        <v>20.24</v>
      </c>
      <c r="O783" s="10">
        <f>N783*L783</f>
        <v/>
      </c>
      <c r="P783" s="10">
        <f>M783-O783</f>
        <v/>
      </c>
      <c r="Q783" s="11" t="inlineStr">
        <is>
          <t>No</t>
        </is>
      </c>
      <c r="R783" s="11" t="n">
        <v>0</v>
      </c>
      <c r="S783" s="10">
        <f>M783-(R783*K783)</f>
        <v/>
      </c>
      <c r="T783" s="12">
        <f>VLOOKUP(E783,Dim_Product!$A$2:$Q$61,3,FALSE)</f>
        <v/>
      </c>
      <c r="U783" s="12">
        <f>VLOOKUP(E783,Dim_Product!$A$2:$Q$61,4,FALSE)</f>
        <v/>
      </c>
      <c r="V783" s="12">
        <f>VLOOKUP(D783,Dim_Customer!$A$2:$I$121,6,FALSE)</f>
        <v/>
      </c>
      <c r="W783" s="12">
        <f>VLOOKUP(G783,Dim_Channel!$A$2:$B$5,2,FALSE)</f>
        <v/>
      </c>
      <c r="X783" s="12">
        <f>VLOOKUP(H783,Dim_Promotion!$A$2:$G$11,2,FALSE)</f>
        <v/>
      </c>
    </row>
    <row r="784">
      <c r="A784" s="4" t="inlineStr">
        <is>
          <t>SL0783</t>
        </is>
      </c>
      <c r="B784" t="inlineStr">
        <is>
          <t>O010392</t>
        </is>
      </c>
      <c r="C784" t="n">
        <v>20250919</v>
      </c>
      <c r="D784" s="4" t="inlineStr">
        <is>
          <t>C004</t>
        </is>
      </c>
      <c r="E784" s="4" t="inlineStr">
        <is>
          <t>P012</t>
        </is>
      </c>
      <c r="F784" t="inlineStr">
        <is>
          <t>L</t>
        </is>
      </c>
      <c r="G784" s="4" t="inlineStr">
        <is>
          <t>CH03</t>
        </is>
      </c>
      <c r="H784" s="4" t="inlineStr">
        <is>
          <t>PR00</t>
        </is>
      </c>
      <c r="I784" s="8" t="n">
        <v>42</v>
      </c>
      <c r="J784" s="9" t="n">
        <v>0</v>
      </c>
      <c r="K784" s="10">
        <f>I784*(1-J784)</f>
        <v/>
      </c>
      <c r="L784" s="11" t="n">
        <v>1</v>
      </c>
      <c r="M784" s="10">
        <f>K784*L784</f>
        <v/>
      </c>
      <c r="N784" s="8" t="n">
        <v>22.55</v>
      </c>
      <c r="O784" s="10">
        <f>N784*L784</f>
        <v/>
      </c>
      <c r="P784" s="10">
        <f>M784-O784</f>
        <v/>
      </c>
      <c r="Q784" s="11" t="inlineStr">
        <is>
          <t>No</t>
        </is>
      </c>
      <c r="R784" s="11" t="n">
        <v>0</v>
      </c>
      <c r="S784" s="10">
        <f>M784-(R784*K784)</f>
        <v/>
      </c>
      <c r="T784" s="12">
        <f>VLOOKUP(E784,Dim_Product!$A$2:$Q$61,3,FALSE)</f>
        <v/>
      </c>
      <c r="U784" s="12">
        <f>VLOOKUP(E784,Dim_Product!$A$2:$Q$61,4,FALSE)</f>
        <v/>
      </c>
      <c r="V784" s="12">
        <f>VLOOKUP(D784,Dim_Customer!$A$2:$I$121,6,FALSE)</f>
        <v/>
      </c>
      <c r="W784" s="12">
        <f>VLOOKUP(G784,Dim_Channel!$A$2:$B$5,2,FALSE)</f>
        <v/>
      </c>
      <c r="X784" s="12">
        <f>VLOOKUP(H784,Dim_Promotion!$A$2:$G$11,2,FALSE)</f>
        <v/>
      </c>
    </row>
    <row r="785">
      <c r="A785" s="4" t="inlineStr">
        <is>
          <t>SL0784</t>
        </is>
      </c>
      <c r="B785" t="inlineStr">
        <is>
          <t>O010392</t>
        </is>
      </c>
      <c r="C785" t="n">
        <v>20250905</v>
      </c>
      <c r="D785" s="4" t="inlineStr">
        <is>
          <t>C064</t>
        </is>
      </c>
      <c r="E785" s="4" t="inlineStr">
        <is>
          <t>P010</t>
        </is>
      </c>
      <c r="F785" t="inlineStr">
        <is>
          <t>M</t>
        </is>
      </c>
      <c r="G785" s="4" t="inlineStr">
        <is>
          <t>CH02</t>
        </is>
      </c>
      <c r="H785" s="4" t="inlineStr">
        <is>
          <t>PR00</t>
        </is>
      </c>
      <c r="I785" s="8" t="n">
        <v>49</v>
      </c>
      <c r="J785" s="9" t="n">
        <v>0</v>
      </c>
      <c r="K785" s="10">
        <f>I785*(1-J785)</f>
        <v/>
      </c>
      <c r="L785" s="11" t="n">
        <v>1</v>
      </c>
      <c r="M785" s="10">
        <f>K785*L785</f>
        <v/>
      </c>
      <c r="N785" s="8" t="n">
        <v>19.97</v>
      </c>
      <c r="O785" s="10">
        <f>N785*L785</f>
        <v/>
      </c>
      <c r="P785" s="10">
        <f>M785-O785</f>
        <v/>
      </c>
      <c r="Q785" s="11" t="inlineStr">
        <is>
          <t>No</t>
        </is>
      </c>
      <c r="R785" s="11" t="n">
        <v>0</v>
      </c>
      <c r="S785" s="10">
        <f>M785-(R785*K785)</f>
        <v/>
      </c>
      <c r="T785" s="12">
        <f>VLOOKUP(E785,Dim_Product!$A$2:$Q$61,3,FALSE)</f>
        <v/>
      </c>
      <c r="U785" s="12">
        <f>VLOOKUP(E785,Dim_Product!$A$2:$Q$61,4,FALSE)</f>
        <v/>
      </c>
      <c r="V785" s="12">
        <f>VLOOKUP(D785,Dim_Customer!$A$2:$I$121,6,FALSE)</f>
        <v/>
      </c>
      <c r="W785" s="12">
        <f>VLOOKUP(G785,Dim_Channel!$A$2:$B$5,2,FALSE)</f>
        <v/>
      </c>
      <c r="X785" s="12">
        <f>VLOOKUP(H785,Dim_Promotion!$A$2:$G$11,2,FALSE)</f>
        <v/>
      </c>
    </row>
    <row r="786">
      <c r="A786" s="4" t="inlineStr">
        <is>
          <t>SL0785</t>
        </is>
      </c>
      <c r="B786" t="inlineStr">
        <is>
          <t>O010393</t>
        </is>
      </c>
      <c r="C786" t="n">
        <v>20250709</v>
      </c>
      <c r="D786" s="4" t="inlineStr">
        <is>
          <t>C054</t>
        </is>
      </c>
      <c r="E786" s="4" t="inlineStr">
        <is>
          <t>P010</t>
        </is>
      </c>
      <c r="F786" t="inlineStr">
        <is>
          <t>L</t>
        </is>
      </c>
      <c r="G786" s="4" t="inlineStr">
        <is>
          <t>CH01</t>
        </is>
      </c>
      <c r="H786" s="4" t="inlineStr">
        <is>
          <t>PR04</t>
        </is>
      </c>
      <c r="I786" s="8" t="n">
        <v>48</v>
      </c>
      <c r="J786" s="9" t="n">
        <v>0.12</v>
      </c>
      <c r="K786" s="10">
        <f>I786*(1-J786)</f>
        <v/>
      </c>
      <c r="L786" s="11" t="n">
        <v>1</v>
      </c>
      <c r="M786" s="10">
        <f>K786*L786</f>
        <v/>
      </c>
      <c r="N786" s="8" t="n">
        <v>19.72</v>
      </c>
      <c r="O786" s="10">
        <f>N786*L786</f>
        <v/>
      </c>
      <c r="P786" s="10">
        <f>M786-O786</f>
        <v/>
      </c>
      <c r="Q786" s="11" t="inlineStr">
        <is>
          <t>No</t>
        </is>
      </c>
      <c r="R786" s="11" t="n">
        <v>0</v>
      </c>
      <c r="S786" s="10">
        <f>M786-(R786*K786)</f>
        <v/>
      </c>
      <c r="T786" s="12">
        <f>VLOOKUP(E786,Dim_Product!$A$2:$Q$61,3,FALSE)</f>
        <v/>
      </c>
      <c r="U786" s="12">
        <f>VLOOKUP(E786,Dim_Product!$A$2:$Q$61,4,FALSE)</f>
        <v/>
      </c>
      <c r="V786" s="12">
        <f>VLOOKUP(D786,Dim_Customer!$A$2:$I$121,6,FALSE)</f>
        <v/>
      </c>
      <c r="W786" s="12">
        <f>VLOOKUP(G786,Dim_Channel!$A$2:$B$5,2,FALSE)</f>
        <v/>
      </c>
      <c r="X786" s="12">
        <f>VLOOKUP(H786,Dim_Promotion!$A$2:$G$11,2,FALSE)</f>
        <v/>
      </c>
    </row>
    <row r="787">
      <c r="A787" s="4" t="inlineStr">
        <is>
          <t>SL0786</t>
        </is>
      </c>
      <c r="B787" t="inlineStr">
        <is>
          <t>O010393</t>
        </is>
      </c>
      <c r="C787" t="n">
        <v>20251101</v>
      </c>
      <c r="D787" s="4" t="inlineStr">
        <is>
          <t>C021</t>
        </is>
      </c>
      <c r="E787" s="4" t="inlineStr">
        <is>
          <t>P018</t>
        </is>
      </c>
      <c r="F787" t="inlineStr">
        <is>
          <t>S</t>
        </is>
      </c>
      <c r="G787" s="4" t="inlineStr">
        <is>
          <t>CH01</t>
        </is>
      </c>
      <c r="H787" s="4" t="inlineStr">
        <is>
          <t>PR00</t>
        </is>
      </c>
      <c r="I787" s="8" t="n">
        <v>65</v>
      </c>
      <c r="J787" s="9" t="n">
        <v>0</v>
      </c>
      <c r="K787" s="10">
        <f>I787*(1-J787)</f>
        <v/>
      </c>
      <c r="L787" s="11" t="n">
        <v>1</v>
      </c>
      <c r="M787" s="10">
        <f>K787*L787</f>
        <v/>
      </c>
      <c r="N787" s="8" t="n">
        <v>30.48</v>
      </c>
      <c r="O787" s="10">
        <f>N787*L787</f>
        <v/>
      </c>
      <c r="P787" s="10">
        <f>M787-O787</f>
        <v/>
      </c>
      <c r="Q787" s="11" t="inlineStr">
        <is>
          <t>No</t>
        </is>
      </c>
      <c r="R787" s="11" t="n">
        <v>0</v>
      </c>
      <c r="S787" s="10">
        <f>M787-(R787*K787)</f>
        <v/>
      </c>
      <c r="T787" s="12">
        <f>VLOOKUP(E787,Dim_Product!$A$2:$Q$61,3,FALSE)</f>
        <v/>
      </c>
      <c r="U787" s="12">
        <f>VLOOKUP(E787,Dim_Product!$A$2:$Q$61,4,FALSE)</f>
        <v/>
      </c>
      <c r="V787" s="12">
        <f>VLOOKUP(D787,Dim_Customer!$A$2:$I$121,6,FALSE)</f>
        <v/>
      </c>
      <c r="W787" s="12">
        <f>VLOOKUP(G787,Dim_Channel!$A$2:$B$5,2,FALSE)</f>
        <v/>
      </c>
      <c r="X787" s="12">
        <f>VLOOKUP(H787,Dim_Promotion!$A$2:$G$11,2,FALSE)</f>
        <v/>
      </c>
    </row>
    <row r="788">
      <c r="A788" s="4" t="inlineStr">
        <is>
          <t>SL0787</t>
        </is>
      </c>
      <c r="B788" t="inlineStr">
        <is>
          <t>O010394</t>
        </is>
      </c>
      <c r="C788" t="n">
        <v>20251004</v>
      </c>
      <c r="D788" s="4" t="inlineStr">
        <is>
          <t>C078</t>
        </is>
      </c>
      <c r="E788" s="4" t="inlineStr">
        <is>
          <t>P029</t>
        </is>
      </c>
      <c r="F788" t="inlineStr">
        <is>
          <t>M</t>
        </is>
      </c>
      <c r="G788" s="4" t="inlineStr">
        <is>
          <t>CH04</t>
        </is>
      </c>
      <c r="H788" s="4" t="inlineStr">
        <is>
          <t>PR07</t>
        </is>
      </c>
      <c r="I788" s="8" t="n">
        <v>108</v>
      </c>
      <c r="J788" s="9" t="n">
        <v>0.12</v>
      </c>
      <c r="K788" s="10">
        <f>I788*(1-J788)</f>
        <v/>
      </c>
      <c r="L788" s="11" t="n">
        <v>2</v>
      </c>
      <c r="M788" s="10">
        <f>K788*L788</f>
        <v/>
      </c>
      <c r="N788" s="8" t="n">
        <v>58.18</v>
      </c>
      <c r="O788" s="10">
        <f>N788*L788</f>
        <v/>
      </c>
      <c r="P788" s="10">
        <f>M788-O788</f>
        <v/>
      </c>
      <c r="Q788" s="11" t="inlineStr">
        <is>
          <t>No</t>
        </is>
      </c>
      <c r="R788" s="11" t="n">
        <v>0</v>
      </c>
      <c r="S788" s="10">
        <f>M788-(R788*K788)</f>
        <v/>
      </c>
      <c r="T788" s="12">
        <f>VLOOKUP(E788,Dim_Product!$A$2:$Q$61,3,FALSE)</f>
        <v/>
      </c>
      <c r="U788" s="12">
        <f>VLOOKUP(E788,Dim_Product!$A$2:$Q$61,4,FALSE)</f>
        <v/>
      </c>
      <c r="V788" s="12">
        <f>VLOOKUP(D788,Dim_Customer!$A$2:$I$121,6,FALSE)</f>
        <v/>
      </c>
      <c r="W788" s="12">
        <f>VLOOKUP(G788,Dim_Channel!$A$2:$B$5,2,FALSE)</f>
        <v/>
      </c>
      <c r="X788" s="12">
        <f>VLOOKUP(H788,Dim_Promotion!$A$2:$G$11,2,FALSE)</f>
        <v/>
      </c>
    </row>
    <row r="789">
      <c r="A789" s="4" t="inlineStr">
        <is>
          <t>SL0788</t>
        </is>
      </c>
      <c r="B789" t="inlineStr">
        <is>
          <t>O010394</t>
        </is>
      </c>
      <c r="C789" t="n">
        <v>20250622</v>
      </c>
      <c r="D789" s="4" t="inlineStr">
        <is>
          <t>C011</t>
        </is>
      </c>
      <c r="E789" s="4" t="inlineStr">
        <is>
          <t>P008</t>
        </is>
      </c>
      <c r="F789" t="inlineStr">
        <is>
          <t>XL</t>
        </is>
      </c>
      <c r="G789" s="4" t="inlineStr">
        <is>
          <t>CH04</t>
        </is>
      </c>
      <c r="H789" s="4" t="inlineStr">
        <is>
          <t>PR00</t>
        </is>
      </c>
      <c r="I789" s="8" t="n">
        <v>53</v>
      </c>
      <c r="J789" s="9" t="n">
        <v>0</v>
      </c>
      <c r="K789" s="10">
        <f>I789*(1-J789)</f>
        <v/>
      </c>
      <c r="L789" s="11" t="n">
        <v>1</v>
      </c>
      <c r="M789" s="10">
        <f>K789*L789</f>
        <v/>
      </c>
      <c r="N789" s="8" t="n">
        <v>23.18</v>
      </c>
      <c r="O789" s="10">
        <f>N789*L789</f>
        <v/>
      </c>
      <c r="P789" s="10">
        <f>M789-O789</f>
        <v/>
      </c>
      <c r="Q789" s="11" t="inlineStr">
        <is>
          <t>Yes</t>
        </is>
      </c>
      <c r="R789" s="11" t="n">
        <v>1</v>
      </c>
      <c r="S789" s="10">
        <f>M789-(R789*K789)</f>
        <v/>
      </c>
      <c r="T789" s="12">
        <f>VLOOKUP(E789,Dim_Product!$A$2:$Q$61,3,FALSE)</f>
        <v/>
      </c>
      <c r="U789" s="12">
        <f>VLOOKUP(E789,Dim_Product!$A$2:$Q$61,4,FALSE)</f>
        <v/>
      </c>
      <c r="V789" s="12">
        <f>VLOOKUP(D789,Dim_Customer!$A$2:$I$121,6,FALSE)</f>
        <v/>
      </c>
      <c r="W789" s="12">
        <f>VLOOKUP(G789,Dim_Channel!$A$2:$B$5,2,FALSE)</f>
        <v/>
      </c>
      <c r="X789" s="12">
        <f>VLOOKUP(H789,Dim_Promotion!$A$2:$G$11,2,FALSE)</f>
        <v/>
      </c>
    </row>
    <row r="790">
      <c r="A790" s="4" t="inlineStr">
        <is>
          <t>SL0789</t>
        </is>
      </c>
      <c r="B790" t="inlineStr">
        <is>
          <t>O010395</t>
        </is>
      </c>
      <c r="C790" t="n">
        <v>20250702</v>
      </c>
      <c r="D790" s="4" t="inlineStr">
        <is>
          <t>C114</t>
        </is>
      </c>
      <c r="E790" s="4" t="inlineStr">
        <is>
          <t>P035</t>
        </is>
      </c>
      <c r="F790" t="inlineStr">
        <is>
          <t>M</t>
        </is>
      </c>
      <c r="G790" s="4" t="inlineStr">
        <is>
          <t>CH02</t>
        </is>
      </c>
      <c r="H790" s="4" t="inlineStr">
        <is>
          <t>PR05</t>
        </is>
      </c>
      <c r="I790" s="8" t="n">
        <v>86</v>
      </c>
      <c r="J790" s="9" t="n">
        <v>0.2</v>
      </c>
      <c r="K790" s="10">
        <f>I790*(1-J790)</f>
        <v/>
      </c>
      <c r="L790" s="11" t="n">
        <v>1</v>
      </c>
      <c r="M790" s="10">
        <f>K790*L790</f>
        <v/>
      </c>
      <c r="N790" s="8" t="n">
        <v>42.6</v>
      </c>
      <c r="O790" s="10">
        <f>N790*L790</f>
        <v/>
      </c>
      <c r="P790" s="10">
        <f>M790-O790</f>
        <v/>
      </c>
      <c r="Q790" s="11" t="inlineStr">
        <is>
          <t>No</t>
        </is>
      </c>
      <c r="R790" s="11" t="n">
        <v>0</v>
      </c>
      <c r="S790" s="10">
        <f>M790-(R790*K790)</f>
        <v/>
      </c>
      <c r="T790" s="12">
        <f>VLOOKUP(E790,Dim_Product!$A$2:$Q$61,3,FALSE)</f>
        <v/>
      </c>
      <c r="U790" s="12">
        <f>VLOOKUP(E790,Dim_Product!$A$2:$Q$61,4,FALSE)</f>
        <v/>
      </c>
      <c r="V790" s="12">
        <f>VLOOKUP(D790,Dim_Customer!$A$2:$I$121,6,FALSE)</f>
        <v/>
      </c>
      <c r="W790" s="12">
        <f>VLOOKUP(G790,Dim_Channel!$A$2:$B$5,2,FALSE)</f>
        <v/>
      </c>
      <c r="X790" s="12">
        <f>VLOOKUP(H790,Dim_Promotion!$A$2:$G$11,2,FALSE)</f>
        <v/>
      </c>
    </row>
    <row r="791">
      <c r="A791" s="4" t="inlineStr">
        <is>
          <t>SL0790</t>
        </is>
      </c>
      <c r="B791" t="inlineStr">
        <is>
          <t>O010395</t>
        </is>
      </c>
      <c r="C791" t="n">
        <v>20250111</v>
      </c>
      <c r="D791" s="4" t="inlineStr">
        <is>
          <t>C039</t>
        </is>
      </c>
      <c r="E791" s="4" t="inlineStr">
        <is>
          <t>P020</t>
        </is>
      </c>
      <c r="F791" t="inlineStr">
        <is>
          <t>M</t>
        </is>
      </c>
      <c r="G791" s="4" t="inlineStr">
        <is>
          <t>CH01</t>
        </is>
      </c>
      <c r="H791" s="4" t="inlineStr">
        <is>
          <t>PR00</t>
        </is>
      </c>
      <c r="I791" s="8" t="n">
        <v>65</v>
      </c>
      <c r="J791" s="9" t="n">
        <v>0.05</v>
      </c>
      <c r="K791" s="10">
        <f>I791*(1-J791)</f>
        <v/>
      </c>
      <c r="L791" s="11" t="n">
        <v>1</v>
      </c>
      <c r="M791" s="10">
        <f>K791*L791</f>
        <v/>
      </c>
      <c r="N791" s="8" t="n">
        <v>29.89</v>
      </c>
      <c r="O791" s="10">
        <f>N791*L791</f>
        <v/>
      </c>
      <c r="P791" s="10">
        <f>M791-O791</f>
        <v/>
      </c>
      <c r="Q791" s="11" t="inlineStr">
        <is>
          <t>No</t>
        </is>
      </c>
      <c r="R791" s="11" t="n">
        <v>0</v>
      </c>
      <c r="S791" s="10">
        <f>M791-(R791*K791)</f>
        <v/>
      </c>
      <c r="T791" s="12">
        <f>VLOOKUP(E791,Dim_Product!$A$2:$Q$61,3,FALSE)</f>
        <v/>
      </c>
      <c r="U791" s="12">
        <f>VLOOKUP(E791,Dim_Product!$A$2:$Q$61,4,FALSE)</f>
        <v/>
      </c>
      <c r="V791" s="12">
        <f>VLOOKUP(D791,Dim_Customer!$A$2:$I$121,6,FALSE)</f>
        <v/>
      </c>
      <c r="W791" s="12">
        <f>VLOOKUP(G791,Dim_Channel!$A$2:$B$5,2,FALSE)</f>
        <v/>
      </c>
      <c r="X791" s="12">
        <f>VLOOKUP(H791,Dim_Promotion!$A$2:$G$11,2,FALSE)</f>
        <v/>
      </c>
    </row>
    <row r="792">
      <c r="A792" s="4" t="inlineStr">
        <is>
          <t>SL0791</t>
        </is>
      </c>
      <c r="B792" t="inlineStr">
        <is>
          <t>O010396</t>
        </is>
      </c>
      <c r="C792" t="n">
        <v>20250908</v>
      </c>
      <c r="D792" s="4" t="inlineStr">
        <is>
          <t>C118</t>
        </is>
      </c>
      <c r="E792" s="4" t="inlineStr">
        <is>
          <t>P049</t>
        </is>
      </c>
      <c r="F792" t="inlineStr">
        <is>
          <t>L</t>
        </is>
      </c>
      <c r="G792" s="4" t="inlineStr">
        <is>
          <t>CH03</t>
        </is>
      </c>
      <c r="H792" s="4" t="inlineStr">
        <is>
          <t>PR00</t>
        </is>
      </c>
      <c r="I792" s="8" t="n">
        <v>68</v>
      </c>
      <c r="J792" s="9" t="n">
        <v>0</v>
      </c>
      <c r="K792" s="10">
        <f>I792*(1-J792)</f>
        <v/>
      </c>
      <c r="L792" s="11" t="n">
        <v>1</v>
      </c>
      <c r="M792" s="10">
        <f>K792*L792</f>
        <v/>
      </c>
      <c r="N792" s="8" t="n">
        <v>28.49</v>
      </c>
      <c r="O792" s="10">
        <f>N792*L792</f>
        <v/>
      </c>
      <c r="P792" s="10">
        <f>M792-O792</f>
        <v/>
      </c>
      <c r="Q792" s="11" t="inlineStr">
        <is>
          <t>No</t>
        </is>
      </c>
      <c r="R792" s="11" t="n">
        <v>0</v>
      </c>
      <c r="S792" s="10">
        <f>M792-(R792*K792)</f>
        <v/>
      </c>
      <c r="T792" s="12">
        <f>VLOOKUP(E792,Dim_Product!$A$2:$Q$61,3,FALSE)</f>
        <v/>
      </c>
      <c r="U792" s="12">
        <f>VLOOKUP(E792,Dim_Product!$A$2:$Q$61,4,FALSE)</f>
        <v/>
      </c>
      <c r="V792" s="12">
        <f>VLOOKUP(D792,Dim_Customer!$A$2:$I$121,6,FALSE)</f>
        <v/>
      </c>
      <c r="W792" s="12">
        <f>VLOOKUP(G792,Dim_Channel!$A$2:$B$5,2,FALSE)</f>
        <v/>
      </c>
      <c r="X792" s="12">
        <f>VLOOKUP(H792,Dim_Promotion!$A$2:$G$11,2,FALSE)</f>
        <v/>
      </c>
    </row>
    <row r="793">
      <c r="A793" s="4" t="inlineStr">
        <is>
          <t>SL0792</t>
        </is>
      </c>
      <c r="B793" t="inlineStr">
        <is>
          <t>O010396</t>
        </is>
      </c>
      <c r="C793" t="n">
        <v>20251026</v>
      </c>
      <c r="D793" s="4" t="inlineStr">
        <is>
          <t>C113</t>
        </is>
      </c>
      <c r="E793" s="4" t="inlineStr">
        <is>
          <t>P006</t>
        </is>
      </c>
      <c r="F793" t="inlineStr">
        <is>
          <t>L</t>
        </is>
      </c>
      <c r="G793" s="4" t="inlineStr">
        <is>
          <t>CH01</t>
        </is>
      </c>
      <c r="H793" s="4" t="inlineStr">
        <is>
          <t>PR00</t>
        </is>
      </c>
      <c r="I793" s="8" t="n">
        <v>47</v>
      </c>
      <c r="J793" s="9" t="n">
        <v>0</v>
      </c>
      <c r="K793" s="10">
        <f>I793*(1-J793)</f>
        <v/>
      </c>
      <c r="L793" s="11" t="n">
        <v>1</v>
      </c>
      <c r="M793" s="10">
        <f>K793*L793</f>
        <v/>
      </c>
      <c r="N793" s="8" t="n">
        <v>21.78</v>
      </c>
      <c r="O793" s="10">
        <f>N793*L793</f>
        <v/>
      </c>
      <c r="P793" s="10">
        <f>M793-O793</f>
        <v/>
      </c>
      <c r="Q793" s="11" t="inlineStr">
        <is>
          <t>No</t>
        </is>
      </c>
      <c r="R793" s="11" t="n">
        <v>0</v>
      </c>
      <c r="S793" s="10">
        <f>M793-(R793*K793)</f>
        <v/>
      </c>
      <c r="T793" s="12">
        <f>VLOOKUP(E793,Dim_Product!$A$2:$Q$61,3,FALSE)</f>
        <v/>
      </c>
      <c r="U793" s="12">
        <f>VLOOKUP(E793,Dim_Product!$A$2:$Q$61,4,FALSE)</f>
        <v/>
      </c>
      <c r="V793" s="12">
        <f>VLOOKUP(D793,Dim_Customer!$A$2:$I$121,6,FALSE)</f>
        <v/>
      </c>
      <c r="W793" s="12">
        <f>VLOOKUP(G793,Dim_Channel!$A$2:$B$5,2,FALSE)</f>
        <v/>
      </c>
      <c r="X793" s="12">
        <f>VLOOKUP(H793,Dim_Promotion!$A$2:$G$11,2,FALSE)</f>
        <v/>
      </c>
    </row>
    <row r="794">
      <c r="A794" s="4" t="inlineStr">
        <is>
          <t>SL0793</t>
        </is>
      </c>
      <c r="B794" t="inlineStr">
        <is>
          <t>O010397</t>
        </is>
      </c>
      <c r="C794" t="n">
        <v>20250929</v>
      </c>
      <c r="D794" s="4" t="inlineStr">
        <is>
          <t>C011</t>
        </is>
      </c>
      <c r="E794" s="4" t="inlineStr">
        <is>
          <t>P049</t>
        </is>
      </c>
      <c r="F794" t="inlineStr">
        <is>
          <t>S</t>
        </is>
      </c>
      <c r="G794" s="4" t="inlineStr">
        <is>
          <t>CH02</t>
        </is>
      </c>
      <c r="H794" s="4" t="inlineStr">
        <is>
          <t>PR00</t>
        </is>
      </c>
      <c r="I794" s="8" t="n">
        <v>70</v>
      </c>
      <c r="J794" s="9" t="n">
        <v>0</v>
      </c>
      <c r="K794" s="10">
        <f>I794*(1-J794)</f>
        <v/>
      </c>
      <c r="L794" s="11" t="n">
        <v>1</v>
      </c>
      <c r="M794" s="10">
        <f>K794*L794</f>
        <v/>
      </c>
      <c r="N794" s="8" t="n">
        <v>29.36</v>
      </c>
      <c r="O794" s="10">
        <f>N794*L794</f>
        <v/>
      </c>
      <c r="P794" s="10">
        <f>M794-O794</f>
        <v/>
      </c>
      <c r="Q794" s="11" t="inlineStr">
        <is>
          <t>No</t>
        </is>
      </c>
      <c r="R794" s="11" t="n">
        <v>0</v>
      </c>
      <c r="S794" s="10">
        <f>M794-(R794*K794)</f>
        <v/>
      </c>
      <c r="T794" s="12">
        <f>VLOOKUP(E794,Dim_Product!$A$2:$Q$61,3,FALSE)</f>
        <v/>
      </c>
      <c r="U794" s="12">
        <f>VLOOKUP(E794,Dim_Product!$A$2:$Q$61,4,FALSE)</f>
        <v/>
      </c>
      <c r="V794" s="12">
        <f>VLOOKUP(D794,Dim_Customer!$A$2:$I$121,6,FALSE)</f>
        <v/>
      </c>
      <c r="W794" s="12">
        <f>VLOOKUP(G794,Dim_Channel!$A$2:$B$5,2,FALSE)</f>
        <v/>
      </c>
      <c r="X794" s="12">
        <f>VLOOKUP(H794,Dim_Promotion!$A$2:$G$11,2,FALSE)</f>
        <v/>
      </c>
    </row>
    <row r="795">
      <c r="A795" s="4" t="inlineStr">
        <is>
          <t>SL0794</t>
        </is>
      </c>
      <c r="B795" t="inlineStr">
        <is>
          <t>O010397</t>
        </is>
      </c>
      <c r="C795" t="n">
        <v>20250902</v>
      </c>
      <c r="D795" s="4" t="inlineStr">
        <is>
          <t>C048</t>
        </is>
      </c>
      <c r="E795" s="4" t="inlineStr">
        <is>
          <t>P033</t>
        </is>
      </c>
      <c r="F795" t="inlineStr">
        <is>
          <t>XXL</t>
        </is>
      </c>
      <c r="G795" s="4" t="inlineStr">
        <is>
          <t>CH02</t>
        </is>
      </c>
      <c r="H795" s="4" t="inlineStr">
        <is>
          <t>PR07</t>
        </is>
      </c>
      <c r="I795" s="8" t="n">
        <v>86</v>
      </c>
      <c r="J795" s="9" t="n">
        <v>0.12</v>
      </c>
      <c r="K795" s="10">
        <f>I795*(1-J795)</f>
        <v/>
      </c>
      <c r="L795" s="11" t="n">
        <v>1</v>
      </c>
      <c r="M795" s="10">
        <f>K795*L795</f>
        <v/>
      </c>
      <c r="N795" s="8" t="n">
        <v>42.85</v>
      </c>
      <c r="O795" s="10">
        <f>N795*L795</f>
        <v/>
      </c>
      <c r="P795" s="10">
        <f>M795-O795</f>
        <v/>
      </c>
      <c r="Q795" s="11" t="inlineStr">
        <is>
          <t>No</t>
        </is>
      </c>
      <c r="R795" s="11" t="n">
        <v>0</v>
      </c>
      <c r="S795" s="10">
        <f>M795-(R795*K795)</f>
        <v/>
      </c>
      <c r="T795" s="12">
        <f>VLOOKUP(E795,Dim_Product!$A$2:$Q$61,3,FALSE)</f>
        <v/>
      </c>
      <c r="U795" s="12">
        <f>VLOOKUP(E795,Dim_Product!$A$2:$Q$61,4,FALSE)</f>
        <v/>
      </c>
      <c r="V795" s="12">
        <f>VLOOKUP(D795,Dim_Customer!$A$2:$I$121,6,FALSE)</f>
        <v/>
      </c>
      <c r="W795" s="12">
        <f>VLOOKUP(G795,Dim_Channel!$A$2:$B$5,2,FALSE)</f>
        <v/>
      </c>
      <c r="X795" s="12">
        <f>VLOOKUP(H795,Dim_Promotion!$A$2:$G$11,2,FALSE)</f>
        <v/>
      </c>
    </row>
    <row r="796">
      <c r="A796" s="4" t="inlineStr">
        <is>
          <t>SL0795</t>
        </is>
      </c>
      <c r="B796" t="inlineStr">
        <is>
          <t>O010398</t>
        </is>
      </c>
      <c r="C796" t="n">
        <v>20251222</v>
      </c>
      <c r="D796" s="4" t="inlineStr">
        <is>
          <t>C037</t>
        </is>
      </c>
      <c r="E796" s="4" t="inlineStr">
        <is>
          <t>P015</t>
        </is>
      </c>
      <c r="F796" t="inlineStr">
        <is>
          <t>S</t>
        </is>
      </c>
      <c r="G796" s="4" t="inlineStr">
        <is>
          <t>CH01</t>
        </is>
      </c>
      <c r="H796" s="4" t="inlineStr">
        <is>
          <t>PR00</t>
        </is>
      </c>
      <c r="I796" s="8" t="n">
        <v>58</v>
      </c>
      <c r="J796" s="9" t="n">
        <v>0</v>
      </c>
      <c r="K796" s="10">
        <f>I796*(1-J796)</f>
        <v/>
      </c>
      <c r="L796" s="11" t="n">
        <v>2</v>
      </c>
      <c r="M796" s="10">
        <f>K796*L796</f>
        <v/>
      </c>
      <c r="N796" s="8" t="n">
        <v>26.47</v>
      </c>
      <c r="O796" s="10">
        <f>N796*L796</f>
        <v/>
      </c>
      <c r="P796" s="10">
        <f>M796-O796</f>
        <v/>
      </c>
      <c r="Q796" s="11" t="inlineStr">
        <is>
          <t>No</t>
        </is>
      </c>
      <c r="R796" s="11" t="n">
        <v>0</v>
      </c>
      <c r="S796" s="10">
        <f>M796-(R796*K796)</f>
        <v/>
      </c>
      <c r="T796" s="12">
        <f>VLOOKUP(E796,Dim_Product!$A$2:$Q$61,3,FALSE)</f>
        <v/>
      </c>
      <c r="U796" s="12">
        <f>VLOOKUP(E796,Dim_Product!$A$2:$Q$61,4,FALSE)</f>
        <v/>
      </c>
      <c r="V796" s="12">
        <f>VLOOKUP(D796,Dim_Customer!$A$2:$I$121,6,FALSE)</f>
        <v/>
      </c>
      <c r="W796" s="12">
        <f>VLOOKUP(G796,Dim_Channel!$A$2:$B$5,2,FALSE)</f>
        <v/>
      </c>
      <c r="X796" s="12">
        <f>VLOOKUP(H796,Dim_Promotion!$A$2:$G$11,2,FALSE)</f>
        <v/>
      </c>
    </row>
    <row r="797">
      <c r="A797" s="4" t="inlineStr">
        <is>
          <t>SL0796</t>
        </is>
      </c>
      <c r="B797" t="inlineStr">
        <is>
          <t>O010398</t>
        </is>
      </c>
      <c r="C797" t="n">
        <v>20250423</v>
      </c>
      <c r="D797" s="4" t="inlineStr">
        <is>
          <t>C042</t>
        </is>
      </c>
      <c r="E797" s="4" t="inlineStr">
        <is>
          <t>P012</t>
        </is>
      </c>
      <c r="F797" t="inlineStr">
        <is>
          <t>L</t>
        </is>
      </c>
      <c r="G797" s="4" t="inlineStr">
        <is>
          <t>CH02</t>
        </is>
      </c>
      <c r="H797" s="4" t="inlineStr">
        <is>
          <t>PR00</t>
        </is>
      </c>
      <c r="I797" s="8" t="n">
        <v>45</v>
      </c>
      <c r="J797" s="9" t="n">
        <v>0</v>
      </c>
      <c r="K797" s="10">
        <f>I797*(1-J797)</f>
        <v/>
      </c>
      <c r="L797" s="11" t="n">
        <v>1</v>
      </c>
      <c r="M797" s="10">
        <f>K797*L797</f>
        <v/>
      </c>
      <c r="N797" s="8" t="n">
        <v>21.99</v>
      </c>
      <c r="O797" s="10">
        <f>N797*L797</f>
        <v/>
      </c>
      <c r="P797" s="10">
        <f>M797-O797</f>
        <v/>
      </c>
      <c r="Q797" s="11" t="inlineStr">
        <is>
          <t>No</t>
        </is>
      </c>
      <c r="R797" s="11" t="n">
        <v>0</v>
      </c>
      <c r="S797" s="10">
        <f>M797-(R797*K797)</f>
        <v/>
      </c>
      <c r="T797" s="12">
        <f>VLOOKUP(E797,Dim_Product!$A$2:$Q$61,3,FALSE)</f>
        <v/>
      </c>
      <c r="U797" s="12">
        <f>VLOOKUP(E797,Dim_Product!$A$2:$Q$61,4,FALSE)</f>
        <v/>
      </c>
      <c r="V797" s="12">
        <f>VLOOKUP(D797,Dim_Customer!$A$2:$I$121,6,FALSE)</f>
        <v/>
      </c>
      <c r="W797" s="12">
        <f>VLOOKUP(G797,Dim_Channel!$A$2:$B$5,2,FALSE)</f>
        <v/>
      </c>
      <c r="X797" s="12">
        <f>VLOOKUP(H797,Dim_Promotion!$A$2:$G$11,2,FALSE)</f>
        <v/>
      </c>
    </row>
    <row r="798">
      <c r="A798" s="4" t="inlineStr">
        <is>
          <t>SL0797</t>
        </is>
      </c>
      <c r="B798" t="inlineStr">
        <is>
          <t>O010399</t>
        </is>
      </c>
      <c r="C798" t="n">
        <v>20251201</v>
      </c>
      <c r="D798" s="4" t="inlineStr">
        <is>
          <t>C044</t>
        </is>
      </c>
      <c r="E798" s="4" t="inlineStr">
        <is>
          <t>P019</t>
        </is>
      </c>
      <c r="F798" t="inlineStr">
        <is>
          <t>S</t>
        </is>
      </c>
      <c r="G798" s="4" t="inlineStr">
        <is>
          <t>CH02</t>
        </is>
      </c>
      <c r="H798" s="4" t="inlineStr">
        <is>
          <t>PR00</t>
        </is>
      </c>
      <c r="I798" s="8" t="n">
        <v>64</v>
      </c>
      <c r="J798" s="9" t="n">
        <v>0</v>
      </c>
      <c r="K798" s="10">
        <f>I798*(1-J798)</f>
        <v/>
      </c>
      <c r="L798" s="11" t="n">
        <v>1</v>
      </c>
      <c r="M798" s="10">
        <f>K798*L798</f>
        <v/>
      </c>
      <c r="N798" s="8" t="n">
        <v>31.69</v>
      </c>
      <c r="O798" s="10">
        <f>N798*L798</f>
        <v/>
      </c>
      <c r="P798" s="10">
        <f>M798-O798</f>
        <v/>
      </c>
      <c r="Q798" s="11" t="inlineStr">
        <is>
          <t>No</t>
        </is>
      </c>
      <c r="R798" s="11" t="n">
        <v>0</v>
      </c>
      <c r="S798" s="10">
        <f>M798-(R798*K798)</f>
        <v/>
      </c>
      <c r="T798" s="12">
        <f>VLOOKUP(E798,Dim_Product!$A$2:$Q$61,3,FALSE)</f>
        <v/>
      </c>
      <c r="U798" s="12">
        <f>VLOOKUP(E798,Dim_Product!$A$2:$Q$61,4,FALSE)</f>
        <v/>
      </c>
      <c r="V798" s="12">
        <f>VLOOKUP(D798,Dim_Customer!$A$2:$I$121,6,FALSE)</f>
        <v/>
      </c>
      <c r="W798" s="12">
        <f>VLOOKUP(G798,Dim_Channel!$A$2:$B$5,2,FALSE)</f>
        <v/>
      </c>
      <c r="X798" s="12">
        <f>VLOOKUP(H798,Dim_Promotion!$A$2:$G$11,2,FALSE)</f>
        <v/>
      </c>
    </row>
    <row r="799">
      <c r="A799" s="4" t="inlineStr">
        <is>
          <t>SL0798</t>
        </is>
      </c>
      <c r="B799" t="inlineStr">
        <is>
          <t>O010399</t>
        </is>
      </c>
      <c r="C799" t="n">
        <v>20250622</v>
      </c>
      <c r="D799" s="4" t="inlineStr">
        <is>
          <t>C110</t>
        </is>
      </c>
      <c r="E799" s="4" t="inlineStr">
        <is>
          <t>P033</t>
        </is>
      </c>
      <c r="F799" t="inlineStr">
        <is>
          <t>L</t>
        </is>
      </c>
      <c r="G799" s="4" t="inlineStr">
        <is>
          <t>CH04</t>
        </is>
      </c>
      <c r="H799" s="4" t="inlineStr">
        <is>
          <t>PR00</t>
        </is>
      </c>
      <c r="I799" s="8" t="n">
        <v>88</v>
      </c>
      <c r="J799" s="9" t="n">
        <v>0</v>
      </c>
      <c r="K799" s="10">
        <f>I799*(1-J799)</f>
        <v/>
      </c>
      <c r="L799" s="11" t="n">
        <v>1</v>
      </c>
      <c r="M799" s="10">
        <f>K799*L799</f>
        <v/>
      </c>
      <c r="N799" s="8" t="n">
        <v>41.9</v>
      </c>
      <c r="O799" s="10">
        <f>N799*L799</f>
        <v/>
      </c>
      <c r="P799" s="10">
        <f>M799-O799</f>
        <v/>
      </c>
      <c r="Q799" s="11" t="inlineStr">
        <is>
          <t>No</t>
        </is>
      </c>
      <c r="R799" s="11" t="n">
        <v>0</v>
      </c>
      <c r="S799" s="10">
        <f>M799-(R799*K799)</f>
        <v/>
      </c>
      <c r="T799" s="12">
        <f>VLOOKUP(E799,Dim_Product!$A$2:$Q$61,3,FALSE)</f>
        <v/>
      </c>
      <c r="U799" s="12">
        <f>VLOOKUP(E799,Dim_Product!$A$2:$Q$61,4,FALSE)</f>
        <v/>
      </c>
      <c r="V799" s="12">
        <f>VLOOKUP(D799,Dim_Customer!$A$2:$I$121,6,FALSE)</f>
        <v/>
      </c>
      <c r="W799" s="12">
        <f>VLOOKUP(G799,Dim_Channel!$A$2:$B$5,2,FALSE)</f>
        <v/>
      </c>
      <c r="X799" s="12">
        <f>VLOOKUP(H799,Dim_Promotion!$A$2:$G$11,2,FALSE)</f>
        <v/>
      </c>
    </row>
    <row r="800">
      <c r="A800" s="4" t="inlineStr">
        <is>
          <t>SL0799</t>
        </is>
      </c>
      <c r="B800" t="inlineStr">
        <is>
          <t>O010400</t>
        </is>
      </c>
      <c r="C800" t="n">
        <v>20250901</v>
      </c>
      <c r="D800" s="4" t="inlineStr">
        <is>
          <t>C020</t>
        </is>
      </c>
      <c r="E800" s="4" t="inlineStr">
        <is>
          <t>P037</t>
        </is>
      </c>
      <c r="F800" t="inlineStr">
        <is>
          <t>S</t>
        </is>
      </c>
      <c r="G800" s="4" t="inlineStr">
        <is>
          <t>CH02</t>
        </is>
      </c>
      <c r="H800" s="4" t="inlineStr">
        <is>
          <t>PR00</t>
        </is>
      </c>
      <c r="I800" s="8" t="n">
        <v>70</v>
      </c>
      <c r="J800" s="9" t="n">
        <v>0</v>
      </c>
      <c r="K800" s="10">
        <f>I800*(1-J800)</f>
        <v/>
      </c>
      <c r="L800" s="11" t="n">
        <v>2</v>
      </c>
      <c r="M800" s="10">
        <f>K800*L800</f>
        <v/>
      </c>
      <c r="N800" s="8" t="n">
        <v>32.9</v>
      </c>
      <c r="O800" s="10">
        <f>N800*L800</f>
        <v/>
      </c>
      <c r="P800" s="10">
        <f>M800-O800</f>
        <v/>
      </c>
      <c r="Q800" s="11" t="inlineStr">
        <is>
          <t>No</t>
        </is>
      </c>
      <c r="R800" s="11" t="n">
        <v>0</v>
      </c>
      <c r="S800" s="10">
        <f>M800-(R800*K800)</f>
        <v/>
      </c>
      <c r="T800" s="12">
        <f>VLOOKUP(E800,Dim_Product!$A$2:$Q$61,3,FALSE)</f>
        <v/>
      </c>
      <c r="U800" s="12">
        <f>VLOOKUP(E800,Dim_Product!$A$2:$Q$61,4,FALSE)</f>
        <v/>
      </c>
      <c r="V800" s="12">
        <f>VLOOKUP(D800,Dim_Customer!$A$2:$I$121,6,FALSE)</f>
        <v/>
      </c>
      <c r="W800" s="12">
        <f>VLOOKUP(G800,Dim_Channel!$A$2:$B$5,2,FALSE)</f>
        <v/>
      </c>
      <c r="X800" s="12">
        <f>VLOOKUP(H800,Dim_Promotion!$A$2:$G$11,2,FALSE)</f>
        <v/>
      </c>
    </row>
    <row r="801">
      <c r="A801" s="4" t="inlineStr">
        <is>
          <t>SL0800</t>
        </is>
      </c>
      <c r="B801" t="inlineStr">
        <is>
          <t>O010400</t>
        </is>
      </c>
      <c r="C801" t="n">
        <v>20251213</v>
      </c>
      <c r="D801" s="4" t="inlineStr">
        <is>
          <t>C118</t>
        </is>
      </c>
      <c r="E801" s="4" t="inlineStr">
        <is>
          <t>P031</t>
        </is>
      </c>
      <c r="F801" t="inlineStr">
        <is>
          <t>XL</t>
        </is>
      </c>
      <c r="G801" s="4" t="inlineStr">
        <is>
          <t>CH01</t>
        </is>
      </c>
      <c r="H801" s="4" t="inlineStr">
        <is>
          <t>PR00</t>
        </is>
      </c>
      <c r="I801" s="8" t="n">
        <v>110</v>
      </c>
      <c r="J801" s="9" t="n">
        <v>0</v>
      </c>
      <c r="K801" s="10">
        <f>I801*(1-J801)</f>
        <v/>
      </c>
      <c r="L801" s="11" t="n">
        <v>1</v>
      </c>
      <c r="M801" s="10">
        <f>K801*L801</f>
        <v/>
      </c>
      <c r="N801" s="8" t="n">
        <v>54.49</v>
      </c>
      <c r="O801" s="10">
        <f>N801*L801</f>
        <v/>
      </c>
      <c r="P801" s="10">
        <f>M801-O801</f>
        <v/>
      </c>
      <c r="Q801" s="11" t="inlineStr">
        <is>
          <t>No</t>
        </is>
      </c>
      <c r="R801" s="11" t="n">
        <v>0</v>
      </c>
      <c r="S801" s="10">
        <f>M801-(R801*K801)</f>
        <v/>
      </c>
      <c r="T801" s="12">
        <f>VLOOKUP(E801,Dim_Product!$A$2:$Q$61,3,FALSE)</f>
        <v/>
      </c>
      <c r="U801" s="12">
        <f>VLOOKUP(E801,Dim_Product!$A$2:$Q$61,4,FALSE)</f>
        <v/>
      </c>
      <c r="V801" s="12">
        <f>VLOOKUP(D801,Dim_Customer!$A$2:$I$121,6,FALSE)</f>
        <v/>
      </c>
      <c r="W801" s="12">
        <f>VLOOKUP(G801,Dim_Channel!$A$2:$B$5,2,FALSE)</f>
        <v/>
      </c>
      <c r="X801" s="12">
        <f>VLOOKUP(H801,Dim_Promotion!$A$2:$G$11,2,FALSE)</f>
        <v/>
      </c>
    </row>
    <row r="802">
      <c r="A802" s="4" t="inlineStr">
        <is>
          <t>SL0801</t>
        </is>
      </c>
      <c r="B802" t="inlineStr">
        <is>
          <t>O010401</t>
        </is>
      </c>
      <c r="C802" t="n">
        <v>20251024</v>
      </c>
      <c r="D802" s="4" t="inlineStr">
        <is>
          <t>C052</t>
        </is>
      </c>
      <c r="E802" s="4" t="inlineStr">
        <is>
          <t>P032</t>
        </is>
      </c>
      <c r="F802" t="inlineStr">
        <is>
          <t>S</t>
        </is>
      </c>
      <c r="G802" s="4" t="inlineStr">
        <is>
          <t>CH04</t>
        </is>
      </c>
      <c r="H802" s="4" t="inlineStr">
        <is>
          <t>PR00</t>
        </is>
      </c>
      <c r="I802" s="8" t="n">
        <v>112</v>
      </c>
      <c r="J802" s="9" t="n">
        <v>0</v>
      </c>
      <c r="K802" s="10">
        <f>I802*(1-J802)</f>
        <v/>
      </c>
      <c r="L802" s="11" t="n">
        <v>1</v>
      </c>
      <c r="M802" s="10">
        <f>K802*L802</f>
        <v/>
      </c>
      <c r="N802" s="8" t="n">
        <v>57.19</v>
      </c>
      <c r="O802" s="10">
        <f>N802*L802</f>
        <v/>
      </c>
      <c r="P802" s="10">
        <f>M802-O802</f>
        <v/>
      </c>
      <c r="Q802" s="11" t="inlineStr">
        <is>
          <t>No</t>
        </is>
      </c>
      <c r="R802" s="11" t="n">
        <v>0</v>
      </c>
      <c r="S802" s="10">
        <f>M802-(R802*K802)</f>
        <v/>
      </c>
      <c r="T802" s="12">
        <f>VLOOKUP(E802,Dim_Product!$A$2:$Q$61,3,FALSE)</f>
        <v/>
      </c>
      <c r="U802" s="12">
        <f>VLOOKUP(E802,Dim_Product!$A$2:$Q$61,4,FALSE)</f>
        <v/>
      </c>
      <c r="V802" s="12">
        <f>VLOOKUP(D802,Dim_Customer!$A$2:$I$121,6,FALSE)</f>
        <v/>
      </c>
      <c r="W802" s="12">
        <f>VLOOKUP(G802,Dim_Channel!$A$2:$B$5,2,FALSE)</f>
        <v/>
      </c>
      <c r="X802" s="12">
        <f>VLOOKUP(H802,Dim_Promotion!$A$2:$G$11,2,FALSE)</f>
        <v/>
      </c>
    </row>
    <row r="803">
      <c r="A803" s="4" t="inlineStr">
        <is>
          <t>SL0802</t>
        </is>
      </c>
      <c r="B803" t="inlineStr">
        <is>
          <t>O010401</t>
        </is>
      </c>
      <c r="C803" t="n">
        <v>20250917</v>
      </c>
      <c r="D803" s="4" t="inlineStr">
        <is>
          <t>C069</t>
        </is>
      </c>
      <c r="E803" s="4" t="inlineStr">
        <is>
          <t>P031</t>
        </is>
      </c>
      <c r="F803" t="inlineStr">
        <is>
          <t>S</t>
        </is>
      </c>
      <c r="G803" s="4" t="inlineStr">
        <is>
          <t>CH03</t>
        </is>
      </c>
      <c r="H803" s="4" t="inlineStr">
        <is>
          <t>PR00</t>
        </is>
      </c>
      <c r="I803" s="8" t="n">
        <v>113</v>
      </c>
      <c r="J803" s="9" t="n">
        <v>0</v>
      </c>
      <c r="K803" s="10">
        <f>I803*(1-J803)</f>
        <v/>
      </c>
      <c r="L803" s="11" t="n">
        <v>1</v>
      </c>
      <c r="M803" s="10">
        <f>K803*L803</f>
        <v/>
      </c>
      <c r="N803" s="8" t="n">
        <v>56.78</v>
      </c>
      <c r="O803" s="10">
        <f>N803*L803</f>
        <v/>
      </c>
      <c r="P803" s="10">
        <f>M803-O803</f>
        <v/>
      </c>
      <c r="Q803" s="11" t="inlineStr">
        <is>
          <t>No</t>
        </is>
      </c>
      <c r="R803" s="11" t="n">
        <v>0</v>
      </c>
      <c r="S803" s="10">
        <f>M803-(R803*K803)</f>
        <v/>
      </c>
      <c r="T803" s="12">
        <f>VLOOKUP(E803,Dim_Product!$A$2:$Q$61,3,FALSE)</f>
        <v/>
      </c>
      <c r="U803" s="12">
        <f>VLOOKUP(E803,Dim_Product!$A$2:$Q$61,4,FALSE)</f>
        <v/>
      </c>
      <c r="V803" s="12">
        <f>VLOOKUP(D803,Dim_Customer!$A$2:$I$121,6,FALSE)</f>
        <v/>
      </c>
      <c r="W803" s="12">
        <f>VLOOKUP(G803,Dim_Channel!$A$2:$B$5,2,FALSE)</f>
        <v/>
      </c>
      <c r="X803" s="12">
        <f>VLOOKUP(H803,Dim_Promotion!$A$2:$G$11,2,FALSE)</f>
        <v/>
      </c>
    </row>
    <row r="804">
      <c r="A804" s="4" t="inlineStr">
        <is>
          <t>SL0803</t>
        </is>
      </c>
      <c r="B804" t="inlineStr">
        <is>
          <t>O010402</t>
        </is>
      </c>
      <c r="C804" t="n">
        <v>20250127</v>
      </c>
      <c r="D804" s="4" t="inlineStr">
        <is>
          <t>C043</t>
        </is>
      </c>
      <c r="E804" s="4" t="inlineStr">
        <is>
          <t>P040</t>
        </is>
      </c>
      <c r="F804" t="inlineStr">
        <is>
          <t>M</t>
        </is>
      </c>
      <c r="G804" s="4" t="inlineStr">
        <is>
          <t>CH02</t>
        </is>
      </c>
      <c r="H804" s="4" t="inlineStr">
        <is>
          <t>PR00</t>
        </is>
      </c>
      <c r="I804" s="8" t="n">
        <v>70</v>
      </c>
      <c r="J804" s="9" t="n">
        <v>0</v>
      </c>
      <c r="K804" s="10">
        <f>I804*(1-J804)</f>
        <v/>
      </c>
      <c r="L804" s="11" t="n">
        <v>1</v>
      </c>
      <c r="M804" s="10">
        <f>K804*L804</f>
        <v/>
      </c>
      <c r="N804" s="8" t="n">
        <v>34.58</v>
      </c>
      <c r="O804" s="10">
        <f>N804*L804</f>
        <v/>
      </c>
      <c r="P804" s="10">
        <f>M804-O804</f>
        <v/>
      </c>
      <c r="Q804" s="11" t="inlineStr">
        <is>
          <t>No</t>
        </is>
      </c>
      <c r="R804" s="11" t="n">
        <v>0</v>
      </c>
      <c r="S804" s="10">
        <f>M804-(R804*K804)</f>
        <v/>
      </c>
      <c r="T804" s="12">
        <f>VLOOKUP(E804,Dim_Product!$A$2:$Q$61,3,FALSE)</f>
        <v/>
      </c>
      <c r="U804" s="12">
        <f>VLOOKUP(E804,Dim_Product!$A$2:$Q$61,4,FALSE)</f>
        <v/>
      </c>
      <c r="V804" s="12">
        <f>VLOOKUP(D804,Dim_Customer!$A$2:$I$121,6,FALSE)</f>
        <v/>
      </c>
      <c r="W804" s="12">
        <f>VLOOKUP(G804,Dim_Channel!$A$2:$B$5,2,FALSE)</f>
        <v/>
      </c>
      <c r="X804" s="12">
        <f>VLOOKUP(H804,Dim_Promotion!$A$2:$G$11,2,FALSE)</f>
        <v/>
      </c>
    </row>
    <row r="805">
      <c r="A805" s="4" t="inlineStr">
        <is>
          <t>SL0804</t>
        </is>
      </c>
      <c r="B805" t="inlineStr">
        <is>
          <t>O010402</t>
        </is>
      </c>
      <c r="C805" t="n">
        <v>20250903</v>
      </c>
      <c r="D805" s="4" t="inlineStr">
        <is>
          <t>C077</t>
        </is>
      </c>
      <c r="E805" s="4" t="inlineStr">
        <is>
          <t>P033</t>
        </is>
      </c>
      <c r="F805" t="inlineStr">
        <is>
          <t>S</t>
        </is>
      </c>
      <c r="G805" s="4" t="inlineStr">
        <is>
          <t>CH02</t>
        </is>
      </c>
      <c r="H805" s="4" t="inlineStr">
        <is>
          <t>PR00</t>
        </is>
      </c>
      <c r="I805" s="8" t="n">
        <v>87</v>
      </c>
      <c r="J805" s="9" t="n">
        <v>0</v>
      </c>
      <c r="K805" s="10">
        <f>I805*(1-J805)</f>
        <v/>
      </c>
      <c r="L805" s="11" t="n">
        <v>1</v>
      </c>
      <c r="M805" s="10">
        <f>K805*L805</f>
        <v/>
      </c>
      <c r="N805" s="8" t="n">
        <v>43.56</v>
      </c>
      <c r="O805" s="10">
        <f>N805*L805</f>
        <v/>
      </c>
      <c r="P805" s="10">
        <f>M805-O805</f>
        <v/>
      </c>
      <c r="Q805" s="11" t="inlineStr">
        <is>
          <t>Yes</t>
        </is>
      </c>
      <c r="R805" s="11" t="n">
        <v>1</v>
      </c>
      <c r="S805" s="10">
        <f>M805-(R805*K805)</f>
        <v/>
      </c>
      <c r="T805" s="12">
        <f>VLOOKUP(E805,Dim_Product!$A$2:$Q$61,3,FALSE)</f>
        <v/>
      </c>
      <c r="U805" s="12">
        <f>VLOOKUP(E805,Dim_Product!$A$2:$Q$61,4,FALSE)</f>
        <v/>
      </c>
      <c r="V805" s="12">
        <f>VLOOKUP(D805,Dim_Customer!$A$2:$I$121,6,FALSE)</f>
        <v/>
      </c>
      <c r="W805" s="12">
        <f>VLOOKUP(G805,Dim_Channel!$A$2:$B$5,2,FALSE)</f>
        <v/>
      </c>
      <c r="X805" s="12">
        <f>VLOOKUP(H805,Dim_Promotion!$A$2:$G$11,2,FALSE)</f>
        <v/>
      </c>
    </row>
    <row r="806">
      <c r="A806" s="4" t="inlineStr">
        <is>
          <t>SL0805</t>
        </is>
      </c>
      <c r="B806" t="inlineStr">
        <is>
          <t>O010403</t>
        </is>
      </c>
      <c r="C806" t="n">
        <v>20250828</v>
      </c>
      <c r="D806" s="4" t="inlineStr">
        <is>
          <t>C025</t>
        </is>
      </c>
      <c r="E806" s="4" t="inlineStr">
        <is>
          <t>P050</t>
        </is>
      </c>
      <c r="F806" t="inlineStr">
        <is>
          <t>M</t>
        </is>
      </c>
      <c r="G806" s="4" t="inlineStr">
        <is>
          <t>CH04</t>
        </is>
      </c>
      <c r="H806" s="4" t="inlineStr">
        <is>
          <t>PR00</t>
        </is>
      </c>
      <c r="I806" s="8" t="n">
        <v>66</v>
      </c>
      <c r="J806" s="9" t="n">
        <v>0</v>
      </c>
      <c r="K806" s="10">
        <f>I806*(1-J806)</f>
        <v/>
      </c>
      <c r="L806" s="11" t="n">
        <v>1</v>
      </c>
      <c r="M806" s="10">
        <f>K806*L806</f>
        <v/>
      </c>
      <c r="N806" s="8" t="n">
        <v>29.93</v>
      </c>
      <c r="O806" s="10">
        <f>N806*L806</f>
        <v/>
      </c>
      <c r="P806" s="10">
        <f>M806-O806</f>
        <v/>
      </c>
      <c r="Q806" s="11" t="inlineStr">
        <is>
          <t>No</t>
        </is>
      </c>
      <c r="R806" s="11" t="n">
        <v>0</v>
      </c>
      <c r="S806" s="10">
        <f>M806-(R806*K806)</f>
        <v/>
      </c>
      <c r="T806" s="12">
        <f>VLOOKUP(E806,Dim_Product!$A$2:$Q$61,3,FALSE)</f>
        <v/>
      </c>
      <c r="U806" s="12">
        <f>VLOOKUP(E806,Dim_Product!$A$2:$Q$61,4,FALSE)</f>
        <v/>
      </c>
      <c r="V806" s="12">
        <f>VLOOKUP(D806,Dim_Customer!$A$2:$I$121,6,FALSE)</f>
        <v/>
      </c>
      <c r="W806" s="12">
        <f>VLOOKUP(G806,Dim_Channel!$A$2:$B$5,2,FALSE)</f>
        <v/>
      </c>
      <c r="X806" s="12">
        <f>VLOOKUP(H806,Dim_Promotion!$A$2:$G$11,2,FALSE)</f>
        <v/>
      </c>
    </row>
    <row r="807">
      <c r="A807" s="4" t="inlineStr">
        <is>
          <t>SL0806</t>
        </is>
      </c>
      <c r="B807" t="inlineStr">
        <is>
          <t>O010403</t>
        </is>
      </c>
      <c r="C807" t="n">
        <v>20250415</v>
      </c>
      <c r="D807" s="4" t="inlineStr">
        <is>
          <t>C059</t>
        </is>
      </c>
      <c r="E807" s="4" t="inlineStr">
        <is>
          <t>P014</t>
        </is>
      </c>
      <c r="F807" t="inlineStr">
        <is>
          <t>XL</t>
        </is>
      </c>
      <c r="G807" s="4" t="inlineStr">
        <is>
          <t>CH03</t>
        </is>
      </c>
      <c r="H807" s="4" t="inlineStr">
        <is>
          <t>PR00</t>
        </is>
      </c>
      <c r="I807" s="8" t="n">
        <v>62</v>
      </c>
      <c r="J807" s="9" t="n">
        <v>0</v>
      </c>
      <c r="K807" s="10">
        <f>I807*(1-J807)</f>
        <v/>
      </c>
      <c r="L807" s="11" t="n">
        <v>1</v>
      </c>
      <c r="M807" s="10">
        <f>K807*L807</f>
        <v/>
      </c>
      <c r="N807" s="8" t="n">
        <v>27.76</v>
      </c>
      <c r="O807" s="10">
        <f>N807*L807</f>
        <v/>
      </c>
      <c r="P807" s="10">
        <f>M807-O807</f>
        <v/>
      </c>
      <c r="Q807" s="11" t="inlineStr">
        <is>
          <t>No</t>
        </is>
      </c>
      <c r="R807" s="11" t="n">
        <v>0</v>
      </c>
      <c r="S807" s="10">
        <f>M807-(R807*K807)</f>
        <v/>
      </c>
      <c r="T807" s="12">
        <f>VLOOKUP(E807,Dim_Product!$A$2:$Q$61,3,FALSE)</f>
        <v/>
      </c>
      <c r="U807" s="12">
        <f>VLOOKUP(E807,Dim_Product!$A$2:$Q$61,4,FALSE)</f>
        <v/>
      </c>
      <c r="V807" s="12">
        <f>VLOOKUP(D807,Dim_Customer!$A$2:$I$121,6,FALSE)</f>
        <v/>
      </c>
      <c r="W807" s="12">
        <f>VLOOKUP(G807,Dim_Channel!$A$2:$B$5,2,FALSE)</f>
        <v/>
      </c>
      <c r="X807" s="12">
        <f>VLOOKUP(H807,Dim_Promotion!$A$2:$G$11,2,FALSE)</f>
        <v/>
      </c>
    </row>
    <row r="808">
      <c r="A808" s="4" t="inlineStr">
        <is>
          <t>SL0807</t>
        </is>
      </c>
      <c r="B808" t="inlineStr">
        <is>
          <t>O010404</t>
        </is>
      </c>
      <c r="C808" t="n">
        <v>20251130</v>
      </c>
      <c r="D808" s="4" t="inlineStr">
        <is>
          <t>C021</t>
        </is>
      </c>
      <c r="E808" s="4" t="inlineStr">
        <is>
          <t>P014</t>
        </is>
      </c>
      <c r="F808" t="inlineStr">
        <is>
          <t>S</t>
        </is>
      </c>
      <c r="G808" s="4" t="inlineStr">
        <is>
          <t>CH03</t>
        </is>
      </c>
      <c r="H808" s="4" t="inlineStr">
        <is>
          <t>PR08</t>
        </is>
      </c>
      <c r="I808" s="8" t="n">
        <v>61</v>
      </c>
      <c r="J808" s="9" t="n">
        <v>0.25</v>
      </c>
      <c r="K808" s="10">
        <f>I808*(1-J808)</f>
        <v/>
      </c>
      <c r="L808" s="11" t="n">
        <v>2</v>
      </c>
      <c r="M808" s="10">
        <f>K808*L808</f>
        <v/>
      </c>
      <c r="N808" s="8" t="n">
        <v>28.07</v>
      </c>
      <c r="O808" s="10">
        <f>N808*L808</f>
        <v/>
      </c>
      <c r="P808" s="10">
        <f>M808-O808</f>
        <v/>
      </c>
      <c r="Q808" s="11" t="inlineStr">
        <is>
          <t>No</t>
        </is>
      </c>
      <c r="R808" s="11" t="n">
        <v>0</v>
      </c>
      <c r="S808" s="10">
        <f>M808-(R808*K808)</f>
        <v/>
      </c>
      <c r="T808" s="12">
        <f>VLOOKUP(E808,Dim_Product!$A$2:$Q$61,3,FALSE)</f>
        <v/>
      </c>
      <c r="U808" s="12">
        <f>VLOOKUP(E808,Dim_Product!$A$2:$Q$61,4,FALSE)</f>
        <v/>
      </c>
      <c r="V808" s="12">
        <f>VLOOKUP(D808,Dim_Customer!$A$2:$I$121,6,FALSE)</f>
        <v/>
      </c>
      <c r="W808" s="12">
        <f>VLOOKUP(G808,Dim_Channel!$A$2:$B$5,2,FALSE)</f>
        <v/>
      </c>
      <c r="X808" s="12">
        <f>VLOOKUP(H808,Dim_Promotion!$A$2:$G$11,2,FALSE)</f>
        <v/>
      </c>
    </row>
    <row r="809">
      <c r="A809" s="4" t="inlineStr">
        <is>
          <t>SL0808</t>
        </is>
      </c>
      <c r="B809" t="inlineStr">
        <is>
          <t>O010404</t>
        </is>
      </c>
      <c r="C809" t="n">
        <v>20250214</v>
      </c>
      <c r="D809" s="4" t="inlineStr">
        <is>
          <t>C034</t>
        </is>
      </c>
      <c r="E809" s="4" t="inlineStr">
        <is>
          <t>P052</t>
        </is>
      </c>
      <c r="F809" t="inlineStr">
        <is>
          <t>L</t>
        </is>
      </c>
      <c r="G809" s="4" t="inlineStr">
        <is>
          <t>CH02</t>
        </is>
      </c>
      <c r="H809" s="4" t="inlineStr">
        <is>
          <t>PR00</t>
        </is>
      </c>
      <c r="I809" s="8" t="n">
        <v>62</v>
      </c>
      <c r="J809" s="9" t="n">
        <v>0</v>
      </c>
      <c r="K809" s="10">
        <f>I809*(1-J809)</f>
        <v/>
      </c>
      <c r="L809" s="11" t="n">
        <v>1</v>
      </c>
      <c r="M809" s="10">
        <f>K809*L809</f>
        <v/>
      </c>
      <c r="N809" s="8" t="n">
        <v>31.92</v>
      </c>
      <c r="O809" s="10">
        <f>N809*L809</f>
        <v/>
      </c>
      <c r="P809" s="10">
        <f>M809-O809</f>
        <v/>
      </c>
      <c r="Q809" s="11" t="inlineStr">
        <is>
          <t>No</t>
        </is>
      </c>
      <c r="R809" s="11" t="n">
        <v>0</v>
      </c>
      <c r="S809" s="10">
        <f>M809-(R809*K809)</f>
        <v/>
      </c>
      <c r="T809" s="12">
        <f>VLOOKUP(E809,Dim_Product!$A$2:$Q$61,3,FALSE)</f>
        <v/>
      </c>
      <c r="U809" s="12">
        <f>VLOOKUP(E809,Dim_Product!$A$2:$Q$61,4,FALSE)</f>
        <v/>
      </c>
      <c r="V809" s="12">
        <f>VLOOKUP(D809,Dim_Customer!$A$2:$I$121,6,FALSE)</f>
        <v/>
      </c>
      <c r="W809" s="12">
        <f>VLOOKUP(G809,Dim_Channel!$A$2:$B$5,2,FALSE)</f>
        <v/>
      </c>
      <c r="X809" s="12">
        <f>VLOOKUP(H809,Dim_Promotion!$A$2:$G$11,2,FALSE)</f>
        <v/>
      </c>
    </row>
    <row r="810">
      <c r="A810" s="4" t="inlineStr">
        <is>
          <t>SL0809</t>
        </is>
      </c>
      <c r="B810" t="inlineStr">
        <is>
          <t>O010405</t>
        </is>
      </c>
      <c r="C810" t="n">
        <v>20251127</v>
      </c>
      <c r="D810" s="4" t="inlineStr">
        <is>
          <t>C106</t>
        </is>
      </c>
      <c r="E810" s="4" t="inlineStr">
        <is>
          <t>P042</t>
        </is>
      </c>
      <c r="F810" t="inlineStr">
        <is>
          <t>S</t>
        </is>
      </c>
      <c r="G810" s="4" t="inlineStr">
        <is>
          <t>CH04</t>
        </is>
      </c>
      <c r="H810" s="4" t="inlineStr">
        <is>
          <t>PR08</t>
        </is>
      </c>
      <c r="I810" s="8" t="n">
        <v>77</v>
      </c>
      <c r="J810" s="9" t="n">
        <v>0.25</v>
      </c>
      <c r="K810" s="10">
        <f>I810*(1-J810)</f>
        <v/>
      </c>
      <c r="L810" s="11" t="n">
        <v>1</v>
      </c>
      <c r="M810" s="10">
        <f>K810*L810</f>
        <v/>
      </c>
      <c r="N810" s="8" t="n">
        <v>36.54</v>
      </c>
      <c r="O810" s="10">
        <f>N810*L810</f>
        <v/>
      </c>
      <c r="P810" s="10">
        <f>M810-O810</f>
        <v/>
      </c>
      <c r="Q810" s="11" t="inlineStr">
        <is>
          <t>No</t>
        </is>
      </c>
      <c r="R810" s="11" t="n">
        <v>0</v>
      </c>
      <c r="S810" s="10">
        <f>M810-(R810*K810)</f>
        <v/>
      </c>
      <c r="T810" s="12">
        <f>VLOOKUP(E810,Dim_Product!$A$2:$Q$61,3,FALSE)</f>
        <v/>
      </c>
      <c r="U810" s="12">
        <f>VLOOKUP(E810,Dim_Product!$A$2:$Q$61,4,FALSE)</f>
        <v/>
      </c>
      <c r="V810" s="12">
        <f>VLOOKUP(D810,Dim_Customer!$A$2:$I$121,6,FALSE)</f>
        <v/>
      </c>
      <c r="W810" s="12">
        <f>VLOOKUP(G810,Dim_Channel!$A$2:$B$5,2,FALSE)</f>
        <v/>
      </c>
      <c r="X810" s="12">
        <f>VLOOKUP(H810,Dim_Promotion!$A$2:$G$11,2,FALSE)</f>
        <v/>
      </c>
    </row>
    <row r="811">
      <c r="A811" s="4" t="inlineStr">
        <is>
          <t>SL0810</t>
        </is>
      </c>
      <c r="B811" t="inlineStr">
        <is>
          <t>O010405</t>
        </is>
      </c>
      <c r="C811" t="n">
        <v>20250427</v>
      </c>
      <c r="D811" s="4" t="inlineStr">
        <is>
          <t>C075</t>
        </is>
      </c>
      <c r="E811" s="4" t="inlineStr">
        <is>
          <t>P044</t>
        </is>
      </c>
      <c r="F811" t="inlineStr">
        <is>
          <t>S</t>
        </is>
      </c>
      <c r="G811" s="4" t="inlineStr">
        <is>
          <t>CH03</t>
        </is>
      </c>
      <c r="H811" s="4" t="inlineStr">
        <is>
          <t>PR00</t>
        </is>
      </c>
      <c r="I811" s="8" t="n">
        <v>78</v>
      </c>
      <c r="J811" s="9" t="n">
        <v>0</v>
      </c>
      <c r="K811" s="10">
        <f>I811*(1-J811)</f>
        <v/>
      </c>
      <c r="L811" s="11" t="n">
        <v>2</v>
      </c>
      <c r="M811" s="10">
        <f>K811*L811</f>
        <v/>
      </c>
      <c r="N811" s="8" t="n">
        <v>34.74</v>
      </c>
      <c r="O811" s="10">
        <f>N811*L811</f>
        <v/>
      </c>
      <c r="P811" s="10">
        <f>M811-O811</f>
        <v/>
      </c>
      <c r="Q811" s="11" t="inlineStr">
        <is>
          <t>No</t>
        </is>
      </c>
      <c r="R811" s="11" t="n">
        <v>0</v>
      </c>
      <c r="S811" s="10">
        <f>M811-(R811*K811)</f>
        <v/>
      </c>
      <c r="T811" s="12">
        <f>VLOOKUP(E811,Dim_Product!$A$2:$Q$61,3,FALSE)</f>
        <v/>
      </c>
      <c r="U811" s="12">
        <f>VLOOKUP(E811,Dim_Product!$A$2:$Q$61,4,FALSE)</f>
        <v/>
      </c>
      <c r="V811" s="12">
        <f>VLOOKUP(D811,Dim_Customer!$A$2:$I$121,6,FALSE)</f>
        <v/>
      </c>
      <c r="W811" s="12">
        <f>VLOOKUP(G811,Dim_Channel!$A$2:$B$5,2,FALSE)</f>
        <v/>
      </c>
      <c r="X811" s="12">
        <f>VLOOKUP(H811,Dim_Promotion!$A$2:$G$11,2,FALSE)</f>
        <v/>
      </c>
    </row>
    <row r="812">
      <c r="A812" s="4" t="inlineStr">
        <is>
          <t>SL0811</t>
        </is>
      </c>
      <c r="B812" t="inlineStr">
        <is>
          <t>O010406</t>
        </is>
      </c>
      <c r="C812" t="n">
        <v>20250903</v>
      </c>
      <c r="D812" s="4" t="inlineStr">
        <is>
          <t>C059</t>
        </is>
      </c>
      <c r="E812" s="4" t="inlineStr">
        <is>
          <t>P053</t>
        </is>
      </c>
      <c r="F812" t="inlineStr">
        <is>
          <t>S</t>
        </is>
      </c>
      <c r="G812" s="4" t="inlineStr">
        <is>
          <t>CH01</t>
        </is>
      </c>
      <c r="H812" s="4" t="inlineStr">
        <is>
          <t>PR00</t>
        </is>
      </c>
      <c r="I812" s="8" t="n">
        <v>75</v>
      </c>
      <c r="J812" s="9" t="n">
        <v>0</v>
      </c>
      <c r="K812" s="10">
        <f>I812*(1-J812)</f>
        <v/>
      </c>
      <c r="L812" s="11" t="n">
        <v>1</v>
      </c>
      <c r="M812" s="10">
        <f>K812*L812</f>
        <v/>
      </c>
      <c r="N812" s="8" t="n">
        <v>34.48</v>
      </c>
      <c r="O812" s="10">
        <f>N812*L812</f>
        <v/>
      </c>
      <c r="P812" s="10">
        <f>M812-O812</f>
        <v/>
      </c>
      <c r="Q812" s="11" t="inlineStr">
        <is>
          <t>No</t>
        </is>
      </c>
      <c r="R812" s="11" t="n">
        <v>0</v>
      </c>
      <c r="S812" s="10">
        <f>M812-(R812*K812)</f>
        <v/>
      </c>
      <c r="T812" s="12">
        <f>VLOOKUP(E812,Dim_Product!$A$2:$Q$61,3,FALSE)</f>
        <v/>
      </c>
      <c r="U812" s="12">
        <f>VLOOKUP(E812,Dim_Product!$A$2:$Q$61,4,FALSE)</f>
        <v/>
      </c>
      <c r="V812" s="12">
        <f>VLOOKUP(D812,Dim_Customer!$A$2:$I$121,6,FALSE)</f>
        <v/>
      </c>
      <c r="W812" s="12">
        <f>VLOOKUP(G812,Dim_Channel!$A$2:$B$5,2,FALSE)</f>
        <v/>
      </c>
      <c r="X812" s="12">
        <f>VLOOKUP(H812,Dim_Promotion!$A$2:$G$11,2,FALSE)</f>
        <v/>
      </c>
    </row>
    <row r="813">
      <c r="A813" s="4" t="inlineStr">
        <is>
          <t>SL0812</t>
        </is>
      </c>
      <c r="B813" t="inlineStr">
        <is>
          <t>O010406</t>
        </is>
      </c>
      <c r="C813" t="n">
        <v>20251005</v>
      </c>
      <c r="D813" s="4" t="inlineStr">
        <is>
          <t>C067</t>
        </is>
      </c>
      <c r="E813" s="4" t="inlineStr">
        <is>
          <t>P016</t>
        </is>
      </c>
      <c r="F813" t="inlineStr">
        <is>
          <t>M</t>
        </is>
      </c>
      <c r="G813" s="4" t="inlineStr">
        <is>
          <t>CH01</t>
        </is>
      </c>
      <c r="H813" s="4" t="inlineStr">
        <is>
          <t>PR00</t>
        </is>
      </c>
      <c r="I813" s="8" t="n">
        <v>58</v>
      </c>
      <c r="J813" s="9" t="n">
        <v>0</v>
      </c>
      <c r="K813" s="10">
        <f>I813*(1-J813)</f>
        <v/>
      </c>
      <c r="L813" s="11" t="n">
        <v>1</v>
      </c>
      <c r="M813" s="10">
        <f>K813*L813</f>
        <v/>
      </c>
      <c r="N813" s="8" t="n">
        <v>26.95</v>
      </c>
      <c r="O813" s="10">
        <f>N813*L813</f>
        <v/>
      </c>
      <c r="P813" s="10">
        <f>M813-O813</f>
        <v/>
      </c>
      <c r="Q813" s="11" t="inlineStr">
        <is>
          <t>No</t>
        </is>
      </c>
      <c r="R813" s="11" t="n">
        <v>0</v>
      </c>
      <c r="S813" s="10">
        <f>M813-(R813*K813)</f>
        <v/>
      </c>
      <c r="T813" s="12">
        <f>VLOOKUP(E813,Dim_Product!$A$2:$Q$61,3,FALSE)</f>
        <v/>
      </c>
      <c r="U813" s="12">
        <f>VLOOKUP(E813,Dim_Product!$A$2:$Q$61,4,FALSE)</f>
        <v/>
      </c>
      <c r="V813" s="12">
        <f>VLOOKUP(D813,Dim_Customer!$A$2:$I$121,6,FALSE)</f>
        <v/>
      </c>
      <c r="W813" s="12">
        <f>VLOOKUP(G813,Dim_Channel!$A$2:$B$5,2,FALSE)</f>
        <v/>
      </c>
      <c r="X813" s="12">
        <f>VLOOKUP(H813,Dim_Promotion!$A$2:$G$11,2,FALSE)</f>
        <v/>
      </c>
    </row>
    <row r="814">
      <c r="A814" s="4" t="inlineStr">
        <is>
          <t>SL0813</t>
        </is>
      </c>
      <c r="B814" t="inlineStr">
        <is>
          <t>O010407</t>
        </is>
      </c>
      <c r="C814" t="n">
        <v>20250905</v>
      </c>
      <c r="D814" s="4" t="inlineStr">
        <is>
          <t>C096</t>
        </is>
      </c>
      <c r="E814" s="4" t="inlineStr">
        <is>
          <t>P047</t>
        </is>
      </c>
      <c r="F814" t="inlineStr">
        <is>
          <t>M</t>
        </is>
      </c>
      <c r="G814" s="4" t="inlineStr">
        <is>
          <t>CH04</t>
        </is>
      </c>
      <c r="H814" s="4" t="inlineStr">
        <is>
          <t>PR00</t>
        </is>
      </c>
      <c r="I814" s="8" t="n">
        <v>72</v>
      </c>
      <c r="J814" s="9" t="n">
        <v>0</v>
      </c>
      <c r="K814" s="10">
        <f>I814*(1-J814)</f>
        <v/>
      </c>
      <c r="L814" s="11" t="n">
        <v>1</v>
      </c>
      <c r="M814" s="10">
        <f>K814*L814</f>
        <v/>
      </c>
      <c r="N814" s="8" t="n">
        <v>30.66</v>
      </c>
      <c r="O814" s="10">
        <f>N814*L814</f>
        <v/>
      </c>
      <c r="P814" s="10">
        <f>M814-O814</f>
        <v/>
      </c>
      <c r="Q814" s="11" t="inlineStr">
        <is>
          <t>Yes</t>
        </is>
      </c>
      <c r="R814" s="11" t="n">
        <v>1</v>
      </c>
      <c r="S814" s="10">
        <f>M814-(R814*K814)</f>
        <v/>
      </c>
      <c r="T814" s="12">
        <f>VLOOKUP(E814,Dim_Product!$A$2:$Q$61,3,FALSE)</f>
        <v/>
      </c>
      <c r="U814" s="12">
        <f>VLOOKUP(E814,Dim_Product!$A$2:$Q$61,4,FALSE)</f>
        <v/>
      </c>
      <c r="V814" s="12">
        <f>VLOOKUP(D814,Dim_Customer!$A$2:$I$121,6,FALSE)</f>
        <v/>
      </c>
      <c r="W814" s="12">
        <f>VLOOKUP(G814,Dim_Channel!$A$2:$B$5,2,FALSE)</f>
        <v/>
      </c>
      <c r="X814" s="12">
        <f>VLOOKUP(H814,Dim_Promotion!$A$2:$G$11,2,FALSE)</f>
        <v/>
      </c>
    </row>
    <row r="815">
      <c r="A815" s="4" t="inlineStr">
        <is>
          <t>SL0814</t>
        </is>
      </c>
      <c r="B815" t="inlineStr">
        <is>
          <t>O010407</t>
        </is>
      </c>
      <c r="C815" t="n">
        <v>20251024</v>
      </c>
      <c r="D815" s="4" t="inlineStr">
        <is>
          <t>C112</t>
        </is>
      </c>
      <c r="E815" s="4" t="inlineStr">
        <is>
          <t>P060</t>
        </is>
      </c>
      <c r="F815" t="inlineStr">
        <is>
          <t>L</t>
        </is>
      </c>
      <c r="G815" s="4" t="inlineStr">
        <is>
          <t>CH01</t>
        </is>
      </c>
      <c r="H815" s="4" t="inlineStr">
        <is>
          <t>PR00</t>
        </is>
      </c>
      <c r="I815" s="8" t="n">
        <v>74</v>
      </c>
      <c r="J815" s="9" t="n">
        <v>0</v>
      </c>
      <c r="K815" s="10">
        <f>I815*(1-J815)</f>
        <v/>
      </c>
      <c r="L815" s="11" t="n">
        <v>1</v>
      </c>
      <c r="M815" s="10">
        <f>K815*L815</f>
        <v/>
      </c>
      <c r="N815" s="8" t="n">
        <v>36.09</v>
      </c>
      <c r="O815" s="10">
        <f>N815*L815</f>
        <v/>
      </c>
      <c r="P815" s="10">
        <f>M815-O815</f>
        <v/>
      </c>
      <c r="Q815" s="11" t="inlineStr">
        <is>
          <t>No</t>
        </is>
      </c>
      <c r="R815" s="11" t="n">
        <v>0</v>
      </c>
      <c r="S815" s="10">
        <f>M815-(R815*K815)</f>
        <v/>
      </c>
      <c r="T815" s="12">
        <f>VLOOKUP(E815,Dim_Product!$A$2:$Q$61,3,FALSE)</f>
        <v/>
      </c>
      <c r="U815" s="12">
        <f>VLOOKUP(E815,Dim_Product!$A$2:$Q$61,4,FALSE)</f>
        <v/>
      </c>
      <c r="V815" s="12">
        <f>VLOOKUP(D815,Dim_Customer!$A$2:$I$121,6,FALSE)</f>
        <v/>
      </c>
      <c r="W815" s="12">
        <f>VLOOKUP(G815,Dim_Channel!$A$2:$B$5,2,FALSE)</f>
        <v/>
      </c>
      <c r="X815" s="12">
        <f>VLOOKUP(H815,Dim_Promotion!$A$2:$G$11,2,FALSE)</f>
        <v/>
      </c>
    </row>
    <row r="816">
      <c r="A816" s="4" t="inlineStr">
        <is>
          <t>SL0815</t>
        </is>
      </c>
      <c r="B816" t="inlineStr">
        <is>
          <t>O010408</t>
        </is>
      </c>
      <c r="C816" t="n">
        <v>20250706</v>
      </c>
      <c r="D816" s="4" t="inlineStr">
        <is>
          <t>C112</t>
        </is>
      </c>
      <c r="E816" s="4" t="inlineStr">
        <is>
          <t>P031</t>
        </is>
      </c>
      <c r="F816" t="inlineStr">
        <is>
          <t>L</t>
        </is>
      </c>
      <c r="G816" s="4" t="inlineStr">
        <is>
          <t>CH01</t>
        </is>
      </c>
      <c r="H816" s="4" t="inlineStr">
        <is>
          <t>PR00</t>
        </is>
      </c>
      <c r="I816" s="8" t="n">
        <v>112</v>
      </c>
      <c r="J816" s="9" t="n">
        <v>0</v>
      </c>
      <c r="K816" s="10">
        <f>I816*(1-J816)</f>
        <v/>
      </c>
      <c r="L816" s="11" t="n">
        <v>1</v>
      </c>
      <c r="M816" s="10">
        <f>K816*L816</f>
        <v/>
      </c>
      <c r="N816" s="8" t="n">
        <v>54.4</v>
      </c>
      <c r="O816" s="10">
        <f>N816*L816</f>
        <v/>
      </c>
      <c r="P816" s="10">
        <f>M816-O816</f>
        <v/>
      </c>
      <c r="Q816" s="11" t="inlineStr">
        <is>
          <t>No</t>
        </is>
      </c>
      <c r="R816" s="11" t="n">
        <v>0</v>
      </c>
      <c r="S816" s="10">
        <f>M816-(R816*K816)</f>
        <v/>
      </c>
      <c r="T816" s="12">
        <f>VLOOKUP(E816,Dim_Product!$A$2:$Q$61,3,FALSE)</f>
        <v/>
      </c>
      <c r="U816" s="12">
        <f>VLOOKUP(E816,Dim_Product!$A$2:$Q$61,4,FALSE)</f>
        <v/>
      </c>
      <c r="V816" s="12">
        <f>VLOOKUP(D816,Dim_Customer!$A$2:$I$121,6,FALSE)</f>
        <v/>
      </c>
      <c r="W816" s="12">
        <f>VLOOKUP(G816,Dim_Channel!$A$2:$B$5,2,FALSE)</f>
        <v/>
      </c>
      <c r="X816" s="12">
        <f>VLOOKUP(H816,Dim_Promotion!$A$2:$G$11,2,FALSE)</f>
        <v/>
      </c>
    </row>
    <row r="817">
      <c r="A817" s="4" t="inlineStr">
        <is>
          <t>SL0816</t>
        </is>
      </c>
      <c r="B817" t="inlineStr">
        <is>
          <t>O010408</t>
        </is>
      </c>
      <c r="C817" t="n">
        <v>20251004</v>
      </c>
      <c r="D817" s="4" t="inlineStr">
        <is>
          <t>C084</t>
        </is>
      </c>
      <c r="E817" s="4" t="inlineStr">
        <is>
          <t>P011</t>
        </is>
      </c>
      <c r="F817" t="inlineStr">
        <is>
          <t>L</t>
        </is>
      </c>
      <c r="G817" s="4" t="inlineStr">
        <is>
          <t>CH02</t>
        </is>
      </c>
      <c r="H817" s="4" t="inlineStr">
        <is>
          <t>PR00</t>
        </is>
      </c>
      <c r="I817" s="8" t="n">
        <v>48</v>
      </c>
      <c r="J817" s="9" t="n">
        <v>0</v>
      </c>
      <c r="K817" s="10">
        <f>I817*(1-J817)</f>
        <v/>
      </c>
      <c r="L817" s="11" t="n">
        <v>2</v>
      </c>
      <c r="M817" s="10">
        <f>K817*L817</f>
        <v/>
      </c>
      <c r="N817" s="8" t="n">
        <v>20.49</v>
      </c>
      <c r="O817" s="10">
        <f>N817*L817</f>
        <v/>
      </c>
      <c r="P817" s="10">
        <f>M817-O817</f>
        <v/>
      </c>
      <c r="Q817" s="11" t="inlineStr">
        <is>
          <t>No</t>
        </is>
      </c>
      <c r="R817" s="11" t="n">
        <v>0</v>
      </c>
      <c r="S817" s="10">
        <f>M817-(R817*K817)</f>
        <v/>
      </c>
      <c r="T817" s="12">
        <f>VLOOKUP(E817,Dim_Product!$A$2:$Q$61,3,FALSE)</f>
        <v/>
      </c>
      <c r="U817" s="12">
        <f>VLOOKUP(E817,Dim_Product!$A$2:$Q$61,4,FALSE)</f>
        <v/>
      </c>
      <c r="V817" s="12">
        <f>VLOOKUP(D817,Dim_Customer!$A$2:$I$121,6,FALSE)</f>
        <v/>
      </c>
      <c r="W817" s="12">
        <f>VLOOKUP(G817,Dim_Channel!$A$2:$B$5,2,FALSE)</f>
        <v/>
      </c>
      <c r="X817" s="12">
        <f>VLOOKUP(H817,Dim_Promotion!$A$2:$G$11,2,FALSE)</f>
        <v/>
      </c>
    </row>
    <row r="818">
      <c r="A818" s="4" t="inlineStr">
        <is>
          <t>SL0817</t>
        </is>
      </c>
      <c r="B818" t="inlineStr">
        <is>
          <t>O010409</t>
        </is>
      </c>
      <c r="C818" t="n">
        <v>20250121</v>
      </c>
      <c r="D818" s="4" t="inlineStr">
        <is>
          <t>C013</t>
        </is>
      </c>
      <c r="E818" s="4" t="inlineStr">
        <is>
          <t>P057</t>
        </is>
      </c>
      <c r="F818" t="inlineStr">
        <is>
          <t>M</t>
        </is>
      </c>
      <c r="G818" s="4" t="inlineStr">
        <is>
          <t>CH04</t>
        </is>
      </c>
      <c r="H818" s="4" t="inlineStr">
        <is>
          <t>PR00</t>
        </is>
      </c>
      <c r="I818" s="8" t="n">
        <v>72</v>
      </c>
      <c r="J818" s="9" t="n">
        <v>0</v>
      </c>
      <c r="K818" s="10">
        <f>I818*(1-J818)</f>
        <v/>
      </c>
      <c r="L818" s="11" t="n">
        <v>3</v>
      </c>
      <c r="M818" s="10">
        <f>K818*L818</f>
        <v/>
      </c>
      <c r="N818" s="8" t="n">
        <v>34.42</v>
      </c>
      <c r="O818" s="10">
        <f>N818*L818</f>
        <v/>
      </c>
      <c r="P818" s="10">
        <f>M818-O818</f>
        <v/>
      </c>
      <c r="Q818" s="11" t="inlineStr">
        <is>
          <t>No</t>
        </is>
      </c>
      <c r="R818" s="11" t="n">
        <v>0</v>
      </c>
      <c r="S818" s="10">
        <f>M818-(R818*K818)</f>
        <v/>
      </c>
      <c r="T818" s="12">
        <f>VLOOKUP(E818,Dim_Product!$A$2:$Q$61,3,FALSE)</f>
        <v/>
      </c>
      <c r="U818" s="12">
        <f>VLOOKUP(E818,Dim_Product!$A$2:$Q$61,4,FALSE)</f>
        <v/>
      </c>
      <c r="V818" s="12">
        <f>VLOOKUP(D818,Dim_Customer!$A$2:$I$121,6,FALSE)</f>
        <v/>
      </c>
      <c r="W818" s="12">
        <f>VLOOKUP(G818,Dim_Channel!$A$2:$B$5,2,FALSE)</f>
        <v/>
      </c>
      <c r="X818" s="12">
        <f>VLOOKUP(H818,Dim_Promotion!$A$2:$G$11,2,FALSE)</f>
        <v/>
      </c>
    </row>
    <row r="819">
      <c r="A819" s="4" t="inlineStr">
        <is>
          <t>SL0818</t>
        </is>
      </c>
      <c r="B819" t="inlineStr">
        <is>
          <t>O010409</t>
        </is>
      </c>
      <c r="C819" t="n">
        <v>20250409</v>
      </c>
      <c r="D819" s="4" t="inlineStr">
        <is>
          <t>C103</t>
        </is>
      </c>
      <c r="E819" s="4" t="inlineStr">
        <is>
          <t>P043</t>
        </is>
      </c>
      <c r="F819" t="inlineStr">
        <is>
          <t>M</t>
        </is>
      </c>
      <c r="G819" s="4" t="inlineStr">
        <is>
          <t>CH02</t>
        </is>
      </c>
      <c r="H819" s="4" t="inlineStr">
        <is>
          <t>PR00</t>
        </is>
      </c>
      <c r="I819" s="8" t="n">
        <v>81</v>
      </c>
      <c r="J819" s="9" t="n">
        <v>0</v>
      </c>
      <c r="K819" s="10">
        <f>I819*(1-J819)</f>
        <v/>
      </c>
      <c r="L819" s="11" t="n">
        <v>1</v>
      </c>
      <c r="M819" s="10">
        <f>K819*L819</f>
        <v/>
      </c>
      <c r="N819" s="8" t="n">
        <v>39.47</v>
      </c>
      <c r="O819" s="10">
        <f>N819*L819</f>
        <v/>
      </c>
      <c r="P819" s="10">
        <f>M819-O819</f>
        <v/>
      </c>
      <c r="Q819" s="11" t="inlineStr">
        <is>
          <t>No</t>
        </is>
      </c>
      <c r="R819" s="11" t="n">
        <v>0</v>
      </c>
      <c r="S819" s="10">
        <f>M819-(R819*K819)</f>
        <v/>
      </c>
      <c r="T819" s="12">
        <f>VLOOKUP(E819,Dim_Product!$A$2:$Q$61,3,FALSE)</f>
        <v/>
      </c>
      <c r="U819" s="12">
        <f>VLOOKUP(E819,Dim_Product!$A$2:$Q$61,4,FALSE)</f>
        <v/>
      </c>
      <c r="V819" s="12">
        <f>VLOOKUP(D819,Dim_Customer!$A$2:$I$121,6,FALSE)</f>
        <v/>
      </c>
      <c r="W819" s="12">
        <f>VLOOKUP(G819,Dim_Channel!$A$2:$B$5,2,FALSE)</f>
        <v/>
      </c>
      <c r="X819" s="12">
        <f>VLOOKUP(H819,Dim_Promotion!$A$2:$G$11,2,FALSE)</f>
        <v/>
      </c>
    </row>
    <row r="820">
      <c r="A820" s="4" t="inlineStr">
        <is>
          <t>SL0819</t>
        </is>
      </c>
      <c r="B820" t="inlineStr">
        <is>
          <t>O010410</t>
        </is>
      </c>
      <c r="C820" t="n">
        <v>20250524</v>
      </c>
      <c r="D820" s="4" t="inlineStr">
        <is>
          <t>C025</t>
        </is>
      </c>
      <c r="E820" s="4" t="inlineStr">
        <is>
          <t>P054</t>
        </is>
      </c>
      <c r="F820" t="inlineStr">
        <is>
          <t>S</t>
        </is>
      </c>
      <c r="G820" s="4" t="inlineStr">
        <is>
          <t>CH01</t>
        </is>
      </c>
      <c r="H820" s="4" t="inlineStr">
        <is>
          <t>PR00</t>
        </is>
      </c>
      <c r="I820" s="8" t="n">
        <v>75</v>
      </c>
      <c r="J820" s="9" t="n">
        <v>0</v>
      </c>
      <c r="K820" s="10">
        <f>I820*(1-J820)</f>
        <v/>
      </c>
      <c r="L820" s="11" t="n">
        <v>1</v>
      </c>
      <c r="M820" s="10">
        <f>K820*L820</f>
        <v/>
      </c>
      <c r="N820" s="8" t="n">
        <v>31.38</v>
      </c>
      <c r="O820" s="10">
        <f>N820*L820</f>
        <v/>
      </c>
      <c r="P820" s="10">
        <f>M820-O820</f>
        <v/>
      </c>
      <c r="Q820" s="11" t="inlineStr">
        <is>
          <t>No</t>
        </is>
      </c>
      <c r="R820" s="11" t="n">
        <v>0</v>
      </c>
      <c r="S820" s="10">
        <f>M820-(R820*K820)</f>
        <v/>
      </c>
      <c r="T820" s="12">
        <f>VLOOKUP(E820,Dim_Product!$A$2:$Q$61,3,FALSE)</f>
        <v/>
      </c>
      <c r="U820" s="12">
        <f>VLOOKUP(E820,Dim_Product!$A$2:$Q$61,4,FALSE)</f>
        <v/>
      </c>
      <c r="V820" s="12">
        <f>VLOOKUP(D820,Dim_Customer!$A$2:$I$121,6,FALSE)</f>
        <v/>
      </c>
      <c r="W820" s="12">
        <f>VLOOKUP(G820,Dim_Channel!$A$2:$B$5,2,FALSE)</f>
        <v/>
      </c>
      <c r="X820" s="12">
        <f>VLOOKUP(H820,Dim_Promotion!$A$2:$G$11,2,FALSE)</f>
        <v/>
      </c>
    </row>
    <row r="821">
      <c r="A821" s="4" t="inlineStr">
        <is>
          <t>SL0820</t>
        </is>
      </c>
      <c r="B821" t="inlineStr">
        <is>
          <t>O010410</t>
        </is>
      </c>
      <c r="C821" t="n">
        <v>20250521</v>
      </c>
      <c r="D821" s="4" t="inlineStr">
        <is>
          <t>C010</t>
        </is>
      </c>
      <c r="E821" s="4" t="inlineStr">
        <is>
          <t>P011</t>
        </is>
      </c>
      <c r="F821" t="inlineStr">
        <is>
          <t>S</t>
        </is>
      </c>
      <c r="G821" s="4" t="inlineStr">
        <is>
          <t>CH01</t>
        </is>
      </c>
      <c r="H821" s="4" t="inlineStr">
        <is>
          <t>PR00</t>
        </is>
      </c>
      <c r="I821" s="8" t="n">
        <v>47</v>
      </c>
      <c r="J821" s="9" t="n">
        <v>0</v>
      </c>
      <c r="K821" s="10">
        <f>I821*(1-J821)</f>
        <v/>
      </c>
      <c r="L821" s="11" t="n">
        <v>1</v>
      </c>
      <c r="M821" s="10">
        <f>K821*L821</f>
        <v/>
      </c>
      <c r="N821" s="8" t="n">
        <v>19.61</v>
      </c>
      <c r="O821" s="10">
        <f>N821*L821</f>
        <v/>
      </c>
      <c r="P821" s="10">
        <f>M821-O821</f>
        <v/>
      </c>
      <c r="Q821" s="11" t="inlineStr">
        <is>
          <t>No</t>
        </is>
      </c>
      <c r="R821" s="11" t="n">
        <v>0</v>
      </c>
      <c r="S821" s="10">
        <f>M821-(R821*K821)</f>
        <v/>
      </c>
      <c r="T821" s="12">
        <f>VLOOKUP(E821,Dim_Product!$A$2:$Q$61,3,FALSE)</f>
        <v/>
      </c>
      <c r="U821" s="12">
        <f>VLOOKUP(E821,Dim_Product!$A$2:$Q$61,4,FALSE)</f>
        <v/>
      </c>
      <c r="V821" s="12">
        <f>VLOOKUP(D821,Dim_Customer!$A$2:$I$121,6,FALSE)</f>
        <v/>
      </c>
      <c r="W821" s="12">
        <f>VLOOKUP(G821,Dim_Channel!$A$2:$B$5,2,FALSE)</f>
        <v/>
      </c>
      <c r="X821" s="12">
        <f>VLOOKUP(H821,Dim_Promotion!$A$2:$G$11,2,FALSE)</f>
        <v/>
      </c>
    </row>
    <row r="822">
      <c r="A822" s="4" t="inlineStr">
        <is>
          <t>SL0821</t>
        </is>
      </c>
      <c r="B822" t="inlineStr">
        <is>
          <t>O010411</t>
        </is>
      </c>
      <c r="C822" t="n">
        <v>20251224</v>
      </c>
      <c r="D822" s="4" t="inlineStr">
        <is>
          <t>C114</t>
        </is>
      </c>
      <c r="E822" s="4" t="inlineStr">
        <is>
          <t>P025</t>
        </is>
      </c>
      <c r="F822" t="inlineStr">
        <is>
          <t>L</t>
        </is>
      </c>
      <c r="G822" s="4" t="inlineStr">
        <is>
          <t>CH02</t>
        </is>
      </c>
      <c r="H822" s="4" t="inlineStr">
        <is>
          <t>PR00</t>
        </is>
      </c>
      <c r="I822" s="8" t="n">
        <v>93</v>
      </c>
      <c r="J822" s="9" t="n">
        <v>0</v>
      </c>
      <c r="K822" s="10">
        <f>I822*(1-J822)</f>
        <v/>
      </c>
      <c r="L822" s="11" t="n">
        <v>1</v>
      </c>
      <c r="M822" s="10">
        <f>K822*L822</f>
        <v/>
      </c>
      <c r="N822" s="8" t="n">
        <v>45.2</v>
      </c>
      <c r="O822" s="10">
        <f>N822*L822</f>
        <v/>
      </c>
      <c r="P822" s="10">
        <f>M822-O822</f>
        <v/>
      </c>
      <c r="Q822" s="11" t="inlineStr">
        <is>
          <t>No</t>
        </is>
      </c>
      <c r="R822" s="11" t="n">
        <v>0</v>
      </c>
      <c r="S822" s="10">
        <f>M822-(R822*K822)</f>
        <v/>
      </c>
      <c r="T822" s="12">
        <f>VLOOKUP(E822,Dim_Product!$A$2:$Q$61,3,FALSE)</f>
        <v/>
      </c>
      <c r="U822" s="12">
        <f>VLOOKUP(E822,Dim_Product!$A$2:$Q$61,4,FALSE)</f>
        <v/>
      </c>
      <c r="V822" s="12">
        <f>VLOOKUP(D822,Dim_Customer!$A$2:$I$121,6,FALSE)</f>
        <v/>
      </c>
      <c r="W822" s="12">
        <f>VLOOKUP(G822,Dim_Channel!$A$2:$B$5,2,FALSE)</f>
        <v/>
      </c>
      <c r="X822" s="12">
        <f>VLOOKUP(H822,Dim_Promotion!$A$2:$G$11,2,FALSE)</f>
        <v/>
      </c>
    </row>
    <row r="823">
      <c r="A823" s="4" t="inlineStr">
        <is>
          <t>SL0822</t>
        </is>
      </c>
      <c r="B823" t="inlineStr">
        <is>
          <t>O010411</t>
        </is>
      </c>
      <c r="C823" t="n">
        <v>20250911</v>
      </c>
      <c r="D823" s="4" t="inlineStr">
        <is>
          <t>C065</t>
        </is>
      </c>
      <c r="E823" s="4" t="inlineStr">
        <is>
          <t>P027</t>
        </is>
      </c>
      <c r="F823" t="inlineStr">
        <is>
          <t>L</t>
        </is>
      </c>
      <c r="G823" s="4" t="inlineStr">
        <is>
          <t>CH01</t>
        </is>
      </c>
      <c r="H823" s="4" t="inlineStr">
        <is>
          <t>PR00</t>
        </is>
      </c>
      <c r="I823" s="8" t="n">
        <v>95</v>
      </c>
      <c r="J823" s="9" t="n">
        <v>0</v>
      </c>
      <c r="K823" s="10">
        <f>I823*(1-J823)</f>
        <v/>
      </c>
      <c r="L823" s="11" t="n">
        <v>1</v>
      </c>
      <c r="M823" s="10">
        <f>K823*L823</f>
        <v/>
      </c>
      <c r="N823" s="8" t="n">
        <v>44.4</v>
      </c>
      <c r="O823" s="10">
        <f>N823*L823</f>
        <v/>
      </c>
      <c r="P823" s="10">
        <f>M823-O823</f>
        <v/>
      </c>
      <c r="Q823" s="11" t="inlineStr">
        <is>
          <t>No</t>
        </is>
      </c>
      <c r="R823" s="11" t="n">
        <v>0</v>
      </c>
      <c r="S823" s="10">
        <f>M823-(R823*K823)</f>
        <v/>
      </c>
      <c r="T823" s="12">
        <f>VLOOKUP(E823,Dim_Product!$A$2:$Q$61,3,FALSE)</f>
        <v/>
      </c>
      <c r="U823" s="12">
        <f>VLOOKUP(E823,Dim_Product!$A$2:$Q$61,4,FALSE)</f>
        <v/>
      </c>
      <c r="V823" s="12">
        <f>VLOOKUP(D823,Dim_Customer!$A$2:$I$121,6,FALSE)</f>
        <v/>
      </c>
      <c r="W823" s="12">
        <f>VLOOKUP(G823,Dim_Channel!$A$2:$B$5,2,FALSE)</f>
        <v/>
      </c>
      <c r="X823" s="12">
        <f>VLOOKUP(H823,Dim_Promotion!$A$2:$G$11,2,FALSE)</f>
        <v/>
      </c>
    </row>
    <row r="824">
      <c r="A824" s="4" t="inlineStr">
        <is>
          <t>SL0823</t>
        </is>
      </c>
      <c r="B824" t="inlineStr">
        <is>
          <t>O010412</t>
        </is>
      </c>
      <c r="C824" t="n">
        <v>20250301</v>
      </c>
      <c r="D824" s="4" t="inlineStr">
        <is>
          <t>C041</t>
        </is>
      </c>
      <c r="E824" s="4" t="inlineStr">
        <is>
          <t>P053</t>
        </is>
      </c>
      <c r="F824" t="inlineStr">
        <is>
          <t>M</t>
        </is>
      </c>
      <c r="G824" s="4" t="inlineStr">
        <is>
          <t>CH01</t>
        </is>
      </c>
      <c r="H824" s="4" t="inlineStr">
        <is>
          <t>PR00</t>
        </is>
      </c>
      <c r="I824" s="8" t="n">
        <v>72</v>
      </c>
      <c r="J824" s="9" t="n">
        <v>0</v>
      </c>
      <c r="K824" s="10">
        <f>I824*(1-J824)</f>
        <v/>
      </c>
      <c r="L824" s="11" t="n">
        <v>3</v>
      </c>
      <c r="M824" s="10">
        <f>K824*L824</f>
        <v/>
      </c>
      <c r="N824" s="8" t="n">
        <v>34.22</v>
      </c>
      <c r="O824" s="10">
        <f>N824*L824</f>
        <v/>
      </c>
      <c r="P824" s="10">
        <f>M824-O824</f>
        <v/>
      </c>
      <c r="Q824" s="11" t="inlineStr">
        <is>
          <t>No</t>
        </is>
      </c>
      <c r="R824" s="11" t="n">
        <v>0</v>
      </c>
      <c r="S824" s="10">
        <f>M824-(R824*K824)</f>
        <v/>
      </c>
      <c r="T824" s="12">
        <f>VLOOKUP(E824,Dim_Product!$A$2:$Q$61,3,FALSE)</f>
        <v/>
      </c>
      <c r="U824" s="12">
        <f>VLOOKUP(E824,Dim_Product!$A$2:$Q$61,4,FALSE)</f>
        <v/>
      </c>
      <c r="V824" s="12">
        <f>VLOOKUP(D824,Dim_Customer!$A$2:$I$121,6,FALSE)</f>
        <v/>
      </c>
      <c r="W824" s="12">
        <f>VLOOKUP(G824,Dim_Channel!$A$2:$B$5,2,FALSE)</f>
        <v/>
      </c>
      <c r="X824" s="12">
        <f>VLOOKUP(H824,Dim_Promotion!$A$2:$G$11,2,FALSE)</f>
        <v/>
      </c>
    </row>
    <row r="825">
      <c r="A825" s="4" t="inlineStr">
        <is>
          <t>SL0824</t>
        </is>
      </c>
      <c r="B825" t="inlineStr">
        <is>
          <t>O010412</t>
        </is>
      </c>
      <c r="C825" t="n">
        <v>20250706</v>
      </c>
      <c r="D825" s="4" t="inlineStr">
        <is>
          <t>C025</t>
        </is>
      </c>
      <c r="E825" s="4" t="inlineStr">
        <is>
          <t>P046</t>
        </is>
      </c>
      <c r="F825" t="inlineStr">
        <is>
          <t>S</t>
        </is>
      </c>
      <c r="G825" s="4" t="inlineStr">
        <is>
          <t>CH01</t>
        </is>
      </c>
      <c r="H825" s="4" t="inlineStr">
        <is>
          <t>PR00</t>
        </is>
      </c>
      <c r="I825" s="8" t="n">
        <v>64</v>
      </c>
      <c r="J825" s="9" t="n">
        <v>0</v>
      </c>
      <c r="K825" s="10">
        <f>I825*(1-J825)</f>
        <v/>
      </c>
      <c r="L825" s="11" t="n">
        <v>1</v>
      </c>
      <c r="M825" s="10">
        <f>K825*L825</f>
        <v/>
      </c>
      <c r="N825" s="8" t="n">
        <v>34.18</v>
      </c>
      <c r="O825" s="10">
        <f>N825*L825</f>
        <v/>
      </c>
      <c r="P825" s="10">
        <f>M825-O825</f>
        <v/>
      </c>
      <c r="Q825" s="11" t="inlineStr">
        <is>
          <t>No</t>
        </is>
      </c>
      <c r="R825" s="11" t="n">
        <v>0</v>
      </c>
      <c r="S825" s="10">
        <f>M825-(R825*K825)</f>
        <v/>
      </c>
      <c r="T825" s="12">
        <f>VLOOKUP(E825,Dim_Product!$A$2:$Q$61,3,FALSE)</f>
        <v/>
      </c>
      <c r="U825" s="12">
        <f>VLOOKUP(E825,Dim_Product!$A$2:$Q$61,4,FALSE)</f>
        <v/>
      </c>
      <c r="V825" s="12">
        <f>VLOOKUP(D825,Dim_Customer!$A$2:$I$121,6,FALSE)</f>
        <v/>
      </c>
      <c r="W825" s="12">
        <f>VLOOKUP(G825,Dim_Channel!$A$2:$B$5,2,FALSE)</f>
        <v/>
      </c>
      <c r="X825" s="12">
        <f>VLOOKUP(H825,Dim_Promotion!$A$2:$G$11,2,FALSE)</f>
        <v/>
      </c>
    </row>
    <row r="826">
      <c r="A826" s="4" t="inlineStr">
        <is>
          <t>SL0825</t>
        </is>
      </c>
      <c r="B826" t="inlineStr">
        <is>
          <t>O010413</t>
        </is>
      </c>
      <c r="C826" t="n">
        <v>20250911</v>
      </c>
      <c r="D826" s="4" t="inlineStr">
        <is>
          <t>C021</t>
        </is>
      </c>
      <c r="E826" s="4" t="inlineStr">
        <is>
          <t>P010</t>
        </is>
      </c>
      <c r="F826" t="inlineStr">
        <is>
          <t>M</t>
        </is>
      </c>
      <c r="G826" s="4" t="inlineStr">
        <is>
          <t>CH01</t>
        </is>
      </c>
      <c r="H826" s="4" t="inlineStr">
        <is>
          <t>PR00</t>
        </is>
      </c>
      <c r="I826" s="8" t="n">
        <v>50</v>
      </c>
      <c r="J826" s="9" t="n">
        <v>0</v>
      </c>
      <c r="K826" s="10">
        <f>I826*(1-J826)</f>
        <v/>
      </c>
      <c r="L826" s="11" t="n">
        <v>4</v>
      </c>
      <c r="M826" s="10">
        <f>K826*L826</f>
        <v/>
      </c>
      <c r="N826" s="8" t="n">
        <v>20.38</v>
      </c>
      <c r="O826" s="10">
        <f>N826*L826</f>
        <v/>
      </c>
      <c r="P826" s="10">
        <f>M826-O826</f>
        <v/>
      </c>
      <c r="Q826" s="11" t="inlineStr">
        <is>
          <t>No</t>
        </is>
      </c>
      <c r="R826" s="11" t="n">
        <v>0</v>
      </c>
      <c r="S826" s="10">
        <f>M826-(R826*K826)</f>
        <v/>
      </c>
      <c r="T826" s="12">
        <f>VLOOKUP(E826,Dim_Product!$A$2:$Q$61,3,FALSE)</f>
        <v/>
      </c>
      <c r="U826" s="12">
        <f>VLOOKUP(E826,Dim_Product!$A$2:$Q$61,4,FALSE)</f>
        <v/>
      </c>
      <c r="V826" s="12">
        <f>VLOOKUP(D826,Dim_Customer!$A$2:$I$121,6,FALSE)</f>
        <v/>
      </c>
      <c r="W826" s="12">
        <f>VLOOKUP(G826,Dim_Channel!$A$2:$B$5,2,FALSE)</f>
        <v/>
      </c>
      <c r="X826" s="12">
        <f>VLOOKUP(H826,Dim_Promotion!$A$2:$G$11,2,FALSE)</f>
        <v/>
      </c>
    </row>
    <row r="827">
      <c r="A827" s="4" t="inlineStr">
        <is>
          <t>SL0826</t>
        </is>
      </c>
      <c r="B827" t="inlineStr">
        <is>
          <t>O010413</t>
        </is>
      </c>
      <c r="C827" t="n">
        <v>20251009</v>
      </c>
      <c r="D827" s="4" t="inlineStr">
        <is>
          <t>C030</t>
        </is>
      </c>
      <c r="E827" s="4" t="inlineStr">
        <is>
          <t>P056</t>
        </is>
      </c>
      <c r="F827" t="inlineStr">
        <is>
          <t>L</t>
        </is>
      </c>
      <c r="G827" s="4" t="inlineStr">
        <is>
          <t>CH02</t>
        </is>
      </c>
      <c r="H827" s="4" t="inlineStr">
        <is>
          <t>PR00</t>
        </is>
      </c>
      <c r="I827" s="8" t="n">
        <v>68</v>
      </c>
      <c r="J827" s="9" t="n">
        <v>0</v>
      </c>
      <c r="K827" s="10">
        <f>I827*(1-J827)</f>
        <v/>
      </c>
      <c r="L827" s="11" t="n">
        <v>2</v>
      </c>
      <c r="M827" s="10">
        <f>K827*L827</f>
        <v/>
      </c>
      <c r="N827" s="8" t="n">
        <v>33.98</v>
      </c>
      <c r="O827" s="10">
        <f>N827*L827</f>
        <v/>
      </c>
      <c r="P827" s="10">
        <f>M827-O827</f>
        <v/>
      </c>
      <c r="Q827" s="11" t="inlineStr">
        <is>
          <t>No</t>
        </is>
      </c>
      <c r="R827" s="11" t="n">
        <v>0</v>
      </c>
      <c r="S827" s="10">
        <f>M827-(R827*K827)</f>
        <v/>
      </c>
      <c r="T827" s="12">
        <f>VLOOKUP(E827,Dim_Product!$A$2:$Q$61,3,FALSE)</f>
        <v/>
      </c>
      <c r="U827" s="12">
        <f>VLOOKUP(E827,Dim_Product!$A$2:$Q$61,4,FALSE)</f>
        <v/>
      </c>
      <c r="V827" s="12">
        <f>VLOOKUP(D827,Dim_Customer!$A$2:$I$121,6,FALSE)</f>
        <v/>
      </c>
      <c r="W827" s="12">
        <f>VLOOKUP(G827,Dim_Channel!$A$2:$B$5,2,FALSE)</f>
        <v/>
      </c>
      <c r="X827" s="12">
        <f>VLOOKUP(H827,Dim_Promotion!$A$2:$G$11,2,FALSE)</f>
        <v/>
      </c>
    </row>
    <row r="828">
      <c r="A828" s="4" t="inlineStr">
        <is>
          <t>SL0827</t>
        </is>
      </c>
      <c r="B828" t="inlineStr">
        <is>
          <t>O010414</t>
        </is>
      </c>
      <c r="C828" t="n">
        <v>20250519</v>
      </c>
      <c r="D828" s="4" t="inlineStr">
        <is>
          <t>C051</t>
        </is>
      </c>
      <c r="E828" s="4" t="inlineStr">
        <is>
          <t>P045</t>
        </is>
      </c>
      <c r="F828" t="inlineStr">
        <is>
          <t>XL</t>
        </is>
      </c>
      <c r="G828" s="4" t="inlineStr">
        <is>
          <t>CH01</t>
        </is>
      </c>
      <c r="H828" s="4" t="inlineStr">
        <is>
          <t>PR00</t>
        </is>
      </c>
      <c r="I828" s="8" t="n">
        <v>66</v>
      </c>
      <c r="J828" s="9" t="n">
        <v>0</v>
      </c>
      <c r="K828" s="10">
        <f>I828*(1-J828)</f>
        <v/>
      </c>
      <c r="L828" s="11" t="n">
        <v>3</v>
      </c>
      <c r="M828" s="10">
        <f>K828*L828</f>
        <v/>
      </c>
      <c r="N828" s="8" t="n">
        <v>33.86</v>
      </c>
      <c r="O828" s="10">
        <f>N828*L828</f>
        <v/>
      </c>
      <c r="P828" s="10">
        <f>M828-O828</f>
        <v/>
      </c>
      <c r="Q828" s="11" t="inlineStr">
        <is>
          <t>Yes</t>
        </is>
      </c>
      <c r="R828" s="11" t="n">
        <v>1</v>
      </c>
      <c r="S828" s="10">
        <f>M828-(R828*K828)</f>
        <v/>
      </c>
      <c r="T828" s="12">
        <f>VLOOKUP(E828,Dim_Product!$A$2:$Q$61,3,FALSE)</f>
        <v/>
      </c>
      <c r="U828" s="12">
        <f>VLOOKUP(E828,Dim_Product!$A$2:$Q$61,4,FALSE)</f>
        <v/>
      </c>
      <c r="V828" s="12">
        <f>VLOOKUP(D828,Dim_Customer!$A$2:$I$121,6,FALSE)</f>
        <v/>
      </c>
      <c r="W828" s="12">
        <f>VLOOKUP(G828,Dim_Channel!$A$2:$B$5,2,FALSE)</f>
        <v/>
      </c>
      <c r="X828" s="12">
        <f>VLOOKUP(H828,Dim_Promotion!$A$2:$G$11,2,FALSE)</f>
        <v/>
      </c>
    </row>
    <row r="829">
      <c r="A829" s="4" t="inlineStr">
        <is>
          <t>SL0828</t>
        </is>
      </c>
      <c r="B829" t="inlineStr">
        <is>
          <t>O010414</t>
        </is>
      </c>
      <c r="C829" t="n">
        <v>20250423</v>
      </c>
      <c r="D829" s="4" t="inlineStr">
        <is>
          <t>C033</t>
        </is>
      </c>
      <c r="E829" s="4" t="inlineStr">
        <is>
          <t>P016</t>
        </is>
      </c>
      <c r="F829" t="inlineStr">
        <is>
          <t>M</t>
        </is>
      </c>
      <c r="G829" s="4" t="inlineStr">
        <is>
          <t>CH03</t>
        </is>
      </c>
      <c r="H829" s="4" t="inlineStr">
        <is>
          <t>PR00</t>
        </is>
      </c>
      <c r="I829" s="8" t="n">
        <v>60</v>
      </c>
      <c r="J829" s="9" t="n">
        <v>0</v>
      </c>
      <c r="K829" s="10">
        <f>I829*(1-J829)</f>
        <v/>
      </c>
      <c r="L829" s="11" t="n">
        <v>2</v>
      </c>
      <c r="M829" s="10">
        <f>K829*L829</f>
        <v/>
      </c>
      <c r="N829" s="8" t="n">
        <v>27.75</v>
      </c>
      <c r="O829" s="10">
        <f>N829*L829</f>
        <v/>
      </c>
      <c r="P829" s="10">
        <f>M829-O829</f>
        <v/>
      </c>
      <c r="Q829" s="11" t="inlineStr">
        <is>
          <t>No</t>
        </is>
      </c>
      <c r="R829" s="11" t="n">
        <v>0</v>
      </c>
      <c r="S829" s="10">
        <f>M829-(R829*K829)</f>
        <v/>
      </c>
      <c r="T829" s="12">
        <f>VLOOKUP(E829,Dim_Product!$A$2:$Q$61,3,FALSE)</f>
        <v/>
      </c>
      <c r="U829" s="12">
        <f>VLOOKUP(E829,Dim_Product!$A$2:$Q$61,4,FALSE)</f>
        <v/>
      </c>
      <c r="V829" s="12">
        <f>VLOOKUP(D829,Dim_Customer!$A$2:$I$121,6,FALSE)</f>
        <v/>
      </c>
      <c r="W829" s="12">
        <f>VLOOKUP(G829,Dim_Channel!$A$2:$B$5,2,FALSE)</f>
        <v/>
      </c>
      <c r="X829" s="12">
        <f>VLOOKUP(H829,Dim_Promotion!$A$2:$G$11,2,FALSE)</f>
        <v/>
      </c>
    </row>
    <row r="830">
      <c r="A830" s="4" t="inlineStr">
        <is>
          <t>SL0829</t>
        </is>
      </c>
      <c r="B830" t="inlineStr">
        <is>
          <t>O010415</t>
        </is>
      </c>
      <c r="C830" t="n">
        <v>20250609</v>
      </c>
      <c r="D830" s="4" t="inlineStr">
        <is>
          <t>C014</t>
        </is>
      </c>
      <c r="E830" s="4" t="inlineStr">
        <is>
          <t>P004</t>
        </is>
      </c>
      <c r="F830" t="inlineStr">
        <is>
          <t>L</t>
        </is>
      </c>
      <c r="G830" s="4" t="inlineStr">
        <is>
          <t>CH04</t>
        </is>
      </c>
      <c r="H830" s="4" t="inlineStr">
        <is>
          <t>PR04</t>
        </is>
      </c>
      <c r="I830" s="8" t="n">
        <v>40</v>
      </c>
      <c r="J830" s="9" t="n">
        <v>0.12</v>
      </c>
      <c r="K830" s="10">
        <f>I830*(1-J830)</f>
        <v/>
      </c>
      <c r="L830" s="11" t="n">
        <v>2</v>
      </c>
      <c r="M830" s="10">
        <f>K830*L830</f>
        <v/>
      </c>
      <c r="N830" s="8" t="n">
        <v>19.06</v>
      </c>
      <c r="O830" s="10">
        <f>N830*L830</f>
        <v/>
      </c>
      <c r="P830" s="10">
        <f>M830-O830</f>
        <v/>
      </c>
      <c r="Q830" s="11" t="inlineStr">
        <is>
          <t>No</t>
        </is>
      </c>
      <c r="R830" s="11" t="n">
        <v>0</v>
      </c>
      <c r="S830" s="10">
        <f>M830-(R830*K830)</f>
        <v/>
      </c>
      <c r="T830" s="12">
        <f>VLOOKUP(E830,Dim_Product!$A$2:$Q$61,3,FALSE)</f>
        <v/>
      </c>
      <c r="U830" s="12">
        <f>VLOOKUP(E830,Dim_Product!$A$2:$Q$61,4,FALSE)</f>
        <v/>
      </c>
      <c r="V830" s="12">
        <f>VLOOKUP(D830,Dim_Customer!$A$2:$I$121,6,FALSE)</f>
        <v/>
      </c>
      <c r="W830" s="12">
        <f>VLOOKUP(G830,Dim_Channel!$A$2:$B$5,2,FALSE)</f>
        <v/>
      </c>
      <c r="X830" s="12">
        <f>VLOOKUP(H830,Dim_Promotion!$A$2:$G$11,2,FALSE)</f>
        <v/>
      </c>
    </row>
    <row r="831">
      <c r="A831" s="4" t="inlineStr">
        <is>
          <t>SL0830</t>
        </is>
      </c>
      <c r="B831" t="inlineStr">
        <is>
          <t>O010415</t>
        </is>
      </c>
      <c r="C831" t="n">
        <v>20251008</v>
      </c>
      <c r="D831" s="4" t="inlineStr">
        <is>
          <t>C036</t>
        </is>
      </c>
      <c r="E831" s="4" t="inlineStr">
        <is>
          <t>P060</t>
        </is>
      </c>
      <c r="F831" t="inlineStr">
        <is>
          <t>S</t>
        </is>
      </c>
      <c r="G831" s="4" t="inlineStr">
        <is>
          <t>CH01</t>
        </is>
      </c>
      <c r="H831" s="4" t="inlineStr">
        <is>
          <t>PR00</t>
        </is>
      </c>
      <c r="I831" s="8" t="n">
        <v>73</v>
      </c>
      <c r="J831" s="9" t="n">
        <v>0</v>
      </c>
      <c r="K831" s="10">
        <f>I831*(1-J831)</f>
        <v/>
      </c>
      <c r="L831" s="11" t="n">
        <v>3</v>
      </c>
      <c r="M831" s="10">
        <f>K831*L831</f>
        <v/>
      </c>
      <c r="N831" s="8" t="n">
        <v>35.52</v>
      </c>
      <c r="O831" s="10">
        <f>N831*L831</f>
        <v/>
      </c>
      <c r="P831" s="10">
        <f>M831-O831</f>
        <v/>
      </c>
      <c r="Q831" s="11" t="inlineStr">
        <is>
          <t>No</t>
        </is>
      </c>
      <c r="R831" s="11" t="n">
        <v>0</v>
      </c>
      <c r="S831" s="10">
        <f>M831-(R831*K831)</f>
        <v/>
      </c>
      <c r="T831" s="12">
        <f>VLOOKUP(E831,Dim_Product!$A$2:$Q$61,3,FALSE)</f>
        <v/>
      </c>
      <c r="U831" s="12">
        <f>VLOOKUP(E831,Dim_Product!$A$2:$Q$61,4,FALSE)</f>
        <v/>
      </c>
      <c r="V831" s="12">
        <f>VLOOKUP(D831,Dim_Customer!$A$2:$I$121,6,FALSE)</f>
        <v/>
      </c>
      <c r="W831" s="12">
        <f>VLOOKUP(G831,Dim_Channel!$A$2:$B$5,2,FALSE)</f>
        <v/>
      </c>
      <c r="X831" s="12">
        <f>VLOOKUP(H831,Dim_Promotion!$A$2:$G$11,2,FALSE)</f>
        <v/>
      </c>
    </row>
    <row r="832">
      <c r="A832" s="4" t="inlineStr">
        <is>
          <t>SL0831</t>
        </is>
      </c>
      <c r="B832" t="inlineStr">
        <is>
          <t>O010416</t>
        </is>
      </c>
      <c r="C832" t="n">
        <v>20251011</v>
      </c>
      <c r="D832" s="4" t="inlineStr">
        <is>
          <t>C100</t>
        </is>
      </c>
      <c r="E832" s="4" t="inlineStr">
        <is>
          <t>P052</t>
        </is>
      </c>
      <c r="F832" t="inlineStr">
        <is>
          <t>L</t>
        </is>
      </c>
      <c r="G832" s="4" t="inlineStr">
        <is>
          <t>CH02</t>
        </is>
      </c>
      <c r="H832" s="4" t="inlineStr">
        <is>
          <t>PR00</t>
        </is>
      </c>
      <c r="I832" s="8" t="n">
        <v>64</v>
      </c>
      <c r="J832" s="9" t="n">
        <v>0</v>
      </c>
      <c r="K832" s="10">
        <f>I832*(1-J832)</f>
        <v/>
      </c>
      <c r="L832" s="11" t="n">
        <v>1</v>
      </c>
      <c r="M832" s="10">
        <f>K832*L832</f>
        <v/>
      </c>
      <c r="N832" s="8" t="n">
        <v>31.8</v>
      </c>
      <c r="O832" s="10">
        <f>N832*L832</f>
        <v/>
      </c>
      <c r="P832" s="10">
        <f>M832-O832</f>
        <v/>
      </c>
      <c r="Q832" s="11" t="inlineStr">
        <is>
          <t>No</t>
        </is>
      </c>
      <c r="R832" s="11" t="n">
        <v>0</v>
      </c>
      <c r="S832" s="10">
        <f>M832-(R832*K832)</f>
        <v/>
      </c>
      <c r="T832" s="12">
        <f>VLOOKUP(E832,Dim_Product!$A$2:$Q$61,3,FALSE)</f>
        <v/>
      </c>
      <c r="U832" s="12">
        <f>VLOOKUP(E832,Dim_Product!$A$2:$Q$61,4,FALSE)</f>
        <v/>
      </c>
      <c r="V832" s="12">
        <f>VLOOKUP(D832,Dim_Customer!$A$2:$I$121,6,FALSE)</f>
        <v/>
      </c>
      <c r="W832" s="12">
        <f>VLOOKUP(G832,Dim_Channel!$A$2:$B$5,2,FALSE)</f>
        <v/>
      </c>
      <c r="X832" s="12">
        <f>VLOOKUP(H832,Dim_Promotion!$A$2:$G$11,2,FALSE)</f>
        <v/>
      </c>
    </row>
    <row r="833">
      <c r="A833" s="4" t="inlineStr">
        <is>
          <t>SL0832</t>
        </is>
      </c>
      <c r="B833" t="inlineStr">
        <is>
          <t>O010416</t>
        </is>
      </c>
      <c r="C833" t="n">
        <v>20250710</v>
      </c>
      <c r="D833" s="4" t="inlineStr">
        <is>
          <t>C089</t>
        </is>
      </c>
      <c r="E833" s="4" t="inlineStr">
        <is>
          <t>P042</t>
        </is>
      </c>
      <c r="F833" t="inlineStr">
        <is>
          <t>L</t>
        </is>
      </c>
      <c r="G833" s="4" t="inlineStr">
        <is>
          <t>CH04</t>
        </is>
      </c>
      <c r="H833" s="4" t="inlineStr">
        <is>
          <t>PR00</t>
        </is>
      </c>
      <c r="I833" s="8" t="n">
        <v>76</v>
      </c>
      <c r="J833" s="9" t="n">
        <v>0</v>
      </c>
      <c r="K833" s="10">
        <f>I833*(1-J833)</f>
        <v/>
      </c>
      <c r="L833" s="11" t="n">
        <v>1</v>
      </c>
      <c r="M833" s="10">
        <f>K833*L833</f>
        <v/>
      </c>
      <c r="N833" s="8" t="n">
        <v>36.77</v>
      </c>
      <c r="O833" s="10">
        <f>N833*L833</f>
        <v/>
      </c>
      <c r="P833" s="10">
        <f>M833-O833</f>
        <v/>
      </c>
      <c r="Q833" s="11" t="inlineStr">
        <is>
          <t>No</t>
        </is>
      </c>
      <c r="R833" s="11" t="n">
        <v>0</v>
      </c>
      <c r="S833" s="10">
        <f>M833-(R833*K833)</f>
        <v/>
      </c>
      <c r="T833" s="12">
        <f>VLOOKUP(E833,Dim_Product!$A$2:$Q$61,3,FALSE)</f>
        <v/>
      </c>
      <c r="U833" s="12">
        <f>VLOOKUP(E833,Dim_Product!$A$2:$Q$61,4,FALSE)</f>
        <v/>
      </c>
      <c r="V833" s="12">
        <f>VLOOKUP(D833,Dim_Customer!$A$2:$I$121,6,FALSE)</f>
        <v/>
      </c>
      <c r="W833" s="12">
        <f>VLOOKUP(G833,Dim_Channel!$A$2:$B$5,2,FALSE)</f>
        <v/>
      </c>
      <c r="X833" s="12">
        <f>VLOOKUP(H833,Dim_Promotion!$A$2:$G$11,2,FALSE)</f>
        <v/>
      </c>
    </row>
    <row r="834">
      <c r="A834" s="4" t="inlineStr">
        <is>
          <t>SL0833</t>
        </is>
      </c>
      <c r="B834" t="inlineStr">
        <is>
          <t>O010417</t>
        </is>
      </c>
      <c r="C834" t="n">
        <v>20250323</v>
      </c>
      <c r="D834" s="4" t="inlineStr">
        <is>
          <t>C034</t>
        </is>
      </c>
      <c r="E834" s="4" t="inlineStr">
        <is>
          <t>P002</t>
        </is>
      </c>
      <c r="F834" t="inlineStr">
        <is>
          <t>M</t>
        </is>
      </c>
      <c r="G834" s="4" t="inlineStr">
        <is>
          <t>CH02</t>
        </is>
      </c>
      <c r="H834" s="4" t="inlineStr">
        <is>
          <t>PR00</t>
        </is>
      </c>
      <c r="I834" s="8" t="n">
        <v>38</v>
      </c>
      <c r="J834" s="9" t="n">
        <v>0</v>
      </c>
      <c r="K834" s="10">
        <f>I834*(1-J834)</f>
        <v/>
      </c>
      <c r="L834" s="11" t="n">
        <v>2</v>
      </c>
      <c r="M834" s="10">
        <f>K834*L834</f>
        <v/>
      </c>
      <c r="N834" s="8" t="n">
        <v>16.72</v>
      </c>
      <c r="O834" s="10">
        <f>N834*L834</f>
        <v/>
      </c>
      <c r="P834" s="10">
        <f>M834-O834</f>
        <v/>
      </c>
      <c r="Q834" s="11" t="inlineStr">
        <is>
          <t>No</t>
        </is>
      </c>
      <c r="R834" s="11" t="n">
        <v>0</v>
      </c>
      <c r="S834" s="10">
        <f>M834-(R834*K834)</f>
        <v/>
      </c>
      <c r="T834" s="12">
        <f>VLOOKUP(E834,Dim_Product!$A$2:$Q$61,3,FALSE)</f>
        <v/>
      </c>
      <c r="U834" s="12">
        <f>VLOOKUP(E834,Dim_Product!$A$2:$Q$61,4,FALSE)</f>
        <v/>
      </c>
      <c r="V834" s="12">
        <f>VLOOKUP(D834,Dim_Customer!$A$2:$I$121,6,FALSE)</f>
        <v/>
      </c>
      <c r="W834" s="12">
        <f>VLOOKUP(G834,Dim_Channel!$A$2:$B$5,2,FALSE)</f>
        <v/>
      </c>
      <c r="X834" s="12">
        <f>VLOOKUP(H834,Dim_Promotion!$A$2:$G$11,2,FALSE)</f>
        <v/>
      </c>
    </row>
    <row r="835">
      <c r="A835" s="4" t="inlineStr">
        <is>
          <t>SL0834</t>
        </is>
      </c>
      <c r="B835" t="inlineStr">
        <is>
          <t>O010417</t>
        </is>
      </c>
      <c r="C835" t="n">
        <v>20250619</v>
      </c>
      <c r="D835" s="4" t="inlineStr">
        <is>
          <t>C056</t>
        </is>
      </c>
      <c r="E835" s="4" t="inlineStr">
        <is>
          <t>P052</t>
        </is>
      </c>
      <c r="F835" t="inlineStr">
        <is>
          <t>L</t>
        </is>
      </c>
      <c r="G835" s="4" t="inlineStr">
        <is>
          <t>CH02</t>
        </is>
      </c>
      <c r="H835" s="4" t="inlineStr">
        <is>
          <t>PR00</t>
        </is>
      </c>
      <c r="I835" s="8" t="n">
        <v>62</v>
      </c>
      <c r="J835" s="9" t="n">
        <v>0</v>
      </c>
      <c r="K835" s="10">
        <f>I835*(1-J835)</f>
        <v/>
      </c>
      <c r="L835" s="11" t="n">
        <v>2</v>
      </c>
      <c r="M835" s="10">
        <f>K835*L835</f>
        <v/>
      </c>
      <c r="N835" s="8" t="n">
        <v>31.43</v>
      </c>
      <c r="O835" s="10">
        <f>N835*L835</f>
        <v/>
      </c>
      <c r="P835" s="10">
        <f>M835-O835</f>
        <v/>
      </c>
      <c r="Q835" s="11" t="inlineStr">
        <is>
          <t>No</t>
        </is>
      </c>
      <c r="R835" s="11" t="n">
        <v>0</v>
      </c>
      <c r="S835" s="10">
        <f>M835-(R835*K835)</f>
        <v/>
      </c>
      <c r="T835" s="12">
        <f>VLOOKUP(E835,Dim_Product!$A$2:$Q$61,3,FALSE)</f>
        <v/>
      </c>
      <c r="U835" s="12">
        <f>VLOOKUP(E835,Dim_Product!$A$2:$Q$61,4,FALSE)</f>
        <v/>
      </c>
      <c r="V835" s="12">
        <f>VLOOKUP(D835,Dim_Customer!$A$2:$I$121,6,FALSE)</f>
        <v/>
      </c>
      <c r="W835" s="12">
        <f>VLOOKUP(G835,Dim_Channel!$A$2:$B$5,2,FALSE)</f>
        <v/>
      </c>
      <c r="X835" s="12">
        <f>VLOOKUP(H835,Dim_Promotion!$A$2:$G$11,2,FALSE)</f>
        <v/>
      </c>
    </row>
    <row r="836">
      <c r="A836" s="4" t="inlineStr">
        <is>
          <t>SL0835</t>
        </is>
      </c>
      <c r="B836" t="inlineStr">
        <is>
          <t>O010418</t>
        </is>
      </c>
      <c r="C836" t="n">
        <v>20251018</v>
      </c>
      <c r="D836" s="4" t="inlineStr">
        <is>
          <t>C021</t>
        </is>
      </c>
      <c r="E836" s="4" t="inlineStr">
        <is>
          <t>P024</t>
        </is>
      </c>
      <c r="F836" t="inlineStr">
        <is>
          <t>L</t>
        </is>
      </c>
      <c r="G836" s="4" t="inlineStr">
        <is>
          <t>CH04</t>
        </is>
      </c>
      <c r="H836" s="4" t="inlineStr">
        <is>
          <t>PR00</t>
        </is>
      </c>
      <c r="I836" s="8" t="n">
        <v>58</v>
      </c>
      <c r="J836" s="9" t="n">
        <v>0</v>
      </c>
      <c r="K836" s="10">
        <f>I836*(1-J836)</f>
        <v/>
      </c>
      <c r="L836" s="11" t="n">
        <v>1</v>
      </c>
      <c r="M836" s="10">
        <f>K836*L836</f>
        <v/>
      </c>
      <c r="N836" s="8" t="n">
        <v>27.39</v>
      </c>
      <c r="O836" s="10">
        <f>N836*L836</f>
        <v/>
      </c>
      <c r="P836" s="10">
        <f>M836-O836</f>
        <v/>
      </c>
      <c r="Q836" s="11" t="inlineStr">
        <is>
          <t>No</t>
        </is>
      </c>
      <c r="R836" s="11" t="n">
        <v>0</v>
      </c>
      <c r="S836" s="10">
        <f>M836-(R836*K836)</f>
        <v/>
      </c>
      <c r="T836" s="12">
        <f>VLOOKUP(E836,Dim_Product!$A$2:$Q$61,3,FALSE)</f>
        <v/>
      </c>
      <c r="U836" s="12">
        <f>VLOOKUP(E836,Dim_Product!$A$2:$Q$61,4,FALSE)</f>
        <v/>
      </c>
      <c r="V836" s="12">
        <f>VLOOKUP(D836,Dim_Customer!$A$2:$I$121,6,FALSE)</f>
        <v/>
      </c>
      <c r="W836" s="12">
        <f>VLOOKUP(G836,Dim_Channel!$A$2:$B$5,2,FALSE)</f>
        <v/>
      </c>
      <c r="X836" s="12">
        <f>VLOOKUP(H836,Dim_Promotion!$A$2:$G$11,2,FALSE)</f>
        <v/>
      </c>
    </row>
    <row r="837">
      <c r="A837" s="4" t="inlineStr">
        <is>
          <t>SL0836</t>
        </is>
      </c>
      <c r="B837" t="inlineStr">
        <is>
          <t>O010418</t>
        </is>
      </c>
      <c r="C837" t="n">
        <v>20251124</v>
      </c>
      <c r="D837" s="4" t="inlineStr">
        <is>
          <t>C105</t>
        </is>
      </c>
      <c r="E837" s="4" t="inlineStr">
        <is>
          <t>P057</t>
        </is>
      </c>
      <c r="F837" t="inlineStr">
        <is>
          <t>M</t>
        </is>
      </c>
      <c r="G837" s="4" t="inlineStr">
        <is>
          <t>CH01</t>
        </is>
      </c>
      <c r="H837" s="4" t="inlineStr">
        <is>
          <t>PR08</t>
        </is>
      </c>
      <c r="I837" s="8" t="n">
        <v>75</v>
      </c>
      <c r="J837" s="9" t="n">
        <v>0.25</v>
      </c>
      <c r="K837" s="10">
        <f>I837*(1-J837)</f>
        <v/>
      </c>
      <c r="L837" s="11" t="n">
        <v>1</v>
      </c>
      <c r="M837" s="10">
        <f>K837*L837</f>
        <v/>
      </c>
      <c r="N837" s="8" t="n">
        <v>34.77</v>
      </c>
      <c r="O837" s="10">
        <f>N837*L837</f>
        <v/>
      </c>
      <c r="P837" s="10">
        <f>M837-O837</f>
        <v/>
      </c>
      <c r="Q837" s="11" t="inlineStr">
        <is>
          <t>No</t>
        </is>
      </c>
      <c r="R837" s="11" t="n">
        <v>0</v>
      </c>
      <c r="S837" s="10">
        <f>M837-(R837*K837)</f>
        <v/>
      </c>
      <c r="T837" s="12">
        <f>VLOOKUP(E837,Dim_Product!$A$2:$Q$61,3,FALSE)</f>
        <v/>
      </c>
      <c r="U837" s="12">
        <f>VLOOKUP(E837,Dim_Product!$A$2:$Q$61,4,FALSE)</f>
        <v/>
      </c>
      <c r="V837" s="12">
        <f>VLOOKUP(D837,Dim_Customer!$A$2:$I$121,6,FALSE)</f>
        <v/>
      </c>
      <c r="W837" s="12">
        <f>VLOOKUP(G837,Dim_Channel!$A$2:$B$5,2,FALSE)</f>
        <v/>
      </c>
      <c r="X837" s="12">
        <f>VLOOKUP(H837,Dim_Promotion!$A$2:$G$11,2,FALSE)</f>
        <v/>
      </c>
    </row>
    <row r="838">
      <c r="A838" s="4" t="inlineStr">
        <is>
          <t>SL0837</t>
        </is>
      </c>
      <c r="B838" t="inlineStr">
        <is>
          <t>O010419</t>
        </is>
      </c>
      <c r="C838" t="n">
        <v>20250408</v>
      </c>
      <c r="D838" s="4" t="inlineStr">
        <is>
          <t>C075</t>
        </is>
      </c>
      <c r="E838" s="4" t="inlineStr">
        <is>
          <t>P040</t>
        </is>
      </c>
      <c r="F838" t="inlineStr">
        <is>
          <t>M</t>
        </is>
      </c>
      <c r="G838" s="4" t="inlineStr">
        <is>
          <t>CH03</t>
        </is>
      </c>
      <c r="H838" s="4" t="inlineStr">
        <is>
          <t>PR00</t>
        </is>
      </c>
      <c r="I838" s="8" t="n">
        <v>72</v>
      </c>
      <c r="J838" s="9" t="n">
        <v>0</v>
      </c>
      <c r="K838" s="10">
        <f>I838*(1-J838)</f>
        <v/>
      </c>
      <c r="L838" s="11" t="n">
        <v>3</v>
      </c>
      <c r="M838" s="10">
        <f>K838*L838</f>
        <v/>
      </c>
      <c r="N838" s="8" t="n">
        <v>35.14</v>
      </c>
      <c r="O838" s="10">
        <f>N838*L838</f>
        <v/>
      </c>
      <c r="P838" s="10">
        <f>M838-O838</f>
        <v/>
      </c>
      <c r="Q838" s="11" t="inlineStr">
        <is>
          <t>No</t>
        </is>
      </c>
      <c r="R838" s="11" t="n">
        <v>0</v>
      </c>
      <c r="S838" s="10">
        <f>M838-(R838*K838)</f>
        <v/>
      </c>
      <c r="T838" s="12">
        <f>VLOOKUP(E838,Dim_Product!$A$2:$Q$61,3,FALSE)</f>
        <v/>
      </c>
      <c r="U838" s="12">
        <f>VLOOKUP(E838,Dim_Product!$A$2:$Q$61,4,FALSE)</f>
        <v/>
      </c>
      <c r="V838" s="12">
        <f>VLOOKUP(D838,Dim_Customer!$A$2:$I$121,6,FALSE)</f>
        <v/>
      </c>
      <c r="W838" s="12">
        <f>VLOOKUP(G838,Dim_Channel!$A$2:$B$5,2,FALSE)</f>
        <v/>
      </c>
      <c r="X838" s="12">
        <f>VLOOKUP(H838,Dim_Promotion!$A$2:$G$11,2,FALSE)</f>
        <v/>
      </c>
    </row>
    <row r="839">
      <c r="A839" s="4" t="inlineStr">
        <is>
          <t>SL0838</t>
        </is>
      </c>
      <c r="B839" t="inlineStr">
        <is>
          <t>O010419</t>
        </is>
      </c>
      <c r="C839" t="n">
        <v>20250807</v>
      </c>
      <c r="D839" s="4" t="inlineStr">
        <is>
          <t>C099</t>
        </is>
      </c>
      <c r="E839" s="4" t="inlineStr">
        <is>
          <t>P008</t>
        </is>
      </c>
      <c r="F839" t="inlineStr">
        <is>
          <t>S</t>
        </is>
      </c>
      <c r="G839" s="4" t="inlineStr">
        <is>
          <t>CH02</t>
        </is>
      </c>
      <c r="H839" s="4" t="inlineStr">
        <is>
          <t>PR00</t>
        </is>
      </c>
      <c r="I839" s="8" t="n">
        <v>50</v>
      </c>
      <c r="J839" s="9" t="n">
        <v>0</v>
      </c>
      <c r="K839" s="10">
        <f>I839*(1-J839)</f>
        <v/>
      </c>
      <c r="L839" s="11" t="n">
        <v>2</v>
      </c>
      <c r="M839" s="10">
        <f>K839*L839</f>
        <v/>
      </c>
      <c r="N839" s="8" t="n">
        <v>23.29</v>
      </c>
      <c r="O839" s="10">
        <f>N839*L839</f>
        <v/>
      </c>
      <c r="P839" s="10">
        <f>M839-O839</f>
        <v/>
      </c>
      <c r="Q839" s="11" t="inlineStr">
        <is>
          <t>No</t>
        </is>
      </c>
      <c r="R839" s="11" t="n">
        <v>0</v>
      </c>
      <c r="S839" s="10">
        <f>M839-(R839*K839)</f>
        <v/>
      </c>
      <c r="T839" s="12">
        <f>VLOOKUP(E839,Dim_Product!$A$2:$Q$61,3,FALSE)</f>
        <v/>
      </c>
      <c r="U839" s="12">
        <f>VLOOKUP(E839,Dim_Product!$A$2:$Q$61,4,FALSE)</f>
        <v/>
      </c>
      <c r="V839" s="12">
        <f>VLOOKUP(D839,Dim_Customer!$A$2:$I$121,6,FALSE)</f>
        <v/>
      </c>
      <c r="W839" s="12">
        <f>VLOOKUP(G839,Dim_Channel!$A$2:$B$5,2,FALSE)</f>
        <v/>
      </c>
      <c r="X839" s="12">
        <f>VLOOKUP(H839,Dim_Promotion!$A$2:$G$11,2,FALSE)</f>
        <v/>
      </c>
    </row>
    <row r="840">
      <c r="A840" s="4" t="inlineStr">
        <is>
          <t>SL0839</t>
        </is>
      </c>
      <c r="B840" t="inlineStr">
        <is>
          <t>O010420</t>
        </is>
      </c>
      <c r="C840" t="n">
        <v>20250511</v>
      </c>
      <c r="D840" s="4" t="inlineStr">
        <is>
          <t>C119</t>
        </is>
      </c>
      <c r="E840" s="4" t="inlineStr">
        <is>
          <t>P013</t>
        </is>
      </c>
      <c r="F840" t="inlineStr">
        <is>
          <t>M</t>
        </is>
      </c>
      <c r="G840" s="4" t="inlineStr">
        <is>
          <t>CH03</t>
        </is>
      </c>
      <c r="H840" s="4" t="inlineStr">
        <is>
          <t>PR00</t>
        </is>
      </c>
      <c r="I840" s="8" t="n">
        <v>60</v>
      </c>
      <c r="J840" s="9" t="n">
        <v>0</v>
      </c>
      <c r="K840" s="10">
        <f>I840*(1-J840)</f>
        <v/>
      </c>
      <c r="L840" s="11" t="n">
        <v>2</v>
      </c>
      <c r="M840" s="10">
        <f>K840*L840</f>
        <v/>
      </c>
      <c r="N840" s="8" t="n">
        <v>25.52</v>
      </c>
      <c r="O840" s="10">
        <f>N840*L840</f>
        <v/>
      </c>
      <c r="P840" s="10">
        <f>M840-O840</f>
        <v/>
      </c>
      <c r="Q840" s="11" t="inlineStr">
        <is>
          <t>No</t>
        </is>
      </c>
      <c r="R840" s="11" t="n">
        <v>0</v>
      </c>
      <c r="S840" s="10">
        <f>M840-(R840*K840)</f>
        <v/>
      </c>
      <c r="T840" s="12">
        <f>VLOOKUP(E840,Dim_Product!$A$2:$Q$61,3,FALSE)</f>
        <v/>
      </c>
      <c r="U840" s="12">
        <f>VLOOKUP(E840,Dim_Product!$A$2:$Q$61,4,FALSE)</f>
        <v/>
      </c>
      <c r="V840" s="12">
        <f>VLOOKUP(D840,Dim_Customer!$A$2:$I$121,6,FALSE)</f>
        <v/>
      </c>
      <c r="W840" s="12">
        <f>VLOOKUP(G840,Dim_Channel!$A$2:$B$5,2,FALSE)</f>
        <v/>
      </c>
      <c r="X840" s="12">
        <f>VLOOKUP(H840,Dim_Promotion!$A$2:$G$11,2,FALSE)</f>
        <v/>
      </c>
    </row>
    <row r="841">
      <c r="A841" s="4" t="inlineStr">
        <is>
          <t>SL0840</t>
        </is>
      </c>
      <c r="B841" t="inlineStr">
        <is>
          <t>O010420</t>
        </is>
      </c>
      <c r="C841" t="n">
        <v>20251204</v>
      </c>
      <c r="D841" s="4" t="inlineStr">
        <is>
          <t>C107</t>
        </is>
      </c>
      <c r="E841" s="4" t="inlineStr">
        <is>
          <t>P057</t>
        </is>
      </c>
      <c r="F841" t="inlineStr">
        <is>
          <t>XL</t>
        </is>
      </c>
      <c r="G841" s="4" t="inlineStr">
        <is>
          <t>CH04</t>
        </is>
      </c>
      <c r="H841" s="4" t="inlineStr">
        <is>
          <t>PR00</t>
        </is>
      </c>
      <c r="I841" s="8" t="n">
        <v>75</v>
      </c>
      <c r="J841" s="9" t="n">
        <v>0.08</v>
      </c>
      <c r="K841" s="10">
        <f>I841*(1-J841)</f>
        <v/>
      </c>
      <c r="L841" s="11" t="n">
        <v>1</v>
      </c>
      <c r="M841" s="10">
        <f>K841*L841</f>
        <v/>
      </c>
      <c r="N841" s="8" t="n">
        <v>35.92</v>
      </c>
      <c r="O841" s="10">
        <f>N841*L841</f>
        <v/>
      </c>
      <c r="P841" s="10">
        <f>M841-O841</f>
        <v/>
      </c>
      <c r="Q841" s="11" t="inlineStr">
        <is>
          <t>No</t>
        </is>
      </c>
      <c r="R841" s="11" t="n">
        <v>0</v>
      </c>
      <c r="S841" s="10">
        <f>M841-(R841*K841)</f>
        <v/>
      </c>
      <c r="T841" s="12">
        <f>VLOOKUP(E841,Dim_Product!$A$2:$Q$61,3,FALSE)</f>
        <v/>
      </c>
      <c r="U841" s="12">
        <f>VLOOKUP(E841,Dim_Product!$A$2:$Q$61,4,FALSE)</f>
        <v/>
      </c>
      <c r="V841" s="12">
        <f>VLOOKUP(D841,Dim_Customer!$A$2:$I$121,6,FALSE)</f>
        <v/>
      </c>
      <c r="W841" s="12">
        <f>VLOOKUP(G841,Dim_Channel!$A$2:$B$5,2,FALSE)</f>
        <v/>
      </c>
      <c r="X841" s="12">
        <f>VLOOKUP(H841,Dim_Promotion!$A$2:$G$11,2,FALSE)</f>
        <v/>
      </c>
    </row>
    <row r="842">
      <c r="A842" s="4" t="inlineStr">
        <is>
          <t>SL0841</t>
        </is>
      </c>
      <c r="B842" t="inlineStr">
        <is>
          <t>O010421</t>
        </is>
      </c>
      <c r="C842" t="n">
        <v>20250306</v>
      </c>
      <c r="D842" s="4" t="inlineStr">
        <is>
          <t>C065</t>
        </is>
      </c>
      <c r="E842" s="4" t="inlineStr">
        <is>
          <t>P054</t>
        </is>
      </c>
      <c r="F842" t="inlineStr">
        <is>
          <t>XS</t>
        </is>
      </c>
      <c r="G842" s="4" t="inlineStr">
        <is>
          <t>CH03</t>
        </is>
      </c>
      <c r="H842" s="4" t="inlineStr">
        <is>
          <t>PR00</t>
        </is>
      </c>
      <c r="I842" s="8" t="n">
        <v>75</v>
      </c>
      <c r="J842" s="9" t="n">
        <v>0</v>
      </c>
      <c r="K842" s="10">
        <f>I842*(1-J842)</f>
        <v/>
      </c>
      <c r="L842" s="11" t="n">
        <v>2</v>
      </c>
      <c r="M842" s="10">
        <f>K842*L842</f>
        <v/>
      </c>
      <c r="N842" s="8" t="n">
        <v>31.05</v>
      </c>
      <c r="O842" s="10">
        <f>N842*L842</f>
        <v/>
      </c>
      <c r="P842" s="10">
        <f>M842-O842</f>
        <v/>
      </c>
      <c r="Q842" s="11" t="inlineStr">
        <is>
          <t>No</t>
        </is>
      </c>
      <c r="R842" s="11" t="n">
        <v>0</v>
      </c>
      <c r="S842" s="10">
        <f>M842-(R842*K842)</f>
        <v/>
      </c>
      <c r="T842" s="12">
        <f>VLOOKUP(E842,Dim_Product!$A$2:$Q$61,3,FALSE)</f>
        <v/>
      </c>
      <c r="U842" s="12">
        <f>VLOOKUP(E842,Dim_Product!$A$2:$Q$61,4,FALSE)</f>
        <v/>
      </c>
      <c r="V842" s="12">
        <f>VLOOKUP(D842,Dim_Customer!$A$2:$I$121,6,FALSE)</f>
        <v/>
      </c>
      <c r="W842" s="12">
        <f>VLOOKUP(G842,Dim_Channel!$A$2:$B$5,2,FALSE)</f>
        <v/>
      </c>
      <c r="X842" s="12">
        <f>VLOOKUP(H842,Dim_Promotion!$A$2:$G$11,2,FALSE)</f>
        <v/>
      </c>
    </row>
    <row r="843">
      <c r="A843" s="4" t="inlineStr">
        <is>
          <t>SL0842</t>
        </is>
      </c>
      <c r="B843" t="inlineStr">
        <is>
          <t>O010421</t>
        </is>
      </c>
      <c r="C843" t="n">
        <v>20250607</v>
      </c>
      <c r="D843" s="4" t="inlineStr">
        <is>
          <t>C012</t>
        </is>
      </c>
      <c r="E843" s="4" t="inlineStr">
        <is>
          <t>P047</t>
        </is>
      </c>
      <c r="F843" t="inlineStr">
        <is>
          <t>S</t>
        </is>
      </c>
      <c r="G843" s="4" t="inlineStr">
        <is>
          <t>CH01</t>
        </is>
      </c>
      <c r="H843" s="4" t="inlineStr">
        <is>
          <t>PR00</t>
        </is>
      </c>
      <c r="I843" s="8" t="n">
        <v>73</v>
      </c>
      <c r="J843" s="9" t="n">
        <v>0.08</v>
      </c>
      <c r="K843" s="10">
        <f>I843*(1-J843)</f>
        <v/>
      </c>
      <c r="L843" s="11" t="n">
        <v>3</v>
      </c>
      <c r="M843" s="10">
        <f>K843*L843</f>
        <v/>
      </c>
      <c r="N843" s="8" t="n">
        <v>30.57</v>
      </c>
      <c r="O843" s="10">
        <f>N843*L843</f>
        <v/>
      </c>
      <c r="P843" s="10">
        <f>M843-O843</f>
        <v/>
      </c>
      <c r="Q843" s="11" t="inlineStr">
        <is>
          <t>No</t>
        </is>
      </c>
      <c r="R843" s="11" t="n">
        <v>0</v>
      </c>
      <c r="S843" s="10">
        <f>M843-(R843*K843)</f>
        <v/>
      </c>
      <c r="T843" s="12">
        <f>VLOOKUP(E843,Dim_Product!$A$2:$Q$61,3,FALSE)</f>
        <v/>
      </c>
      <c r="U843" s="12">
        <f>VLOOKUP(E843,Dim_Product!$A$2:$Q$61,4,FALSE)</f>
        <v/>
      </c>
      <c r="V843" s="12">
        <f>VLOOKUP(D843,Dim_Customer!$A$2:$I$121,6,FALSE)</f>
        <v/>
      </c>
      <c r="W843" s="12">
        <f>VLOOKUP(G843,Dim_Channel!$A$2:$B$5,2,FALSE)</f>
        <v/>
      </c>
      <c r="X843" s="12">
        <f>VLOOKUP(H843,Dim_Promotion!$A$2:$G$11,2,FALSE)</f>
        <v/>
      </c>
    </row>
    <row r="844">
      <c r="A844" s="4" t="inlineStr">
        <is>
          <t>SL0843</t>
        </is>
      </c>
      <c r="B844" t="inlineStr">
        <is>
          <t>O010422</t>
        </is>
      </c>
      <c r="C844" t="n">
        <v>20250503</v>
      </c>
      <c r="D844" s="4" t="inlineStr">
        <is>
          <t>C056</t>
        </is>
      </c>
      <c r="E844" s="4" t="inlineStr">
        <is>
          <t>P013</t>
        </is>
      </c>
      <c r="F844" t="inlineStr">
        <is>
          <t>L</t>
        </is>
      </c>
      <c r="G844" s="4" t="inlineStr">
        <is>
          <t>CH03</t>
        </is>
      </c>
      <c r="H844" s="4" t="inlineStr">
        <is>
          <t>PR00</t>
        </is>
      </c>
      <c r="I844" s="8" t="n">
        <v>58</v>
      </c>
      <c r="J844" s="9" t="n">
        <v>0</v>
      </c>
      <c r="K844" s="10">
        <f>I844*(1-J844)</f>
        <v/>
      </c>
      <c r="L844" s="11" t="n">
        <v>3</v>
      </c>
      <c r="M844" s="10">
        <f>K844*L844</f>
        <v/>
      </c>
      <c r="N844" s="8" t="n">
        <v>25.91</v>
      </c>
      <c r="O844" s="10">
        <f>N844*L844</f>
        <v/>
      </c>
      <c r="P844" s="10">
        <f>M844-O844</f>
        <v/>
      </c>
      <c r="Q844" s="11" t="inlineStr">
        <is>
          <t>No</t>
        </is>
      </c>
      <c r="R844" s="11" t="n">
        <v>0</v>
      </c>
      <c r="S844" s="10">
        <f>M844-(R844*K844)</f>
        <v/>
      </c>
      <c r="T844" s="12">
        <f>VLOOKUP(E844,Dim_Product!$A$2:$Q$61,3,FALSE)</f>
        <v/>
      </c>
      <c r="U844" s="12">
        <f>VLOOKUP(E844,Dim_Product!$A$2:$Q$61,4,FALSE)</f>
        <v/>
      </c>
      <c r="V844" s="12">
        <f>VLOOKUP(D844,Dim_Customer!$A$2:$I$121,6,FALSE)</f>
        <v/>
      </c>
      <c r="W844" s="12">
        <f>VLOOKUP(G844,Dim_Channel!$A$2:$B$5,2,FALSE)</f>
        <v/>
      </c>
      <c r="X844" s="12">
        <f>VLOOKUP(H844,Dim_Promotion!$A$2:$G$11,2,FALSE)</f>
        <v/>
      </c>
    </row>
    <row r="845">
      <c r="A845" s="4" t="inlineStr">
        <is>
          <t>SL0844</t>
        </is>
      </c>
      <c r="B845" t="inlineStr">
        <is>
          <t>O010422</t>
        </is>
      </c>
      <c r="C845" t="n">
        <v>20250505</v>
      </c>
      <c r="D845" s="4" t="inlineStr">
        <is>
          <t>C109</t>
        </is>
      </c>
      <c r="E845" s="4" t="inlineStr">
        <is>
          <t>P014</t>
        </is>
      </c>
      <c r="F845" t="inlineStr">
        <is>
          <t>S</t>
        </is>
      </c>
      <c r="G845" s="4" t="inlineStr">
        <is>
          <t>CH01</t>
        </is>
      </c>
      <c r="H845" s="4" t="inlineStr">
        <is>
          <t>PR00</t>
        </is>
      </c>
      <c r="I845" s="8" t="n">
        <v>58</v>
      </c>
      <c r="J845" s="9" t="n">
        <v>0</v>
      </c>
      <c r="K845" s="10">
        <f>I845*(1-J845)</f>
        <v/>
      </c>
      <c r="L845" s="11" t="n">
        <v>1</v>
      </c>
      <c r="M845" s="10">
        <f>K845*L845</f>
        <v/>
      </c>
      <c r="N845" s="8" t="n">
        <v>26.8</v>
      </c>
      <c r="O845" s="10">
        <f>N845*L845</f>
        <v/>
      </c>
      <c r="P845" s="10">
        <f>M845-O845</f>
        <v/>
      </c>
      <c r="Q845" s="11" t="inlineStr">
        <is>
          <t>No</t>
        </is>
      </c>
      <c r="R845" s="11" t="n">
        <v>0</v>
      </c>
      <c r="S845" s="10">
        <f>M845-(R845*K845)</f>
        <v/>
      </c>
      <c r="T845" s="12">
        <f>VLOOKUP(E845,Dim_Product!$A$2:$Q$61,3,FALSE)</f>
        <v/>
      </c>
      <c r="U845" s="12">
        <f>VLOOKUP(E845,Dim_Product!$A$2:$Q$61,4,FALSE)</f>
        <v/>
      </c>
      <c r="V845" s="12">
        <f>VLOOKUP(D845,Dim_Customer!$A$2:$I$121,6,FALSE)</f>
        <v/>
      </c>
      <c r="W845" s="12">
        <f>VLOOKUP(G845,Dim_Channel!$A$2:$B$5,2,FALSE)</f>
        <v/>
      </c>
      <c r="X845" s="12">
        <f>VLOOKUP(H845,Dim_Promotion!$A$2:$G$11,2,FALSE)</f>
        <v/>
      </c>
    </row>
    <row r="846">
      <c r="A846" s="4" t="inlineStr">
        <is>
          <t>SL0845</t>
        </is>
      </c>
      <c r="B846" t="inlineStr">
        <is>
          <t>O010423</t>
        </is>
      </c>
      <c r="C846" t="n">
        <v>20250520</v>
      </c>
      <c r="D846" s="4" t="inlineStr">
        <is>
          <t>C054</t>
        </is>
      </c>
      <c r="E846" s="4" t="inlineStr">
        <is>
          <t>P048</t>
        </is>
      </c>
      <c r="F846" t="inlineStr">
        <is>
          <t>S</t>
        </is>
      </c>
      <c r="G846" s="4" t="inlineStr">
        <is>
          <t>CH01</t>
        </is>
      </c>
      <c r="H846" s="4" t="inlineStr">
        <is>
          <t>PR00</t>
        </is>
      </c>
      <c r="I846" s="8" t="n">
        <v>68</v>
      </c>
      <c r="J846" s="9" t="n">
        <v>0</v>
      </c>
      <c r="K846" s="10">
        <f>I846*(1-J846)</f>
        <v/>
      </c>
      <c r="L846" s="11" t="n">
        <v>1</v>
      </c>
      <c r="M846" s="10">
        <f>K846*L846</f>
        <v/>
      </c>
      <c r="N846" s="8" t="n">
        <v>34.17</v>
      </c>
      <c r="O846" s="10">
        <f>N846*L846</f>
        <v/>
      </c>
      <c r="P846" s="10">
        <f>M846-O846</f>
        <v/>
      </c>
      <c r="Q846" s="11" t="inlineStr">
        <is>
          <t>No</t>
        </is>
      </c>
      <c r="R846" s="11" t="n">
        <v>0</v>
      </c>
      <c r="S846" s="10">
        <f>M846-(R846*K846)</f>
        <v/>
      </c>
      <c r="T846" s="12">
        <f>VLOOKUP(E846,Dim_Product!$A$2:$Q$61,3,FALSE)</f>
        <v/>
      </c>
      <c r="U846" s="12">
        <f>VLOOKUP(E846,Dim_Product!$A$2:$Q$61,4,FALSE)</f>
        <v/>
      </c>
      <c r="V846" s="12">
        <f>VLOOKUP(D846,Dim_Customer!$A$2:$I$121,6,FALSE)</f>
        <v/>
      </c>
      <c r="W846" s="12">
        <f>VLOOKUP(G846,Dim_Channel!$A$2:$B$5,2,FALSE)</f>
        <v/>
      </c>
      <c r="X846" s="12">
        <f>VLOOKUP(H846,Dim_Promotion!$A$2:$G$11,2,FALSE)</f>
        <v/>
      </c>
    </row>
    <row r="847">
      <c r="A847" s="4" t="inlineStr">
        <is>
          <t>SL0846</t>
        </is>
      </c>
      <c r="B847" t="inlineStr">
        <is>
          <t>O010423</t>
        </is>
      </c>
      <c r="C847" t="n">
        <v>20250107</v>
      </c>
      <c r="D847" s="4" t="inlineStr">
        <is>
          <t>C040</t>
        </is>
      </c>
      <c r="E847" s="4" t="inlineStr">
        <is>
          <t>P023</t>
        </is>
      </c>
      <c r="F847" t="inlineStr">
        <is>
          <t>XL</t>
        </is>
      </c>
      <c r="G847" s="4" t="inlineStr">
        <is>
          <t>CH04</t>
        </is>
      </c>
      <c r="H847" s="4" t="inlineStr">
        <is>
          <t>PR00</t>
        </is>
      </c>
      <c r="I847" s="8" t="n">
        <v>57</v>
      </c>
      <c r="J847" s="9" t="n">
        <v>0.05</v>
      </c>
      <c r="K847" s="10">
        <f>I847*(1-J847)</f>
        <v/>
      </c>
      <c r="L847" s="11" t="n">
        <v>1</v>
      </c>
      <c r="M847" s="10">
        <f>K847*L847</f>
        <v/>
      </c>
      <c r="N847" s="8" t="n">
        <v>26.84</v>
      </c>
      <c r="O847" s="10">
        <f>N847*L847</f>
        <v/>
      </c>
      <c r="P847" s="10">
        <f>M847-O847</f>
        <v/>
      </c>
      <c r="Q847" s="11" t="inlineStr">
        <is>
          <t>No</t>
        </is>
      </c>
      <c r="R847" s="11" t="n">
        <v>0</v>
      </c>
      <c r="S847" s="10">
        <f>M847-(R847*K847)</f>
        <v/>
      </c>
      <c r="T847" s="12">
        <f>VLOOKUP(E847,Dim_Product!$A$2:$Q$61,3,FALSE)</f>
        <v/>
      </c>
      <c r="U847" s="12">
        <f>VLOOKUP(E847,Dim_Product!$A$2:$Q$61,4,FALSE)</f>
        <v/>
      </c>
      <c r="V847" s="12">
        <f>VLOOKUP(D847,Dim_Customer!$A$2:$I$121,6,FALSE)</f>
        <v/>
      </c>
      <c r="W847" s="12">
        <f>VLOOKUP(G847,Dim_Channel!$A$2:$B$5,2,FALSE)</f>
        <v/>
      </c>
      <c r="X847" s="12">
        <f>VLOOKUP(H847,Dim_Promotion!$A$2:$G$11,2,FALSE)</f>
        <v/>
      </c>
    </row>
    <row r="848">
      <c r="A848" s="4" t="inlineStr">
        <is>
          <t>SL0847</t>
        </is>
      </c>
      <c r="B848" t="inlineStr">
        <is>
          <t>O010424</t>
        </is>
      </c>
      <c r="C848" t="n">
        <v>20250113</v>
      </c>
      <c r="D848" s="4" t="inlineStr">
        <is>
          <t>C098</t>
        </is>
      </c>
      <c r="E848" s="4" t="inlineStr">
        <is>
          <t>P035</t>
        </is>
      </c>
      <c r="F848" t="inlineStr">
        <is>
          <t>M</t>
        </is>
      </c>
      <c r="G848" s="4" t="inlineStr">
        <is>
          <t>CH01</t>
        </is>
      </c>
      <c r="H848" s="4" t="inlineStr">
        <is>
          <t>PR00</t>
        </is>
      </c>
      <c r="I848" s="8" t="n">
        <v>86</v>
      </c>
      <c r="J848" s="9" t="n">
        <v>0.05</v>
      </c>
      <c r="K848" s="10">
        <f>I848*(1-J848)</f>
        <v/>
      </c>
      <c r="L848" s="11" t="n">
        <v>3</v>
      </c>
      <c r="M848" s="10">
        <f>K848*L848</f>
        <v/>
      </c>
      <c r="N848" s="8" t="n">
        <v>43.34</v>
      </c>
      <c r="O848" s="10">
        <f>N848*L848</f>
        <v/>
      </c>
      <c r="P848" s="10">
        <f>M848-O848</f>
        <v/>
      </c>
      <c r="Q848" s="11" t="inlineStr">
        <is>
          <t>No</t>
        </is>
      </c>
      <c r="R848" s="11" t="n">
        <v>0</v>
      </c>
      <c r="S848" s="10">
        <f>M848-(R848*K848)</f>
        <v/>
      </c>
      <c r="T848" s="12">
        <f>VLOOKUP(E848,Dim_Product!$A$2:$Q$61,3,FALSE)</f>
        <v/>
      </c>
      <c r="U848" s="12">
        <f>VLOOKUP(E848,Dim_Product!$A$2:$Q$61,4,FALSE)</f>
        <v/>
      </c>
      <c r="V848" s="12">
        <f>VLOOKUP(D848,Dim_Customer!$A$2:$I$121,6,FALSE)</f>
        <v/>
      </c>
      <c r="W848" s="12">
        <f>VLOOKUP(G848,Dim_Channel!$A$2:$B$5,2,FALSE)</f>
        <v/>
      </c>
      <c r="X848" s="12">
        <f>VLOOKUP(H848,Dim_Promotion!$A$2:$G$11,2,FALSE)</f>
        <v/>
      </c>
    </row>
    <row r="849">
      <c r="A849" s="4" t="inlineStr">
        <is>
          <t>SL0848</t>
        </is>
      </c>
      <c r="B849" t="inlineStr">
        <is>
          <t>O010424</t>
        </is>
      </c>
      <c r="C849" t="n">
        <v>20251215</v>
      </c>
      <c r="D849" s="4" t="inlineStr">
        <is>
          <t>C018</t>
        </is>
      </c>
      <c r="E849" s="4" t="inlineStr">
        <is>
          <t>P051</t>
        </is>
      </c>
      <c r="F849" t="inlineStr">
        <is>
          <t>S</t>
        </is>
      </c>
      <c r="G849" s="4" t="inlineStr">
        <is>
          <t>CH01</t>
        </is>
      </c>
      <c r="H849" s="4" t="inlineStr">
        <is>
          <t>PR09</t>
        </is>
      </c>
      <c r="I849" s="8" t="n">
        <v>70</v>
      </c>
      <c r="J849" s="9" t="n">
        <v>0.15</v>
      </c>
      <c r="K849" s="10">
        <f>I849*(1-J849)</f>
        <v/>
      </c>
      <c r="L849" s="11" t="n">
        <v>1</v>
      </c>
      <c r="M849" s="10">
        <f>K849*L849</f>
        <v/>
      </c>
      <c r="N849" s="8" t="n">
        <v>29.56</v>
      </c>
      <c r="O849" s="10">
        <f>N849*L849</f>
        <v/>
      </c>
      <c r="P849" s="10">
        <f>M849-O849</f>
        <v/>
      </c>
      <c r="Q849" s="11" t="inlineStr">
        <is>
          <t>No</t>
        </is>
      </c>
      <c r="R849" s="11" t="n">
        <v>0</v>
      </c>
      <c r="S849" s="10">
        <f>M849-(R849*K849)</f>
        <v/>
      </c>
      <c r="T849" s="12">
        <f>VLOOKUP(E849,Dim_Product!$A$2:$Q$61,3,FALSE)</f>
        <v/>
      </c>
      <c r="U849" s="12">
        <f>VLOOKUP(E849,Dim_Product!$A$2:$Q$61,4,FALSE)</f>
        <v/>
      </c>
      <c r="V849" s="12">
        <f>VLOOKUP(D849,Dim_Customer!$A$2:$I$121,6,FALSE)</f>
        <v/>
      </c>
      <c r="W849" s="12">
        <f>VLOOKUP(G849,Dim_Channel!$A$2:$B$5,2,FALSE)</f>
        <v/>
      </c>
      <c r="X849" s="12">
        <f>VLOOKUP(H849,Dim_Promotion!$A$2:$G$11,2,FALSE)</f>
        <v/>
      </c>
    </row>
    <row r="850">
      <c r="A850" s="4" t="inlineStr">
        <is>
          <t>SL0849</t>
        </is>
      </c>
      <c r="B850" t="inlineStr">
        <is>
          <t>O010425</t>
        </is>
      </c>
      <c r="C850" t="n">
        <v>20250823</v>
      </c>
      <c r="D850" s="4" t="inlineStr">
        <is>
          <t>C013</t>
        </is>
      </c>
      <c r="E850" s="4" t="inlineStr">
        <is>
          <t>P050</t>
        </is>
      </c>
      <c r="F850" t="inlineStr">
        <is>
          <t>M</t>
        </is>
      </c>
      <c r="G850" s="4" t="inlineStr">
        <is>
          <t>CH01</t>
        </is>
      </c>
      <c r="H850" s="4" t="inlineStr">
        <is>
          <t>PR00</t>
        </is>
      </c>
      <c r="I850" s="8" t="n">
        <v>64</v>
      </c>
      <c r="J850" s="9" t="n">
        <v>0</v>
      </c>
      <c r="K850" s="10">
        <f>I850*(1-J850)</f>
        <v/>
      </c>
      <c r="L850" s="11" t="n">
        <v>2</v>
      </c>
      <c r="M850" s="10">
        <f>K850*L850</f>
        <v/>
      </c>
      <c r="N850" s="8" t="n">
        <v>30.69</v>
      </c>
      <c r="O850" s="10">
        <f>N850*L850</f>
        <v/>
      </c>
      <c r="P850" s="10">
        <f>M850-O850</f>
        <v/>
      </c>
      <c r="Q850" s="11" t="inlineStr">
        <is>
          <t>No</t>
        </is>
      </c>
      <c r="R850" s="11" t="n">
        <v>0</v>
      </c>
      <c r="S850" s="10">
        <f>M850-(R850*K850)</f>
        <v/>
      </c>
      <c r="T850" s="12">
        <f>VLOOKUP(E850,Dim_Product!$A$2:$Q$61,3,FALSE)</f>
        <v/>
      </c>
      <c r="U850" s="12">
        <f>VLOOKUP(E850,Dim_Product!$A$2:$Q$61,4,FALSE)</f>
        <v/>
      </c>
      <c r="V850" s="12">
        <f>VLOOKUP(D850,Dim_Customer!$A$2:$I$121,6,FALSE)</f>
        <v/>
      </c>
      <c r="W850" s="12">
        <f>VLOOKUP(G850,Dim_Channel!$A$2:$B$5,2,FALSE)</f>
        <v/>
      </c>
      <c r="X850" s="12">
        <f>VLOOKUP(H850,Dim_Promotion!$A$2:$G$11,2,FALSE)</f>
        <v/>
      </c>
    </row>
    <row r="851">
      <c r="A851" s="4" t="inlineStr">
        <is>
          <t>SL0850</t>
        </is>
      </c>
      <c r="B851" t="inlineStr">
        <is>
          <t>O010425</t>
        </is>
      </c>
      <c r="C851" t="n">
        <v>20250808</v>
      </c>
      <c r="D851" s="4" t="inlineStr">
        <is>
          <t>C029</t>
        </is>
      </c>
      <c r="E851" s="4" t="inlineStr">
        <is>
          <t>P014</t>
        </is>
      </c>
      <c r="F851" t="inlineStr">
        <is>
          <t>M</t>
        </is>
      </c>
      <c r="G851" s="4" t="inlineStr">
        <is>
          <t>CH03</t>
        </is>
      </c>
      <c r="H851" s="4" t="inlineStr">
        <is>
          <t>PR00</t>
        </is>
      </c>
      <c r="I851" s="8" t="n">
        <v>62</v>
      </c>
      <c r="J851" s="9" t="n">
        <v>0</v>
      </c>
      <c r="K851" s="10">
        <f>I851*(1-J851)</f>
        <v/>
      </c>
      <c r="L851" s="11" t="n">
        <v>1</v>
      </c>
      <c r="M851" s="10">
        <f>K851*L851</f>
        <v/>
      </c>
      <c r="N851" s="8" t="n">
        <v>27.4</v>
      </c>
      <c r="O851" s="10">
        <f>N851*L851</f>
        <v/>
      </c>
      <c r="P851" s="10">
        <f>M851-O851</f>
        <v/>
      </c>
      <c r="Q851" s="11" t="inlineStr">
        <is>
          <t>No</t>
        </is>
      </c>
      <c r="R851" s="11" t="n">
        <v>0</v>
      </c>
      <c r="S851" s="10">
        <f>M851-(R851*K851)</f>
        <v/>
      </c>
      <c r="T851" s="12">
        <f>VLOOKUP(E851,Dim_Product!$A$2:$Q$61,3,FALSE)</f>
        <v/>
      </c>
      <c r="U851" s="12">
        <f>VLOOKUP(E851,Dim_Product!$A$2:$Q$61,4,FALSE)</f>
        <v/>
      </c>
      <c r="V851" s="12">
        <f>VLOOKUP(D851,Dim_Customer!$A$2:$I$121,6,FALSE)</f>
        <v/>
      </c>
      <c r="W851" s="12">
        <f>VLOOKUP(G851,Dim_Channel!$A$2:$B$5,2,FALSE)</f>
        <v/>
      </c>
      <c r="X851" s="12">
        <f>VLOOKUP(H851,Dim_Promotion!$A$2:$G$11,2,FALSE)</f>
        <v/>
      </c>
    </row>
    <row r="852">
      <c r="A852" s="4" t="inlineStr">
        <is>
          <t>SL0851</t>
        </is>
      </c>
      <c r="B852" t="inlineStr">
        <is>
          <t>O010426</t>
        </is>
      </c>
      <c r="C852" t="n">
        <v>20251005</v>
      </c>
      <c r="D852" s="4" t="inlineStr">
        <is>
          <t>C042</t>
        </is>
      </c>
      <c r="E852" s="4" t="inlineStr">
        <is>
          <t>P024</t>
        </is>
      </c>
      <c r="F852" t="inlineStr">
        <is>
          <t>L</t>
        </is>
      </c>
      <c r="G852" s="4" t="inlineStr">
        <is>
          <t>CH04</t>
        </is>
      </c>
      <c r="H852" s="4" t="inlineStr">
        <is>
          <t>PR00</t>
        </is>
      </c>
      <c r="I852" s="8" t="n">
        <v>61</v>
      </c>
      <c r="J852" s="9" t="n">
        <v>0</v>
      </c>
      <c r="K852" s="10">
        <f>I852*(1-J852)</f>
        <v/>
      </c>
      <c r="L852" s="11" t="n">
        <v>1</v>
      </c>
      <c r="M852" s="10">
        <f>K852*L852</f>
        <v/>
      </c>
      <c r="N852" s="8" t="n">
        <v>27.75</v>
      </c>
      <c r="O852" s="10">
        <f>N852*L852</f>
        <v/>
      </c>
      <c r="P852" s="10">
        <f>M852-O852</f>
        <v/>
      </c>
      <c r="Q852" s="11" t="inlineStr">
        <is>
          <t>No</t>
        </is>
      </c>
      <c r="R852" s="11" t="n">
        <v>0</v>
      </c>
      <c r="S852" s="10">
        <f>M852-(R852*K852)</f>
        <v/>
      </c>
      <c r="T852" s="12">
        <f>VLOOKUP(E852,Dim_Product!$A$2:$Q$61,3,FALSE)</f>
        <v/>
      </c>
      <c r="U852" s="12">
        <f>VLOOKUP(E852,Dim_Product!$A$2:$Q$61,4,FALSE)</f>
        <v/>
      </c>
      <c r="V852" s="12">
        <f>VLOOKUP(D852,Dim_Customer!$A$2:$I$121,6,FALSE)</f>
        <v/>
      </c>
      <c r="W852" s="12">
        <f>VLOOKUP(G852,Dim_Channel!$A$2:$B$5,2,FALSE)</f>
        <v/>
      </c>
      <c r="X852" s="12">
        <f>VLOOKUP(H852,Dim_Promotion!$A$2:$G$11,2,FALSE)</f>
        <v/>
      </c>
    </row>
    <row r="853">
      <c r="A853" s="4" t="inlineStr">
        <is>
          <t>SL0852</t>
        </is>
      </c>
      <c r="B853" t="inlineStr">
        <is>
          <t>O010426</t>
        </is>
      </c>
      <c r="C853" t="n">
        <v>20250121</v>
      </c>
      <c r="D853" s="4" t="inlineStr">
        <is>
          <t>C005</t>
        </is>
      </c>
      <c r="E853" s="4" t="inlineStr">
        <is>
          <t>P049</t>
        </is>
      </c>
      <c r="F853" t="inlineStr">
        <is>
          <t>M</t>
        </is>
      </c>
      <c r="G853" s="4" t="inlineStr">
        <is>
          <t>CH01</t>
        </is>
      </c>
      <c r="H853" s="4" t="inlineStr">
        <is>
          <t>PR00</t>
        </is>
      </c>
      <c r="I853" s="8" t="n">
        <v>70</v>
      </c>
      <c r="J853" s="9" t="n">
        <v>0</v>
      </c>
      <c r="K853" s="10">
        <f>I853*(1-J853)</f>
        <v/>
      </c>
      <c r="L853" s="11" t="n">
        <v>1</v>
      </c>
      <c r="M853" s="10">
        <f>K853*L853</f>
        <v/>
      </c>
      <c r="N853" s="8" t="n">
        <v>29.84</v>
      </c>
      <c r="O853" s="10">
        <f>N853*L853</f>
        <v/>
      </c>
      <c r="P853" s="10">
        <f>M853-O853</f>
        <v/>
      </c>
      <c r="Q853" s="11" t="inlineStr">
        <is>
          <t>No</t>
        </is>
      </c>
      <c r="R853" s="11" t="n">
        <v>0</v>
      </c>
      <c r="S853" s="10">
        <f>M853-(R853*K853)</f>
        <v/>
      </c>
      <c r="T853" s="12">
        <f>VLOOKUP(E853,Dim_Product!$A$2:$Q$61,3,FALSE)</f>
        <v/>
      </c>
      <c r="U853" s="12">
        <f>VLOOKUP(E853,Dim_Product!$A$2:$Q$61,4,FALSE)</f>
        <v/>
      </c>
      <c r="V853" s="12">
        <f>VLOOKUP(D853,Dim_Customer!$A$2:$I$121,6,FALSE)</f>
        <v/>
      </c>
      <c r="W853" s="12">
        <f>VLOOKUP(G853,Dim_Channel!$A$2:$B$5,2,FALSE)</f>
        <v/>
      </c>
      <c r="X853" s="12">
        <f>VLOOKUP(H853,Dim_Promotion!$A$2:$G$11,2,FALSE)</f>
        <v/>
      </c>
    </row>
    <row r="854">
      <c r="A854" s="4" t="inlineStr">
        <is>
          <t>SL0853</t>
        </is>
      </c>
      <c r="B854" t="inlineStr">
        <is>
          <t>O010427</t>
        </is>
      </c>
      <c r="C854" t="n">
        <v>20250607</v>
      </c>
      <c r="D854" s="4" t="inlineStr">
        <is>
          <t>C059</t>
        </is>
      </c>
      <c r="E854" s="4" t="inlineStr">
        <is>
          <t>P036</t>
        </is>
      </c>
      <c r="F854" t="inlineStr">
        <is>
          <t>S</t>
        </is>
      </c>
      <c r="G854" s="4" t="inlineStr">
        <is>
          <t>CH01</t>
        </is>
      </c>
      <c r="H854" s="4" t="inlineStr">
        <is>
          <t>PR00</t>
        </is>
      </c>
      <c r="I854" s="8" t="n">
        <v>88</v>
      </c>
      <c r="J854" s="9" t="n">
        <v>0</v>
      </c>
      <c r="K854" s="10">
        <f>I854*(1-J854)</f>
        <v/>
      </c>
      <c r="L854" s="11" t="n">
        <v>2</v>
      </c>
      <c r="M854" s="10">
        <f>K854*L854</f>
        <v/>
      </c>
      <c r="N854" s="8" t="n">
        <v>42.02</v>
      </c>
      <c r="O854" s="10">
        <f>N854*L854</f>
        <v/>
      </c>
      <c r="P854" s="10">
        <f>M854-O854</f>
        <v/>
      </c>
      <c r="Q854" s="11" t="inlineStr">
        <is>
          <t>No</t>
        </is>
      </c>
      <c r="R854" s="11" t="n">
        <v>0</v>
      </c>
      <c r="S854" s="10">
        <f>M854-(R854*K854)</f>
        <v/>
      </c>
      <c r="T854" s="12">
        <f>VLOOKUP(E854,Dim_Product!$A$2:$Q$61,3,FALSE)</f>
        <v/>
      </c>
      <c r="U854" s="12">
        <f>VLOOKUP(E854,Dim_Product!$A$2:$Q$61,4,FALSE)</f>
        <v/>
      </c>
      <c r="V854" s="12">
        <f>VLOOKUP(D854,Dim_Customer!$A$2:$I$121,6,FALSE)</f>
        <v/>
      </c>
      <c r="W854" s="12">
        <f>VLOOKUP(G854,Dim_Channel!$A$2:$B$5,2,FALSE)</f>
        <v/>
      </c>
      <c r="X854" s="12">
        <f>VLOOKUP(H854,Dim_Promotion!$A$2:$G$11,2,FALSE)</f>
        <v/>
      </c>
    </row>
    <row r="855">
      <c r="A855" s="4" t="inlineStr">
        <is>
          <t>SL0854</t>
        </is>
      </c>
      <c r="B855" t="inlineStr">
        <is>
          <t>O010427</t>
        </is>
      </c>
      <c r="C855" t="n">
        <v>20251015</v>
      </c>
      <c r="D855" s="4" t="inlineStr">
        <is>
          <t>C085</t>
        </is>
      </c>
      <c r="E855" s="4" t="inlineStr">
        <is>
          <t>P045</t>
        </is>
      </c>
      <c r="F855" t="inlineStr">
        <is>
          <t>L</t>
        </is>
      </c>
      <c r="G855" s="4" t="inlineStr">
        <is>
          <t>CH03</t>
        </is>
      </c>
      <c r="H855" s="4" t="inlineStr">
        <is>
          <t>PR00</t>
        </is>
      </c>
      <c r="I855" s="8" t="n">
        <v>68</v>
      </c>
      <c r="J855" s="9" t="n">
        <v>0</v>
      </c>
      <c r="K855" s="10">
        <f>I855*(1-J855)</f>
        <v/>
      </c>
      <c r="L855" s="11" t="n">
        <v>1</v>
      </c>
      <c r="M855" s="10">
        <f>K855*L855</f>
        <v/>
      </c>
      <c r="N855" s="8" t="n">
        <v>32.79</v>
      </c>
      <c r="O855" s="10">
        <f>N855*L855</f>
        <v/>
      </c>
      <c r="P855" s="10">
        <f>M855-O855</f>
        <v/>
      </c>
      <c r="Q855" s="11" t="inlineStr">
        <is>
          <t>No</t>
        </is>
      </c>
      <c r="R855" s="11" t="n">
        <v>0</v>
      </c>
      <c r="S855" s="10">
        <f>M855-(R855*K855)</f>
        <v/>
      </c>
      <c r="T855" s="12">
        <f>VLOOKUP(E855,Dim_Product!$A$2:$Q$61,3,FALSE)</f>
        <v/>
      </c>
      <c r="U855" s="12">
        <f>VLOOKUP(E855,Dim_Product!$A$2:$Q$61,4,FALSE)</f>
        <v/>
      </c>
      <c r="V855" s="12">
        <f>VLOOKUP(D855,Dim_Customer!$A$2:$I$121,6,FALSE)</f>
        <v/>
      </c>
      <c r="W855" s="12">
        <f>VLOOKUP(G855,Dim_Channel!$A$2:$B$5,2,FALSE)</f>
        <v/>
      </c>
      <c r="X855" s="12">
        <f>VLOOKUP(H855,Dim_Promotion!$A$2:$G$11,2,FALSE)</f>
        <v/>
      </c>
    </row>
    <row r="856">
      <c r="A856" s="4" t="inlineStr">
        <is>
          <t>SL0855</t>
        </is>
      </c>
      <c r="B856" t="inlineStr">
        <is>
          <t>O010428</t>
        </is>
      </c>
      <c r="C856" t="n">
        <v>20250218</v>
      </c>
      <c r="D856" s="4" t="inlineStr">
        <is>
          <t>C092</t>
        </is>
      </c>
      <c r="E856" s="4" t="inlineStr">
        <is>
          <t>P017</t>
        </is>
      </c>
      <c r="F856" t="inlineStr">
        <is>
          <t>XL</t>
        </is>
      </c>
      <c r="G856" s="4" t="inlineStr">
        <is>
          <t>CH01</t>
        </is>
      </c>
      <c r="H856" s="4" t="inlineStr">
        <is>
          <t>PR00</t>
        </is>
      </c>
      <c r="I856" s="8" t="n">
        <v>69</v>
      </c>
      <c r="J856" s="9" t="n">
        <v>0</v>
      </c>
      <c r="K856" s="10">
        <f>I856*(1-J856)</f>
        <v/>
      </c>
      <c r="L856" s="11" t="n">
        <v>2</v>
      </c>
      <c r="M856" s="10">
        <f>K856*L856</f>
        <v/>
      </c>
      <c r="N856" s="8" t="n">
        <v>33.06</v>
      </c>
      <c r="O856" s="10">
        <f>N856*L856</f>
        <v/>
      </c>
      <c r="P856" s="10">
        <f>M856-O856</f>
        <v/>
      </c>
      <c r="Q856" s="11" t="inlineStr">
        <is>
          <t>No</t>
        </is>
      </c>
      <c r="R856" s="11" t="n">
        <v>0</v>
      </c>
      <c r="S856" s="10">
        <f>M856-(R856*K856)</f>
        <v/>
      </c>
      <c r="T856" s="12">
        <f>VLOOKUP(E856,Dim_Product!$A$2:$Q$61,3,FALSE)</f>
        <v/>
      </c>
      <c r="U856" s="12">
        <f>VLOOKUP(E856,Dim_Product!$A$2:$Q$61,4,FALSE)</f>
        <v/>
      </c>
      <c r="V856" s="12">
        <f>VLOOKUP(D856,Dim_Customer!$A$2:$I$121,6,FALSE)</f>
        <v/>
      </c>
      <c r="W856" s="12">
        <f>VLOOKUP(G856,Dim_Channel!$A$2:$B$5,2,FALSE)</f>
        <v/>
      </c>
      <c r="X856" s="12">
        <f>VLOOKUP(H856,Dim_Promotion!$A$2:$G$11,2,FALSE)</f>
        <v/>
      </c>
    </row>
    <row r="857">
      <c r="A857" s="4" t="inlineStr">
        <is>
          <t>SL0856</t>
        </is>
      </c>
      <c r="B857" t="inlineStr">
        <is>
          <t>O010428</t>
        </is>
      </c>
      <c r="C857" t="n">
        <v>20250322</v>
      </c>
      <c r="D857" s="4" t="inlineStr">
        <is>
          <t>C029</t>
        </is>
      </c>
      <c r="E857" s="4" t="inlineStr">
        <is>
          <t>P046</t>
        </is>
      </c>
      <c r="F857" t="inlineStr">
        <is>
          <t>M</t>
        </is>
      </c>
      <c r="G857" s="4" t="inlineStr">
        <is>
          <t>CH01</t>
        </is>
      </c>
      <c r="H857" s="4" t="inlineStr">
        <is>
          <t>PR00</t>
        </is>
      </c>
      <c r="I857" s="8" t="n">
        <v>68</v>
      </c>
      <c r="J857" s="9" t="n">
        <v>0</v>
      </c>
      <c r="K857" s="10">
        <f>I857*(1-J857)</f>
        <v/>
      </c>
      <c r="L857" s="11" t="n">
        <v>1</v>
      </c>
      <c r="M857" s="10">
        <f>K857*L857</f>
        <v/>
      </c>
      <c r="N857" s="8" t="n">
        <v>33.92</v>
      </c>
      <c r="O857" s="10">
        <f>N857*L857</f>
        <v/>
      </c>
      <c r="P857" s="10">
        <f>M857-O857</f>
        <v/>
      </c>
      <c r="Q857" s="11" t="inlineStr">
        <is>
          <t>No</t>
        </is>
      </c>
      <c r="R857" s="11" t="n">
        <v>0</v>
      </c>
      <c r="S857" s="10">
        <f>M857-(R857*K857)</f>
        <v/>
      </c>
      <c r="T857" s="12">
        <f>VLOOKUP(E857,Dim_Product!$A$2:$Q$61,3,FALSE)</f>
        <v/>
      </c>
      <c r="U857" s="12">
        <f>VLOOKUP(E857,Dim_Product!$A$2:$Q$61,4,FALSE)</f>
        <v/>
      </c>
      <c r="V857" s="12">
        <f>VLOOKUP(D857,Dim_Customer!$A$2:$I$121,6,FALSE)</f>
        <v/>
      </c>
      <c r="W857" s="12">
        <f>VLOOKUP(G857,Dim_Channel!$A$2:$B$5,2,FALSE)</f>
        <v/>
      </c>
      <c r="X857" s="12">
        <f>VLOOKUP(H857,Dim_Promotion!$A$2:$G$11,2,FALSE)</f>
        <v/>
      </c>
    </row>
    <row r="858">
      <c r="A858" s="4" t="inlineStr">
        <is>
          <t>SL0857</t>
        </is>
      </c>
      <c r="B858" t="inlineStr">
        <is>
          <t>O010429</t>
        </is>
      </c>
      <c r="C858" t="n">
        <v>20250417</v>
      </c>
      <c r="D858" s="4" t="inlineStr">
        <is>
          <t>C022</t>
        </is>
      </c>
      <c r="E858" s="4" t="inlineStr">
        <is>
          <t>P021</t>
        </is>
      </c>
      <c r="F858" t="inlineStr">
        <is>
          <t>M</t>
        </is>
      </c>
      <c r="G858" s="4" t="inlineStr">
        <is>
          <t>CH03</t>
        </is>
      </c>
      <c r="H858" s="4" t="inlineStr">
        <is>
          <t>PR00</t>
        </is>
      </c>
      <c r="I858" s="8" t="n">
        <v>54</v>
      </c>
      <c r="J858" s="9" t="n">
        <v>0</v>
      </c>
      <c r="K858" s="10">
        <f>I858*(1-J858)</f>
        <v/>
      </c>
      <c r="L858" s="11" t="n">
        <v>1</v>
      </c>
      <c r="M858" s="10">
        <f>K858*L858</f>
        <v/>
      </c>
      <c r="N858" s="8" t="n">
        <v>29.04</v>
      </c>
      <c r="O858" s="10">
        <f>N858*L858</f>
        <v/>
      </c>
      <c r="P858" s="10">
        <f>M858-O858</f>
        <v/>
      </c>
      <c r="Q858" s="11" t="inlineStr">
        <is>
          <t>No</t>
        </is>
      </c>
      <c r="R858" s="11" t="n">
        <v>0</v>
      </c>
      <c r="S858" s="10">
        <f>M858-(R858*K858)</f>
        <v/>
      </c>
      <c r="T858" s="12">
        <f>VLOOKUP(E858,Dim_Product!$A$2:$Q$61,3,FALSE)</f>
        <v/>
      </c>
      <c r="U858" s="12">
        <f>VLOOKUP(E858,Dim_Product!$A$2:$Q$61,4,FALSE)</f>
        <v/>
      </c>
      <c r="V858" s="12">
        <f>VLOOKUP(D858,Dim_Customer!$A$2:$I$121,6,FALSE)</f>
        <v/>
      </c>
      <c r="W858" s="12">
        <f>VLOOKUP(G858,Dim_Channel!$A$2:$B$5,2,FALSE)</f>
        <v/>
      </c>
      <c r="X858" s="12">
        <f>VLOOKUP(H858,Dim_Promotion!$A$2:$G$11,2,FALSE)</f>
        <v/>
      </c>
    </row>
    <row r="859">
      <c r="A859" s="4" t="inlineStr">
        <is>
          <t>SL0858</t>
        </is>
      </c>
      <c r="B859" t="inlineStr">
        <is>
          <t>O010429</t>
        </is>
      </c>
      <c r="C859" t="n">
        <v>20250402</v>
      </c>
      <c r="D859" s="4" t="inlineStr">
        <is>
          <t>C052</t>
        </is>
      </c>
      <c r="E859" s="4" t="inlineStr">
        <is>
          <t>P027</t>
        </is>
      </c>
      <c r="F859" t="inlineStr">
        <is>
          <t>XL</t>
        </is>
      </c>
      <c r="G859" s="4" t="inlineStr">
        <is>
          <t>CH01</t>
        </is>
      </c>
      <c r="H859" s="4" t="inlineStr">
        <is>
          <t>PR00</t>
        </is>
      </c>
      <c r="I859" s="8" t="n">
        <v>93</v>
      </c>
      <c r="J859" s="9" t="n">
        <v>0</v>
      </c>
      <c r="K859" s="10">
        <f>I859*(1-J859)</f>
        <v/>
      </c>
      <c r="L859" s="11" t="n">
        <v>1</v>
      </c>
      <c r="M859" s="10">
        <f>K859*L859</f>
        <v/>
      </c>
      <c r="N859" s="8" t="n">
        <v>46.08</v>
      </c>
      <c r="O859" s="10">
        <f>N859*L859</f>
        <v/>
      </c>
      <c r="P859" s="10">
        <f>M859-O859</f>
        <v/>
      </c>
      <c r="Q859" s="11" t="inlineStr">
        <is>
          <t>No</t>
        </is>
      </c>
      <c r="R859" s="11" t="n">
        <v>0</v>
      </c>
      <c r="S859" s="10">
        <f>M859-(R859*K859)</f>
        <v/>
      </c>
      <c r="T859" s="12">
        <f>VLOOKUP(E859,Dim_Product!$A$2:$Q$61,3,FALSE)</f>
        <v/>
      </c>
      <c r="U859" s="12">
        <f>VLOOKUP(E859,Dim_Product!$A$2:$Q$61,4,FALSE)</f>
        <v/>
      </c>
      <c r="V859" s="12">
        <f>VLOOKUP(D859,Dim_Customer!$A$2:$I$121,6,FALSE)</f>
        <v/>
      </c>
      <c r="W859" s="12">
        <f>VLOOKUP(G859,Dim_Channel!$A$2:$B$5,2,FALSE)</f>
        <v/>
      </c>
      <c r="X859" s="12">
        <f>VLOOKUP(H859,Dim_Promotion!$A$2:$G$11,2,FALSE)</f>
        <v/>
      </c>
    </row>
    <row r="860">
      <c r="A860" s="4" t="inlineStr">
        <is>
          <t>SL0859</t>
        </is>
      </c>
      <c r="B860" t="inlineStr">
        <is>
          <t>O010430</t>
        </is>
      </c>
      <c r="C860" t="n">
        <v>20250225</v>
      </c>
      <c r="D860" s="4" t="inlineStr">
        <is>
          <t>C053</t>
        </is>
      </c>
      <c r="E860" s="4" t="inlineStr">
        <is>
          <t>P008</t>
        </is>
      </c>
      <c r="F860" t="inlineStr">
        <is>
          <t>S</t>
        </is>
      </c>
      <c r="G860" s="4" t="inlineStr">
        <is>
          <t>CH04</t>
        </is>
      </c>
      <c r="H860" s="4" t="inlineStr">
        <is>
          <t>PR00</t>
        </is>
      </c>
      <c r="I860" s="8" t="n">
        <v>53</v>
      </c>
      <c r="J860" s="9" t="n">
        <v>0</v>
      </c>
      <c r="K860" s="10">
        <f>I860*(1-J860)</f>
        <v/>
      </c>
      <c r="L860" s="11" t="n">
        <v>2</v>
      </c>
      <c r="M860" s="10">
        <f>K860*L860</f>
        <v/>
      </c>
      <c r="N860" s="8" t="n">
        <v>23.43</v>
      </c>
      <c r="O860" s="10">
        <f>N860*L860</f>
        <v/>
      </c>
      <c r="P860" s="10">
        <f>M860-O860</f>
        <v/>
      </c>
      <c r="Q860" s="11" t="inlineStr">
        <is>
          <t>No</t>
        </is>
      </c>
      <c r="R860" s="11" t="n">
        <v>0</v>
      </c>
      <c r="S860" s="10">
        <f>M860-(R860*K860)</f>
        <v/>
      </c>
      <c r="T860" s="12">
        <f>VLOOKUP(E860,Dim_Product!$A$2:$Q$61,3,FALSE)</f>
        <v/>
      </c>
      <c r="U860" s="12">
        <f>VLOOKUP(E860,Dim_Product!$A$2:$Q$61,4,FALSE)</f>
        <v/>
      </c>
      <c r="V860" s="12">
        <f>VLOOKUP(D860,Dim_Customer!$A$2:$I$121,6,FALSE)</f>
        <v/>
      </c>
      <c r="W860" s="12">
        <f>VLOOKUP(G860,Dim_Channel!$A$2:$B$5,2,FALSE)</f>
        <v/>
      </c>
      <c r="X860" s="12">
        <f>VLOOKUP(H860,Dim_Promotion!$A$2:$G$11,2,FALSE)</f>
        <v/>
      </c>
    </row>
    <row r="861">
      <c r="A861" s="4" t="inlineStr">
        <is>
          <t>SL0860</t>
        </is>
      </c>
      <c r="B861" t="inlineStr">
        <is>
          <t>O010430</t>
        </is>
      </c>
      <c r="C861" t="n">
        <v>20250327</v>
      </c>
      <c r="D861" s="4" t="inlineStr">
        <is>
          <t>C045</t>
        </is>
      </c>
      <c r="E861" s="4" t="inlineStr">
        <is>
          <t>P007</t>
        </is>
      </c>
      <c r="F861" t="inlineStr">
        <is>
          <t>XL</t>
        </is>
      </c>
      <c r="G861" s="4" t="inlineStr">
        <is>
          <t>CH01</t>
        </is>
      </c>
      <c r="H861" s="4" t="inlineStr">
        <is>
          <t>PR00</t>
        </is>
      </c>
      <c r="I861" s="8" t="n">
        <v>50</v>
      </c>
      <c r="J861" s="9" t="n">
        <v>0</v>
      </c>
      <c r="K861" s="10">
        <f>I861*(1-J861)</f>
        <v/>
      </c>
      <c r="L861" s="11" t="n">
        <v>1</v>
      </c>
      <c r="M861" s="10">
        <f>K861*L861</f>
        <v/>
      </c>
      <c r="N861" s="8" t="n">
        <v>21.71</v>
      </c>
      <c r="O861" s="10">
        <f>N861*L861</f>
        <v/>
      </c>
      <c r="P861" s="10">
        <f>M861-O861</f>
        <v/>
      </c>
      <c r="Q861" s="11" t="inlineStr">
        <is>
          <t>No</t>
        </is>
      </c>
      <c r="R861" s="11" t="n">
        <v>0</v>
      </c>
      <c r="S861" s="10">
        <f>M861-(R861*K861)</f>
        <v/>
      </c>
      <c r="T861" s="12">
        <f>VLOOKUP(E861,Dim_Product!$A$2:$Q$61,3,FALSE)</f>
        <v/>
      </c>
      <c r="U861" s="12">
        <f>VLOOKUP(E861,Dim_Product!$A$2:$Q$61,4,FALSE)</f>
        <v/>
      </c>
      <c r="V861" s="12">
        <f>VLOOKUP(D861,Dim_Customer!$A$2:$I$121,6,FALSE)</f>
        <v/>
      </c>
      <c r="W861" s="12">
        <f>VLOOKUP(G861,Dim_Channel!$A$2:$B$5,2,FALSE)</f>
        <v/>
      </c>
      <c r="X861" s="12">
        <f>VLOOKUP(H861,Dim_Promotion!$A$2:$G$11,2,FALSE)</f>
        <v/>
      </c>
    </row>
    <row r="862">
      <c r="A862" s="4" t="inlineStr">
        <is>
          <t>SL0861</t>
        </is>
      </c>
      <c r="B862" t="inlineStr">
        <is>
          <t>O010431</t>
        </is>
      </c>
      <c r="C862" t="n">
        <v>20250221</v>
      </c>
      <c r="D862" s="4" t="inlineStr">
        <is>
          <t>C077</t>
        </is>
      </c>
      <c r="E862" s="4" t="inlineStr">
        <is>
          <t>P027</t>
        </is>
      </c>
      <c r="F862" t="inlineStr">
        <is>
          <t>M</t>
        </is>
      </c>
      <c r="G862" s="4" t="inlineStr">
        <is>
          <t>CH01</t>
        </is>
      </c>
      <c r="H862" s="4" t="inlineStr">
        <is>
          <t>PR00</t>
        </is>
      </c>
      <c r="I862" s="8" t="n">
        <v>91</v>
      </c>
      <c r="J862" s="9" t="n">
        <v>0</v>
      </c>
      <c r="K862" s="10">
        <f>I862*(1-J862)</f>
        <v/>
      </c>
      <c r="L862" s="11" t="n">
        <v>2</v>
      </c>
      <c r="M862" s="10">
        <f>K862*L862</f>
        <v/>
      </c>
      <c r="N862" s="8" t="n">
        <v>46.14</v>
      </c>
      <c r="O862" s="10">
        <f>N862*L862</f>
        <v/>
      </c>
      <c r="P862" s="10">
        <f>M862-O862</f>
        <v/>
      </c>
      <c r="Q862" s="11" t="inlineStr">
        <is>
          <t>No</t>
        </is>
      </c>
      <c r="R862" s="11" t="n">
        <v>0</v>
      </c>
      <c r="S862" s="10">
        <f>M862-(R862*K862)</f>
        <v/>
      </c>
      <c r="T862" s="12">
        <f>VLOOKUP(E862,Dim_Product!$A$2:$Q$61,3,FALSE)</f>
        <v/>
      </c>
      <c r="U862" s="12">
        <f>VLOOKUP(E862,Dim_Product!$A$2:$Q$61,4,FALSE)</f>
        <v/>
      </c>
      <c r="V862" s="12">
        <f>VLOOKUP(D862,Dim_Customer!$A$2:$I$121,6,FALSE)</f>
        <v/>
      </c>
      <c r="W862" s="12">
        <f>VLOOKUP(G862,Dim_Channel!$A$2:$B$5,2,FALSE)</f>
        <v/>
      </c>
      <c r="X862" s="12">
        <f>VLOOKUP(H862,Dim_Promotion!$A$2:$G$11,2,FALSE)</f>
        <v/>
      </c>
    </row>
    <row r="863">
      <c r="A863" s="4" t="inlineStr">
        <is>
          <t>SL0862</t>
        </is>
      </c>
      <c r="B863" t="inlineStr">
        <is>
          <t>O010431</t>
        </is>
      </c>
      <c r="C863" t="n">
        <v>20251102</v>
      </c>
      <c r="D863" s="4" t="inlineStr">
        <is>
          <t>C049</t>
        </is>
      </c>
      <c r="E863" s="4" t="inlineStr">
        <is>
          <t>P049</t>
        </is>
      </c>
      <c r="F863" t="inlineStr">
        <is>
          <t>L</t>
        </is>
      </c>
      <c r="G863" s="4" t="inlineStr">
        <is>
          <t>CH01</t>
        </is>
      </c>
      <c r="H863" s="4" t="inlineStr">
        <is>
          <t>PR00</t>
        </is>
      </c>
      <c r="I863" s="8" t="n">
        <v>71</v>
      </c>
      <c r="J863" s="9" t="n">
        <v>0</v>
      </c>
      <c r="K863" s="10">
        <f>I863*(1-J863)</f>
        <v/>
      </c>
      <c r="L863" s="11" t="n">
        <v>2</v>
      </c>
      <c r="M863" s="10">
        <f>K863*L863</f>
        <v/>
      </c>
      <c r="N863" s="8" t="n">
        <v>28.81</v>
      </c>
      <c r="O863" s="10">
        <f>N863*L863</f>
        <v/>
      </c>
      <c r="P863" s="10">
        <f>M863-O863</f>
        <v/>
      </c>
      <c r="Q863" s="11" t="inlineStr">
        <is>
          <t>No</t>
        </is>
      </c>
      <c r="R863" s="11" t="n">
        <v>0</v>
      </c>
      <c r="S863" s="10">
        <f>M863-(R863*K863)</f>
        <v/>
      </c>
      <c r="T863" s="12">
        <f>VLOOKUP(E863,Dim_Product!$A$2:$Q$61,3,FALSE)</f>
        <v/>
      </c>
      <c r="U863" s="12">
        <f>VLOOKUP(E863,Dim_Product!$A$2:$Q$61,4,FALSE)</f>
        <v/>
      </c>
      <c r="V863" s="12">
        <f>VLOOKUP(D863,Dim_Customer!$A$2:$I$121,6,FALSE)</f>
        <v/>
      </c>
      <c r="W863" s="12">
        <f>VLOOKUP(G863,Dim_Channel!$A$2:$B$5,2,FALSE)</f>
        <v/>
      </c>
      <c r="X863" s="12">
        <f>VLOOKUP(H863,Dim_Promotion!$A$2:$G$11,2,FALSE)</f>
        <v/>
      </c>
    </row>
    <row r="864">
      <c r="A864" s="4" t="inlineStr">
        <is>
          <t>SL0863</t>
        </is>
      </c>
      <c r="B864" t="inlineStr">
        <is>
          <t>O010432</t>
        </is>
      </c>
      <c r="C864" t="n">
        <v>20251220</v>
      </c>
      <c r="D864" s="4" t="inlineStr">
        <is>
          <t>C077</t>
        </is>
      </c>
      <c r="E864" s="4" t="inlineStr">
        <is>
          <t>P051</t>
        </is>
      </c>
      <c r="F864" t="inlineStr">
        <is>
          <t>XL</t>
        </is>
      </c>
      <c r="G864" s="4" t="inlineStr">
        <is>
          <t>CH02</t>
        </is>
      </c>
      <c r="H864" s="4" t="inlineStr">
        <is>
          <t>PR09</t>
        </is>
      </c>
      <c r="I864" s="8" t="n">
        <v>71</v>
      </c>
      <c r="J864" s="9" t="n">
        <v>0.15</v>
      </c>
      <c r="K864" s="10">
        <f>I864*(1-J864)</f>
        <v/>
      </c>
      <c r="L864" s="11" t="n">
        <v>1</v>
      </c>
      <c r="M864" s="10">
        <f>K864*L864</f>
        <v/>
      </c>
      <c r="N864" s="8" t="n">
        <v>29.53</v>
      </c>
      <c r="O864" s="10">
        <f>N864*L864</f>
        <v/>
      </c>
      <c r="P864" s="10">
        <f>M864-O864</f>
        <v/>
      </c>
      <c r="Q864" s="11" t="inlineStr">
        <is>
          <t>No</t>
        </is>
      </c>
      <c r="R864" s="11" t="n">
        <v>0</v>
      </c>
      <c r="S864" s="10">
        <f>M864-(R864*K864)</f>
        <v/>
      </c>
      <c r="T864" s="12">
        <f>VLOOKUP(E864,Dim_Product!$A$2:$Q$61,3,FALSE)</f>
        <v/>
      </c>
      <c r="U864" s="12">
        <f>VLOOKUP(E864,Dim_Product!$A$2:$Q$61,4,FALSE)</f>
        <v/>
      </c>
      <c r="V864" s="12">
        <f>VLOOKUP(D864,Dim_Customer!$A$2:$I$121,6,FALSE)</f>
        <v/>
      </c>
      <c r="W864" s="12">
        <f>VLOOKUP(G864,Dim_Channel!$A$2:$B$5,2,FALSE)</f>
        <v/>
      </c>
      <c r="X864" s="12">
        <f>VLOOKUP(H864,Dim_Promotion!$A$2:$G$11,2,FALSE)</f>
        <v/>
      </c>
    </row>
    <row r="865">
      <c r="A865" s="4" t="inlineStr">
        <is>
          <t>SL0864</t>
        </is>
      </c>
      <c r="B865" t="inlineStr">
        <is>
          <t>O010432</t>
        </is>
      </c>
      <c r="C865" t="n">
        <v>20250524</v>
      </c>
      <c r="D865" s="4" t="inlineStr">
        <is>
          <t>C094</t>
        </is>
      </c>
      <c r="E865" s="4" t="inlineStr">
        <is>
          <t>P015</t>
        </is>
      </c>
      <c r="F865" t="inlineStr">
        <is>
          <t>L</t>
        </is>
      </c>
      <c r="G865" s="4" t="inlineStr">
        <is>
          <t>CH01</t>
        </is>
      </c>
      <c r="H865" s="4" t="inlineStr">
        <is>
          <t>PR00</t>
        </is>
      </c>
      <c r="I865" s="8" t="n">
        <v>54</v>
      </c>
      <c r="J865" s="9" t="n">
        <v>0</v>
      </c>
      <c r="K865" s="10">
        <f>I865*(1-J865)</f>
        <v/>
      </c>
      <c r="L865" s="11" t="n">
        <v>1</v>
      </c>
      <c r="M865" s="10">
        <f>K865*L865</f>
        <v/>
      </c>
      <c r="N865" s="8" t="n">
        <v>26.59</v>
      </c>
      <c r="O865" s="10">
        <f>N865*L865</f>
        <v/>
      </c>
      <c r="P865" s="10">
        <f>M865-O865</f>
        <v/>
      </c>
      <c r="Q865" s="11" t="inlineStr">
        <is>
          <t>No</t>
        </is>
      </c>
      <c r="R865" s="11" t="n">
        <v>0</v>
      </c>
      <c r="S865" s="10">
        <f>M865-(R865*K865)</f>
        <v/>
      </c>
      <c r="T865" s="12">
        <f>VLOOKUP(E865,Dim_Product!$A$2:$Q$61,3,FALSE)</f>
        <v/>
      </c>
      <c r="U865" s="12">
        <f>VLOOKUP(E865,Dim_Product!$A$2:$Q$61,4,FALSE)</f>
        <v/>
      </c>
      <c r="V865" s="12">
        <f>VLOOKUP(D865,Dim_Customer!$A$2:$I$121,6,FALSE)</f>
        <v/>
      </c>
      <c r="W865" s="12">
        <f>VLOOKUP(G865,Dim_Channel!$A$2:$B$5,2,FALSE)</f>
        <v/>
      </c>
      <c r="X865" s="12">
        <f>VLOOKUP(H865,Dim_Promotion!$A$2:$G$11,2,FALSE)</f>
        <v/>
      </c>
    </row>
    <row r="866">
      <c r="A866" s="4" t="inlineStr">
        <is>
          <t>SL0865</t>
        </is>
      </c>
      <c r="B866" t="inlineStr">
        <is>
          <t>O010433</t>
        </is>
      </c>
      <c r="C866" t="n">
        <v>20250808</v>
      </c>
      <c r="D866" s="4" t="inlineStr">
        <is>
          <t>C076</t>
        </is>
      </c>
      <c r="E866" s="4" t="inlineStr">
        <is>
          <t>P024</t>
        </is>
      </c>
      <c r="F866" t="inlineStr">
        <is>
          <t>XXL</t>
        </is>
      </c>
      <c r="G866" s="4" t="inlineStr">
        <is>
          <t>CH03</t>
        </is>
      </c>
      <c r="H866" s="4" t="inlineStr">
        <is>
          <t>PR00</t>
        </is>
      </c>
      <c r="I866" s="8" t="n">
        <v>62</v>
      </c>
      <c r="J866" s="9" t="n">
        <v>0</v>
      </c>
      <c r="K866" s="10">
        <f>I866*(1-J866)</f>
        <v/>
      </c>
      <c r="L866" s="11" t="n">
        <v>2</v>
      </c>
      <c r="M866" s="10">
        <f>K866*L866</f>
        <v/>
      </c>
      <c r="N866" s="8" t="n">
        <v>27.07</v>
      </c>
      <c r="O866" s="10">
        <f>N866*L866</f>
        <v/>
      </c>
      <c r="P866" s="10">
        <f>M866-O866</f>
        <v/>
      </c>
      <c r="Q866" s="11" t="inlineStr">
        <is>
          <t>No</t>
        </is>
      </c>
      <c r="R866" s="11" t="n">
        <v>0</v>
      </c>
      <c r="S866" s="10">
        <f>M866-(R866*K866)</f>
        <v/>
      </c>
      <c r="T866" s="12">
        <f>VLOOKUP(E866,Dim_Product!$A$2:$Q$61,3,FALSE)</f>
        <v/>
      </c>
      <c r="U866" s="12">
        <f>VLOOKUP(E866,Dim_Product!$A$2:$Q$61,4,FALSE)</f>
        <v/>
      </c>
      <c r="V866" s="12">
        <f>VLOOKUP(D866,Dim_Customer!$A$2:$I$121,6,FALSE)</f>
        <v/>
      </c>
      <c r="W866" s="12">
        <f>VLOOKUP(G866,Dim_Channel!$A$2:$B$5,2,FALSE)</f>
        <v/>
      </c>
      <c r="X866" s="12">
        <f>VLOOKUP(H866,Dim_Promotion!$A$2:$G$11,2,FALSE)</f>
        <v/>
      </c>
    </row>
    <row r="867">
      <c r="A867" s="4" t="inlineStr">
        <is>
          <t>SL0866</t>
        </is>
      </c>
      <c r="B867" t="inlineStr">
        <is>
          <t>O010433</t>
        </is>
      </c>
      <c r="C867" t="n">
        <v>20251213</v>
      </c>
      <c r="D867" s="4" t="inlineStr">
        <is>
          <t>C006</t>
        </is>
      </c>
      <c r="E867" s="4" t="inlineStr">
        <is>
          <t>P035</t>
        </is>
      </c>
      <c r="F867" t="inlineStr">
        <is>
          <t>XL</t>
        </is>
      </c>
      <c r="G867" s="4" t="inlineStr">
        <is>
          <t>CH04</t>
        </is>
      </c>
      <c r="H867" s="4" t="inlineStr">
        <is>
          <t>PR00</t>
        </is>
      </c>
      <c r="I867" s="8" t="n">
        <v>88</v>
      </c>
      <c r="J867" s="9" t="n">
        <v>0</v>
      </c>
      <c r="K867" s="10">
        <f>I867*(1-J867)</f>
        <v/>
      </c>
      <c r="L867" s="11" t="n">
        <v>1</v>
      </c>
      <c r="M867" s="10">
        <f>K867*L867</f>
        <v/>
      </c>
      <c r="N867" s="8" t="n">
        <v>43.88</v>
      </c>
      <c r="O867" s="10">
        <f>N867*L867</f>
        <v/>
      </c>
      <c r="P867" s="10">
        <f>M867-O867</f>
        <v/>
      </c>
      <c r="Q867" s="11" t="inlineStr">
        <is>
          <t>No</t>
        </is>
      </c>
      <c r="R867" s="11" t="n">
        <v>0</v>
      </c>
      <c r="S867" s="10">
        <f>M867-(R867*K867)</f>
        <v/>
      </c>
      <c r="T867" s="12">
        <f>VLOOKUP(E867,Dim_Product!$A$2:$Q$61,3,FALSE)</f>
        <v/>
      </c>
      <c r="U867" s="12">
        <f>VLOOKUP(E867,Dim_Product!$A$2:$Q$61,4,FALSE)</f>
        <v/>
      </c>
      <c r="V867" s="12">
        <f>VLOOKUP(D867,Dim_Customer!$A$2:$I$121,6,FALSE)</f>
        <v/>
      </c>
      <c r="W867" s="12">
        <f>VLOOKUP(G867,Dim_Channel!$A$2:$B$5,2,FALSE)</f>
        <v/>
      </c>
      <c r="X867" s="12">
        <f>VLOOKUP(H867,Dim_Promotion!$A$2:$G$11,2,FALSE)</f>
        <v/>
      </c>
    </row>
    <row r="868">
      <c r="A868" s="4" t="inlineStr">
        <is>
          <t>SL0867</t>
        </is>
      </c>
      <c r="B868" t="inlineStr">
        <is>
          <t>O010434</t>
        </is>
      </c>
      <c r="C868" t="n">
        <v>20250613</v>
      </c>
      <c r="D868" s="4" t="inlineStr">
        <is>
          <t>C092</t>
        </is>
      </c>
      <c r="E868" s="4" t="inlineStr">
        <is>
          <t>P044</t>
        </is>
      </c>
      <c r="F868" t="inlineStr">
        <is>
          <t>L</t>
        </is>
      </c>
      <c r="G868" s="4" t="inlineStr">
        <is>
          <t>CH04</t>
        </is>
      </c>
      <c r="H868" s="4" t="inlineStr">
        <is>
          <t>PR00</t>
        </is>
      </c>
      <c r="I868" s="8" t="n">
        <v>79</v>
      </c>
      <c r="J868" s="9" t="n">
        <v>0</v>
      </c>
      <c r="K868" s="10">
        <f>I868*(1-J868)</f>
        <v/>
      </c>
      <c r="L868" s="11" t="n">
        <v>2</v>
      </c>
      <c r="M868" s="10">
        <f>K868*L868</f>
        <v/>
      </c>
      <c r="N868" s="8" t="n">
        <v>35.62</v>
      </c>
      <c r="O868" s="10">
        <f>N868*L868</f>
        <v/>
      </c>
      <c r="P868" s="10">
        <f>M868-O868</f>
        <v/>
      </c>
      <c r="Q868" s="11" t="inlineStr">
        <is>
          <t>No</t>
        </is>
      </c>
      <c r="R868" s="11" t="n">
        <v>0</v>
      </c>
      <c r="S868" s="10">
        <f>M868-(R868*K868)</f>
        <v/>
      </c>
      <c r="T868" s="12">
        <f>VLOOKUP(E868,Dim_Product!$A$2:$Q$61,3,FALSE)</f>
        <v/>
      </c>
      <c r="U868" s="12">
        <f>VLOOKUP(E868,Dim_Product!$A$2:$Q$61,4,FALSE)</f>
        <v/>
      </c>
      <c r="V868" s="12">
        <f>VLOOKUP(D868,Dim_Customer!$A$2:$I$121,6,FALSE)</f>
        <v/>
      </c>
      <c r="W868" s="12">
        <f>VLOOKUP(G868,Dim_Channel!$A$2:$B$5,2,FALSE)</f>
        <v/>
      </c>
      <c r="X868" s="12">
        <f>VLOOKUP(H868,Dim_Promotion!$A$2:$G$11,2,FALSE)</f>
        <v/>
      </c>
    </row>
    <row r="869">
      <c r="A869" s="4" t="inlineStr">
        <is>
          <t>SL0868</t>
        </is>
      </c>
      <c r="B869" t="inlineStr">
        <is>
          <t>O010434</t>
        </is>
      </c>
      <c r="C869" t="n">
        <v>20250901</v>
      </c>
      <c r="D869" s="4" t="inlineStr">
        <is>
          <t>C028</t>
        </is>
      </c>
      <c r="E869" s="4" t="inlineStr">
        <is>
          <t>P033</t>
        </is>
      </c>
      <c r="F869" t="inlineStr">
        <is>
          <t>XXL</t>
        </is>
      </c>
      <c r="G869" s="4" t="inlineStr">
        <is>
          <t>CH01</t>
        </is>
      </c>
      <c r="H869" s="4" t="inlineStr">
        <is>
          <t>PR07</t>
        </is>
      </c>
      <c r="I869" s="8" t="n">
        <v>84</v>
      </c>
      <c r="J869" s="9" t="n">
        <v>0.12</v>
      </c>
      <c r="K869" s="10">
        <f>I869*(1-J869)</f>
        <v/>
      </c>
      <c r="L869" s="11" t="n">
        <v>2</v>
      </c>
      <c r="M869" s="10">
        <f>K869*L869</f>
        <v/>
      </c>
      <c r="N869" s="8" t="n">
        <v>43.3</v>
      </c>
      <c r="O869" s="10">
        <f>N869*L869</f>
        <v/>
      </c>
      <c r="P869" s="10">
        <f>M869-O869</f>
        <v/>
      </c>
      <c r="Q869" s="11" t="inlineStr">
        <is>
          <t>No</t>
        </is>
      </c>
      <c r="R869" s="11" t="n">
        <v>0</v>
      </c>
      <c r="S869" s="10">
        <f>M869-(R869*K869)</f>
        <v/>
      </c>
      <c r="T869" s="12">
        <f>VLOOKUP(E869,Dim_Product!$A$2:$Q$61,3,FALSE)</f>
        <v/>
      </c>
      <c r="U869" s="12">
        <f>VLOOKUP(E869,Dim_Product!$A$2:$Q$61,4,FALSE)</f>
        <v/>
      </c>
      <c r="V869" s="12">
        <f>VLOOKUP(D869,Dim_Customer!$A$2:$I$121,6,FALSE)</f>
        <v/>
      </c>
      <c r="W869" s="12">
        <f>VLOOKUP(G869,Dim_Channel!$A$2:$B$5,2,FALSE)</f>
        <v/>
      </c>
      <c r="X869" s="12">
        <f>VLOOKUP(H869,Dim_Promotion!$A$2:$G$11,2,FALSE)</f>
        <v/>
      </c>
    </row>
    <row r="870">
      <c r="A870" s="4" t="inlineStr">
        <is>
          <t>SL0869</t>
        </is>
      </c>
      <c r="B870" t="inlineStr">
        <is>
          <t>O010435</t>
        </is>
      </c>
      <c r="C870" t="n">
        <v>20251112</v>
      </c>
      <c r="D870" s="4" t="inlineStr">
        <is>
          <t>C046</t>
        </is>
      </c>
      <c r="E870" s="4" t="inlineStr">
        <is>
          <t>P059</t>
        </is>
      </c>
      <c r="F870" t="inlineStr">
        <is>
          <t>M</t>
        </is>
      </c>
      <c r="G870" s="4" t="inlineStr">
        <is>
          <t>CH01</t>
        </is>
      </c>
      <c r="H870" s="4" t="inlineStr">
        <is>
          <t>PR00</t>
        </is>
      </c>
      <c r="I870" s="8" t="n">
        <v>74</v>
      </c>
      <c r="J870" s="9" t="n">
        <v>0</v>
      </c>
      <c r="K870" s="10">
        <f>I870*(1-J870)</f>
        <v/>
      </c>
      <c r="L870" s="11" t="n">
        <v>2</v>
      </c>
      <c r="M870" s="10">
        <f>K870*L870</f>
        <v/>
      </c>
      <c r="N870" s="8" t="n">
        <v>33.65</v>
      </c>
      <c r="O870" s="10">
        <f>N870*L870</f>
        <v/>
      </c>
      <c r="P870" s="10">
        <f>M870-O870</f>
        <v/>
      </c>
      <c r="Q870" s="11" t="inlineStr">
        <is>
          <t>No</t>
        </is>
      </c>
      <c r="R870" s="11" t="n">
        <v>0</v>
      </c>
      <c r="S870" s="10">
        <f>M870-(R870*K870)</f>
        <v/>
      </c>
      <c r="T870" s="12">
        <f>VLOOKUP(E870,Dim_Product!$A$2:$Q$61,3,FALSE)</f>
        <v/>
      </c>
      <c r="U870" s="12">
        <f>VLOOKUP(E870,Dim_Product!$A$2:$Q$61,4,FALSE)</f>
        <v/>
      </c>
      <c r="V870" s="12">
        <f>VLOOKUP(D870,Dim_Customer!$A$2:$I$121,6,FALSE)</f>
        <v/>
      </c>
      <c r="W870" s="12">
        <f>VLOOKUP(G870,Dim_Channel!$A$2:$B$5,2,FALSE)</f>
        <v/>
      </c>
      <c r="X870" s="12">
        <f>VLOOKUP(H870,Dim_Promotion!$A$2:$G$11,2,FALSE)</f>
        <v/>
      </c>
    </row>
    <row r="871">
      <c r="A871" s="4" t="inlineStr">
        <is>
          <t>SL0870</t>
        </is>
      </c>
      <c r="B871" t="inlineStr">
        <is>
          <t>O010435</t>
        </is>
      </c>
      <c r="C871" t="n">
        <v>20251121</v>
      </c>
      <c r="D871" s="4" t="inlineStr">
        <is>
          <t>C042</t>
        </is>
      </c>
      <c r="E871" s="4" t="inlineStr">
        <is>
          <t>P046</t>
        </is>
      </c>
      <c r="F871" t="inlineStr">
        <is>
          <t>M</t>
        </is>
      </c>
      <c r="G871" s="4" t="inlineStr">
        <is>
          <t>CH01</t>
        </is>
      </c>
      <c r="H871" s="4" t="inlineStr">
        <is>
          <t>PR00</t>
        </is>
      </c>
      <c r="I871" s="8" t="n">
        <v>66</v>
      </c>
      <c r="J871" s="9" t="n">
        <v>0</v>
      </c>
      <c r="K871" s="10">
        <f>I871*(1-J871)</f>
        <v/>
      </c>
      <c r="L871" s="11" t="n">
        <v>1</v>
      </c>
      <c r="M871" s="10">
        <f>K871*L871</f>
        <v/>
      </c>
      <c r="N871" s="8" t="n">
        <v>32.95</v>
      </c>
      <c r="O871" s="10">
        <f>N871*L871</f>
        <v/>
      </c>
      <c r="P871" s="10">
        <f>M871-O871</f>
        <v/>
      </c>
      <c r="Q871" s="11" t="inlineStr">
        <is>
          <t>No</t>
        </is>
      </c>
      <c r="R871" s="11" t="n">
        <v>0</v>
      </c>
      <c r="S871" s="10">
        <f>M871-(R871*K871)</f>
        <v/>
      </c>
      <c r="T871" s="12">
        <f>VLOOKUP(E871,Dim_Product!$A$2:$Q$61,3,FALSE)</f>
        <v/>
      </c>
      <c r="U871" s="12">
        <f>VLOOKUP(E871,Dim_Product!$A$2:$Q$61,4,FALSE)</f>
        <v/>
      </c>
      <c r="V871" s="12">
        <f>VLOOKUP(D871,Dim_Customer!$A$2:$I$121,6,FALSE)</f>
        <v/>
      </c>
      <c r="W871" s="12">
        <f>VLOOKUP(G871,Dim_Channel!$A$2:$B$5,2,FALSE)</f>
        <v/>
      </c>
      <c r="X871" s="12">
        <f>VLOOKUP(H871,Dim_Promotion!$A$2:$G$11,2,FALSE)</f>
        <v/>
      </c>
    </row>
    <row r="872">
      <c r="A872" s="4" t="inlineStr">
        <is>
          <t>SL0871</t>
        </is>
      </c>
      <c r="B872" t="inlineStr">
        <is>
          <t>O010436</t>
        </is>
      </c>
      <c r="C872" t="n">
        <v>20250213</v>
      </c>
      <c r="D872" s="4" t="inlineStr">
        <is>
          <t>C041</t>
        </is>
      </c>
      <c r="E872" s="4" t="inlineStr">
        <is>
          <t>P036</t>
        </is>
      </c>
      <c r="F872" t="inlineStr">
        <is>
          <t>XL</t>
        </is>
      </c>
      <c r="G872" s="4" t="inlineStr">
        <is>
          <t>CH01</t>
        </is>
      </c>
      <c r="H872" s="4" t="inlineStr">
        <is>
          <t>PR00</t>
        </is>
      </c>
      <c r="I872" s="8" t="n">
        <v>88</v>
      </c>
      <c r="J872" s="9" t="n">
        <v>0</v>
      </c>
      <c r="K872" s="10">
        <f>I872*(1-J872)</f>
        <v/>
      </c>
      <c r="L872" s="11" t="n">
        <v>2</v>
      </c>
      <c r="M872" s="10">
        <f>K872*L872</f>
        <v/>
      </c>
      <c r="N872" s="8" t="n">
        <v>43.42</v>
      </c>
      <c r="O872" s="10">
        <f>N872*L872</f>
        <v/>
      </c>
      <c r="P872" s="10">
        <f>M872-O872</f>
        <v/>
      </c>
      <c r="Q872" s="11" t="inlineStr">
        <is>
          <t>No</t>
        </is>
      </c>
      <c r="R872" s="11" t="n">
        <v>0</v>
      </c>
      <c r="S872" s="10">
        <f>M872-(R872*K872)</f>
        <v/>
      </c>
      <c r="T872" s="12">
        <f>VLOOKUP(E872,Dim_Product!$A$2:$Q$61,3,FALSE)</f>
        <v/>
      </c>
      <c r="U872" s="12">
        <f>VLOOKUP(E872,Dim_Product!$A$2:$Q$61,4,FALSE)</f>
        <v/>
      </c>
      <c r="V872" s="12">
        <f>VLOOKUP(D872,Dim_Customer!$A$2:$I$121,6,FALSE)</f>
        <v/>
      </c>
      <c r="W872" s="12">
        <f>VLOOKUP(G872,Dim_Channel!$A$2:$B$5,2,FALSE)</f>
        <v/>
      </c>
      <c r="X872" s="12">
        <f>VLOOKUP(H872,Dim_Promotion!$A$2:$G$11,2,FALSE)</f>
        <v/>
      </c>
    </row>
    <row r="873">
      <c r="A873" s="4" t="inlineStr">
        <is>
          <t>SL0872</t>
        </is>
      </c>
      <c r="B873" t="inlineStr">
        <is>
          <t>O010436</t>
        </is>
      </c>
      <c r="C873" t="n">
        <v>20251211</v>
      </c>
      <c r="D873" s="4" t="inlineStr">
        <is>
          <t>C003</t>
        </is>
      </c>
      <c r="E873" s="4" t="inlineStr">
        <is>
          <t>P054</t>
        </is>
      </c>
      <c r="F873" t="inlineStr">
        <is>
          <t>M</t>
        </is>
      </c>
      <c r="G873" s="4" t="inlineStr">
        <is>
          <t>CH04</t>
        </is>
      </c>
      <c r="H873" s="4" t="inlineStr">
        <is>
          <t>PR00</t>
        </is>
      </c>
      <c r="I873" s="8" t="n">
        <v>72</v>
      </c>
      <c r="J873" s="9" t="n">
        <v>0</v>
      </c>
      <c r="K873" s="10">
        <f>I873*(1-J873)</f>
        <v/>
      </c>
      <c r="L873" s="11" t="n">
        <v>1</v>
      </c>
      <c r="M873" s="10">
        <f>K873*L873</f>
        <v/>
      </c>
      <c r="N873" s="8" t="n">
        <v>30.55</v>
      </c>
      <c r="O873" s="10">
        <f>N873*L873</f>
        <v/>
      </c>
      <c r="P873" s="10">
        <f>M873-O873</f>
        <v/>
      </c>
      <c r="Q873" s="11" t="inlineStr">
        <is>
          <t>No</t>
        </is>
      </c>
      <c r="R873" s="11" t="n">
        <v>0</v>
      </c>
      <c r="S873" s="10">
        <f>M873-(R873*K873)</f>
        <v/>
      </c>
      <c r="T873" s="12">
        <f>VLOOKUP(E873,Dim_Product!$A$2:$Q$61,3,FALSE)</f>
        <v/>
      </c>
      <c r="U873" s="12">
        <f>VLOOKUP(E873,Dim_Product!$A$2:$Q$61,4,FALSE)</f>
        <v/>
      </c>
      <c r="V873" s="12">
        <f>VLOOKUP(D873,Dim_Customer!$A$2:$I$121,6,FALSE)</f>
        <v/>
      </c>
      <c r="W873" s="12">
        <f>VLOOKUP(G873,Dim_Channel!$A$2:$B$5,2,FALSE)</f>
        <v/>
      </c>
      <c r="X873" s="12">
        <f>VLOOKUP(H873,Dim_Promotion!$A$2:$G$11,2,FALSE)</f>
        <v/>
      </c>
    </row>
    <row r="874">
      <c r="A874" s="4" t="inlineStr">
        <is>
          <t>SL0873</t>
        </is>
      </c>
      <c r="B874" t="inlineStr">
        <is>
          <t>O010437</t>
        </is>
      </c>
      <c r="C874" t="n">
        <v>20251113</v>
      </c>
      <c r="D874" s="4" t="inlineStr">
        <is>
          <t>C110</t>
        </is>
      </c>
      <c r="E874" s="4" t="inlineStr">
        <is>
          <t>P015</t>
        </is>
      </c>
      <c r="F874" t="inlineStr">
        <is>
          <t>L</t>
        </is>
      </c>
      <c r="G874" s="4" t="inlineStr">
        <is>
          <t>CH01</t>
        </is>
      </c>
      <c r="H874" s="4" t="inlineStr">
        <is>
          <t>PR00</t>
        </is>
      </c>
      <c r="I874" s="8" t="n">
        <v>56</v>
      </c>
      <c r="J874" s="9" t="n">
        <v>0</v>
      </c>
      <c r="K874" s="10">
        <f>I874*(1-J874)</f>
        <v/>
      </c>
      <c r="L874" s="11" t="n">
        <v>1</v>
      </c>
      <c r="M874" s="10">
        <f>K874*L874</f>
        <v/>
      </c>
      <c r="N874" s="8" t="n">
        <v>26.99</v>
      </c>
      <c r="O874" s="10">
        <f>N874*L874</f>
        <v/>
      </c>
      <c r="P874" s="10">
        <f>M874-O874</f>
        <v/>
      </c>
      <c r="Q874" s="11" t="inlineStr">
        <is>
          <t>No</t>
        </is>
      </c>
      <c r="R874" s="11" t="n">
        <v>0</v>
      </c>
      <c r="S874" s="10">
        <f>M874-(R874*K874)</f>
        <v/>
      </c>
      <c r="T874" s="12">
        <f>VLOOKUP(E874,Dim_Product!$A$2:$Q$61,3,FALSE)</f>
        <v/>
      </c>
      <c r="U874" s="12">
        <f>VLOOKUP(E874,Dim_Product!$A$2:$Q$61,4,FALSE)</f>
        <v/>
      </c>
      <c r="V874" s="12">
        <f>VLOOKUP(D874,Dim_Customer!$A$2:$I$121,6,FALSE)</f>
        <v/>
      </c>
      <c r="W874" s="12">
        <f>VLOOKUP(G874,Dim_Channel!$A$2:$B$5,2,FALSE)</f>
        <v/>
      </c>
      <c r="X874" s="12">
        <f>VLOOKUP(H874,Dim_Promotion!$A$2:$G$11,2,FALSE)</f>
        <v/>
      </c>
    </row>
    <row r="875">
      <c r="A875" s="4" t="inlineStr">
        <is>
          <t>SL0874</t>
        </is>
      </c>
      <c r="B875" t="inlineStr">
        <is>
          <t>O010437</t>
        </is>
      </c>
      <c r="C875" t="n">
        <v>20250427</v>
      </c>
      <c r="D875" s="4" t="inlineStr">
        <is>
          <t>C006</t>
        </is>
      </c>
      <c r="E875" s="4" t="inlineStr">
        <is>
          <t>P014</t>
        </is>
      </c>
      <c r="F875" t="inlineStr">
        <is>
          <t>XL</t>
        </is>
      </c>
      <c r="G875" s="4" t="inlineStr">
        <is>
          <t>CH01</t>
        </is>
      </c>
      <c r="H875" s="4" t="inlineStr">
        <is>
          <t>PR00</t>
        </is>
      </c>
      <c r="I875" s="8" t="n">
        <v>60</v>
      </c>
      <c r="J875" s="9" t="n">
        <v>0</v>
      </c>
      <c r="K875" s="10">
        <f>I875*(1-J875)</f>
        <v/>
      </c>
      <c r="L875" s="11" t="n">
        <v>1</v>
      </c>
      <c r="M875" s="10">
        <f>K875*L875</f>
        <v/>
      </c>
      <c r="N875" s="8" t="n">
        <v>26.83</v>
      </c>
      <c r="O875" s="10">
        <f>N875*L875</f>
        <v/>
      </c>
      <c r="P875" s="10">
        <f>M875-O875</f>
        <v/>
      </c>
      <c r="Q875" s="11" t="inlineStr">
        <is>
          <t>No</t>
        </is>
      </c>
      <c r="R875" s="11" t="n">
        <v>0</v>
      </c>
      <c r="S875" s="10">
        <f>M875-(R875*K875)</f>
        <v/>
      </c>
      <c r="T875" s="12">
        <f>VLOOKUP(E875,Dim_Product!$A$2:$Q$61,3,FALSE)</f>
        <v/>
      </c>
      <c r="U875" s="12">
        <f>VLOOKUP(E875,Dim_Product!$A$2:$Q$61,4,FALSE)</f>
        <v/>
      </c>
      <c r="V875" s="12">
        <f>VLOOKUP(D875,Dim_Customer!$A$2:$I$121,6,FALSE)</f>
        <v/>
      </c>
      <c r="W875" s="12">
        <f>VLOOKUP(G875,Dim_Channel!$A$2:$B$5,2,FALSE)</f>
        <v/>
      </c>
      <c r="X875" s="12">
        <f>VLOOKUP(H875,Dim_Promotion!$A$2:$G$11,2,FALSE)</f>
        <v/>
      </c>
    </row>
    <row r="876">
      <c r="A876" s="4" t="inlineStr">
        <is>
          <t>SL0875</t>
        </is>
      </c>
      <c r="B876" t="inlineStr">
        <is>
          <t>O010438</t>
        </is>
      </c>
      <c r="C876" t="n">
        <v>20250401</v>
      </c>
      <c r="D876" s="4" t="inlineStr">
        <is>
          <t>C038</t>
        </is>
      </c>
      <c r="E876" s="4" t="inlineStr">
        <is>
          <t>P014</t>
        </is>
      </c>
      <c r="F876" t="inlineStr">
        <is>
          <t>L</t>
        </is>
      </c>
      <c r="G876" s="4" t="inlineStr">
        <is>
          <t>CH04</t>
        </is>
      </c>
      <c r="H876" s="4" t="inlineStr">
        <is>
          <t>PR00</t>
        </is>
      </c>
      <c r="I876" s="8" t="n">
        <v>62</v>
      </c>
      <c r="J876" s="9" t="n">
        <v>0</v>
      </c>
      <c r="K876" s="10">
        <f>I876*(1-J876)</f>
        <v/>
      </c>
      <c r="L876" s="11" t="n">
        <v>1</v>
      </c>
      <c r="M876" s="10">
        <f>K876*L876</f>
        <v/>
      </c>
      <c r="N876" s="8" t="n">
        <v>26.76</v>
      </c>
      <c r="O876" s="10">
        <f>N876*L876</f>
        <v/>
      </c>
      <c r="P876" s="10">
        <f>M876-O876</f>
        <v/>
      </c>
      <c r="Q876" s="11" t="inlineStr">
        <is>
          <t>No</t>
        </is>
      </c>
      <c r="R876" s="11" t="n">
        <v>0</v>
      </c>
      <c r="S876" s="10">
        <f>M876-(R876*K876)</f>
        <v/>
      </c>
      <c r="T876" s="12">
        <f>VLOOKUP(E876,Dim_Product!$A$2:$Q$61,3,FALSE)</f>
        <v/>
      </c>
      <c r="U876" s="12">
        <f>VLOOKUP(E876,Dim_Product!$A$2:$Q$61,4,FALSE)</f>
        <v/>
      </c>
      <c r="V876" s="12">
        <f>VLOOKUP(D876,Dim_Customer!$A$2:$I$121,6,FALSE)</f>
        <v/>
      </c>
      <c r="W876" s="12">
        <f>VLOOKUP(G876,Dim_Channel!$A$2:$B$5,2,FALSE)</f>
        <v/>
      </c>
      <c r="X876" s="12">
        <f>VLOOKUP(H876,Dim_Promotion!$A$2:$G$11,2,FALSE)</f>
        <v/>
      </c>
    </row>
    <row r="877">
      <c r="A877" s="4" t="inlineStr">
        <is>
          <t>SL0876</t>
        </is>
      </c>
      <c r="B877" t="inlineStr">
        <is>
          <t>O010438</t>
        </is>
      </c>
      <c r="C877" t="n">
        <v>20250619</v>
      </c>
      <c r="D877" s="4" t="inlineStr">
        <is>
          <t>C114</t>
        </is>
      </c>
      <c r="E877" s="4" t="inlineStr">
        <is>
          <t>P054</t>
        </is>
      </c>
      <c r="F877" t="inlineStr">
        <is>
          <t>S</t>
        </is>
      </c>
      <c r="G877" s="4" t="inlineStr">
        <is>
          <t>CH03</t>
        </is>
      </c>
      <c r="H877" s="4" t="inlineStr">
        <is>
          <t>PR00</t>
        </is>
      </c>
      <c r="I877" s="8" t="n">
        <v>74</v>
      </c>
      <c r="J877" s="9" t="n">
        <v>0</v>
      </c>
      <c r="K877" s="10">
        <f>I877*(1-J877)</f>
        <v/>
      </c>
      <c r="L877" s="11" t="n">
        <v>1</v>
      </c>
      <c r="M877" s="10">
        <f>K877*L877</f>
        <v/>
      </c>
      <c r="N877" s="8" t="n">
        <v>31.06</v>
      </c>
      <c r="O877" s="10">
        <f>N877*L877</f>
        <v/>
      </c>
      <c r="P877" s="10">
        <f>M877-O877</f>
        <v/>
      </c>
      <c r="Q877" s="11" t="inlineStr">
        <is>
          <t>No</t>
        </is>
      </c>
      <c r="R877" s="11" t="n">
        <v>0</v>
      </c>
      <c r="S877" s="10">
        <f>M877-(R877*K877)</f>
        <v/>
      </c>
      <c r="T877" s="12">
        <f>VLOOKUP(E877,Dim_Product!$A$2:$Q$61,3,FALSE)</f>
        <v/>
      </c>
      <c r="U877" s="12">
        <f>VLOOKUP(E877,Dim_Product!$A$2:$Q$61,4,FALSE)</f>
        <v/>
      </c>
      <c r="V877" s="12">
        <f>VLOOKUP(D877,Dim_Customer!$A$2:$I$121,6,FALSE)</f>
        <v/>
      </c>
      <c r="W877" s="12">
        <f>VLOOKUP(G877,Dim_Channel!$A$2:$B$5,2,FALSE)</f>
        <v/>
      </c>
      <c r="X877" s="12">
        <f>VLOOKUP(H877,Dim_Promotion!$A$2:$G$11,2,FALSE)</f>
        <v/>
      </c>
    </row>
    <row r="878">
      <c r="A878" s="4" t="inlineStr">
        <is>
          <t>SL0877</t>
        </is>
      </c>
      <c r="B878" t="inlineStr">
        <is>
          <t>O010439</t>
        </is>
      </c>
      <c r="C878" t="n">
        <v>20250418</v>
      </c>
      <c r="D878" s="4" t="inlineStr">
        <is>
          <t>C046</t>
        </is>
      </c>
      <c r="E878" s="4" t="inlineStr">
        <is>
          <t>P005</t>
        </is>
      </c>
      <c r="F878" t="inlineStr">
        <is>
          <t>M</t>
        </is>
      </c>
      <c r="G878" s="4" t="inlineStr">
        <is>
          <t>CH04</t>
        </is>
      </c>
      <c r="H878" s="4" t="inlineStr">
        <is>
          <t>PR00</t>
        </is>
      </c>
      <c r="I878" s="8" t="n">
        <v>54</v>
      </c>
      <c r="J878" s="9" t="n">
        <v>0</v>
      </c>
      <c r="K878" s="10">
        <f>I878*(1-J878)</f>
        <v/>
      </c>
      <c r="L878" s="11" t="n">
        <v>1</v>
      </c>
      <c r="M878" s="10">
        <f>K878*L878</f>
        <v/>
      </c>
      <c r="N878" s="8" t="n">
        <v>20.78</v>
      </c>
      <c r="O878" s="10">
        <f>N878*L878</f>
        <v/>
      </c>
      <c r="P878" s="10">
        <f>M878-O878</f>
        <v/>
      </c>
      <c r="Q878" s="11" t="inlineStr">
        <is>
          <t>No</t>
        </is>
      </c>
      <c r="R878" s="11" t="n">
        <v>0</v>
      </c>
      <c r="S878" s="10">
        <f>M878-(R878*K878)</f>
        <v/>
      </c>
      <c r="T878" s="12">
        <f>VLOOKUP(E878,Dim_Product!$A$2:$Q$61,3,FALSE)</f>
        <v/>
      </c>
      <c r="U878" s="12">
        <f>VLOOKUP(E878,Dim_Product!$A$2:$Q$61,4,FALSE)</f>
        <v/>
      </c>
      <c r="V878" s="12">
        <f>VLOOKUP(D878,Dim_Customer!$A$2:$I$121,6,FALSE)</f>
        <v/>
      </c>
      <c r="W878" s="12">
        <f>VLOOKUP(G878,Dim_Channel!$A$2:$B$5,2,FALSE)</f>
        <v/>
      </c>
      <c r="X878" s="12">
        <f>VLOOKUP(H878,Dim_Promotion!$A$2:$G$11,2,FALSE)</f>
        <v/>
      </c>
    </row>
    <row r="879">
      <c r="A879" s="4" t="inlineStr">
        <is>
          <t>SL0878</t>
        </is>
      </c>
      <c r="B879" t="inlineStr">
        <is>
          <t>O010439</t>
        </is>
      </c>
      <c r="C879" t="n">
        <v>20250716</v>
      </c>
      <c r="D879" s="4" t="inlineStr">
        <is>
          <t>C069</t>
        </is>
      </c>
      <c r="E879" s="4" t="inlineStr">
        <is>
          <t>P035</t>
        </is>
      </c>
      <c r="F879" t="inlineStr">
        <is>
          <t>L</t>
        </is>
      </c>
      <c r="G879" s="4" t="inlineStr">
        <is>
          <t>CH02</t>
        </is>
      </c>
      <c r="H879" s="4" t="inlineStr">
        <is>
          <t>PR00</t>
        </is>
      </c>
      <c r="I879" s="8" t="n">
        <v>88</v>
      </c>
      <c r="J879" s="9" t="n">
        <v>0</v>
      </c>
      <c r="K879" s="10">
        <f>I879*(1-J879)</f>
        <v/>
      </c>
      <c r="L879" s="11" t="n">
        <v>1</v>
      </c>
      <c r="M879" s="10">
        <f>K879*L879</f>
        <v/>
      </c>
      <c r="N879" s="8" t="n">
        <v>43.62</v>
      </c>
      <c r="O879" s="10">
        <f>N879*L879</f>
        <v/>
      </c>
      <c r="P879" s="10">
        <f>M879-O879</f>
        <v/>
      </c>
      <c r="Q879" s="11" t="inlineStr">
        <is>
          <t>No</t>
        </is>
      </c>
      <c r="R879" s="11" t="n">
        <v>0</v>
      </c>
      <c r="S879" s="10">
        <f>M879-(R879*K879)</f>
        <v/>
      </c>
      <c r="T879" s="12">
        <f>VLOOKUP(E879,Dim_Product!$A$2:$Q$61,3,FALSE)</f>
        <v/>
      </c>
      <c r="U879" s="12">
        <f>VLOOKUP(E879,Dim_Product!$A$2:$Q$61,4,FALSE)</f>
        <v/>
      </c>
      <c r="V879" s="12">
        <f>VLOOKUP(D879,Dim_Customer!$A$2:$I$121,6,FALSE)</f>
        <v/>
      </c>
      <c r="W879" s="12">
        <f>VLOOKUP(G879,Dim_Channel!$A$2:$B$5,2,FALSE)</f>
        <v/>
      </c>
      <c r="X879" s="12">
        <f>VLOOKUP(H879,Dim_Promotion!$A$2:$G$11,2,FALSE)</f>
        <v/>
      </c>
    </row>
    <row r="880">
      <c r="A880" s="4" t="inlineStr">
        <is>
          <t>SL0879</t>
        </is>
      </c>
      <c r="B880" t="inlineStr">
        <is>
          <t>O010440</t>
        </is>
      </c>
      <c r="C880" t="n">
        <v>20250816</v>
      </c>
      <c r="D880" s="4" t="inlineStr">
        <is>
          <t>C076</t>
        </is>
      </c>
      <c r="E880" s="4" t="inlineStr">
        <is>
          <t>P010</t>
        </is>
      </c>
      <c r="F880" t="inlineStr">
        <is>
          <t>L</t>
        </is>
      </c>
      <c r="G880" s="4" t="inlineStr">
        <is>
          <t>CH01</t>
        </is>
      </c>
      <c r="H880" s="4" t="inlineStr">
        <is>
          <t>PR00</t>
        </is>
      </c>
      <c r="I880" s="8" t="n">
        <v>48</v>
      </c>
      <c r="J880" s="9" t="n">
        <v>0</v>
      </c>
      <c r="K880" s="10">
        <f>I880*(1-J880)</f>
        <v/>
      </c>
      <c r="L880" s="11" t="n">
        <v>1</v>
      </c>
      <c r="M880" s="10">
        <f>K880*L880</f>
        <v/>
      </c>
      <c r="N880" s="8" t="n">
        <v>20.03</v>
      </c>
      <c r="O880" s="10">
        <f>N880*L880</f>
        <v/>
      </c>
      <c r="P880" s="10">
        <f>M880-O880</f>
        <v/>
      </c>
      <c r="Q880" s="11" t="inlineStr">
        <is>
          <t>No</t>
        </is>
      </c>
      <c r="R880" s="11" t="n">
        <v>0</v>
      </c>
      <c r="S880" s="10">
        <f>M880-(R880*K880)</f>
        <v/>
      </c>
      <c r="T880" s="12">
        <f>VLOOKUP(E880,Dim_Product!$A$2:$Q$61,3,FALSE)</f>
        <v/>
      </c>
      <c r="U880" s="12">
        <f>VLOOKUP(E880,Dim_Product!$A$2:$Q$61,4,FALSE)</f>
        <v/>
      </c>
      <c r="V880" s="12">
        <f>VLOOKUP(D880,Dim_Customer!$A$2:$I$121,6,FALSE)</f>
        <v/>
      </c>
      <c r="W880" s="12">
        <f>VLOOKUP(G880,Dim_Channel!$A$2:$B$5,2,FALSE)</f>
        <v/>
      </c>
      <c r="X880" s="12">
        <f>VLOOKUP(H880,Dim_Promotion!$A$2:$G$11,2,FALSE)</f>
        <v/>
      </c>
    </row>
    <row r="881">
      <c r="A881" s="4" t="inlineStr">
        <is>
          <t>SL0880</t>
        </is>
      </c>
      <c r="B881" t="inlineStr">
        <is>
          <t>O010440</t>
        </is>
      </c>
      <c r="C881" t="n">
        <v>20250409</v>
      </c>
      <c r="D881" s="4" t="inlineStr">
        <is>
          <t>C115</t>
        </is>
      </c>
      <c r="E881" s="4" t="inlineStr">
        <is>
          <t>P043</t>
        </is>
      </c>
      <c r="F881" t="inlineStr">
        <is>
          <t>M</t>
        </is>
      </c>
      <c r="G881" s="4" t="inlineStr">
        <is>
          <t>CH03</t>
        </is>
      </c>
      <c r="H881" s="4" t="inlineStr">
        <is>
          <t>PR00</t>
        </is>
      </c>
      <c r="I881" s="8" t="n">
        <v>81</v>
      </c>
      <c r="J881" s="9" t="n">
        <v>0</v>
      </c>
      <c r="K881" s="10">
        <f>I881*(1-J881)</f>
        <v/>
      </c>
      <c r="L881" s="11" t="n">
        <v>1</v>
      </c>
      <c r="M881" s="10">
        <f>K881*L881</f>
        <v/>
      </c>
      <c r="N881" s="8" t="n">
        <v>38.27</v>
      </c>
      <c r="O881" s="10">
        <f>N881*L881</f>
        <v/>
      </c>
      <c r="P881" s="10">
        <f>M881-O881</f>
        <v/>
      </c>
      <c r="Q881" s="11" t="inlineStr">
        <is>
          <t>No</t>
        </is>
      </c>
      <c r="R881" s="11" t="n">
        <v>0</v>
      </c>
      <c r="S881" s="10">
        <f>M881-(R881*K881)</f>
        <v/>
      </c>
      <c r="T881" s="12">
        <f>VLOOKUP(E881,Dim_Product!$A$2:$Q$61,3,FALSE)</f>
        <v/>
      </c>
      <c r="U881" s="12">
        <f>VLOOKUP(E881,Dim_Product!$A$2:$Q$61,4,FALSE)</f>
        <v/>
      </c>
      <c r="V881" s="12">
        <f>VLOOKUP(D881,Dim_Customer!$A$2:$I$121,6,FALSE)</f>
        <v/>
      </c>
      <c r="W881" s="12">
        <f>VLOOKUP(G881,Dim_Channel!$A$2:$B$5,2,FALSE)</f>
        <v/>
      </c>
      <c r="X881" s="12">
        <f>VLOOKUP(H881,Dim_Promotion!$A$2:$G$11,2,FALSE)</f>
        <v/>
      </c>
    </row>
    <row r="882">
      <c r="A882" s="4" t="inlineStr">
        <is>
          <t>SL0881</t>
        </is>
      </c>
      <c r="B882" t="inlineStr">
        <is>
          <t>O010441</t>
        </is>
      </c>
      <c r="C882" t="n">
        <v>20250911</v>
      </c>
      <c r="D882" s="4" t="inlineStr">
        <is>
          <t>C030</t>
        </is>
      </c>
      <c r="E882" s="4" t="inlineStr">
        <is>
          <t>P057</t>
        </is>
      </c>
      <c r="F882" t="inlineStr">
        <is>
          <t>L</t>
        </is>
      </c>
      <c r="G882" s="4" t="inlineStr">
        <is>
          <t>CH03</t>
        </is>
      </c>
      <c r="H882" s="4" t="inlineStr">
        <is>
          <t>PR00</t>
        </is>
      </c>
      <c r="I882" s="8" t="n">
        <v>72</v>
      </c>
      <c r="J882" s="9" t="n">
        <v>0</v>
      </c>
      <c r="K882" s="10">
        <f>I882*(1-J882)</f>
        <v/>
      </c>
      <c r="L882" s="11" t="n">
        <v>3</v>
      </c>
      <c r="M882" s="10">
        <f>K882*L882</f>
        <v/>
      </c>
      <c r="N882" s="8" t="n">
        <v>34.41</v>
      </c>
      <c r="O882" s="10">
        <f>N882*L882</f>
        <v/>
      </c>
      <c r="P882" s="10">
        <f>M882-O882</f>
        <v/>
      </c>
      <c r="Q882" s="11" t="inlineStr">
        <is>
          <t>No</t>
        </is>
      </c>
      <c r="R882" s="11" t="n">
        <v>0</v>
      </c>
      <c r="S882" s="10">
        <f>M882-(R882*K882)</f>
        <v/>
      </c>
      <c r="T882" s="12">
        <f>VLOOKUP(E882,Dim_Product!$A$2:$Q$61,3,FALSE)</f>
        <v/>
      </c>
      <c r="U882" s="12">
        <f>VLOOKUP(E882,Dim_Product!$A$2:$Q$61,4,FALSE)</f>
        <v/>
      </c>
      <c r="V882" s="12">
        <f>VLOOKUP(D882,Dim_Customer!$A$2:$I$121,6,FALSE)</f>
        <v/>
      </c>
      <c r="W882" s="12">
        <f>VLOOKUP(G882,Dim_Channel!$A$2:$B$5,2,FALSE)</f>
        <v/>
      </c>
      <c r="X882" s="12">
        <f>VLOOKUP(H882,Dim_Promotion!$A$2:$G$11,2,FALSE)</f>
        <v/>
      </c>
    </row>
    <row r="883">
      <c r="A883" s="4" t="inlineStr">
        <is>
          <t>SL0882</t>
        </is>
      </c>
      <c r="B883" t="inlineStr">
        <is>
          <t>O010441</t>
        </is>
      </c>
      <c r="C883" t="n">
        <v>20250825</v>
      </c>
      <c r="D883" s="4" t="inlineStr">
        <is>
          <t>C010</t>
        </is>
      </c>
      <c r="E883" s="4" t="inlineStr">
        <is>
          <t>P036</t>
        </is>
      </c>
      <c r="F883" t="inlineStr">
        <is>
          <t>L</t>
        </is>
      </c>
      <c r="G883" s="4" t="inlineStr">
        <is>
          <t>CH03</t>
        </is>
      </c>
      <c r="H883" s="4" t="inlineStr">
        <is>
          <t>PR00</t>
        </is>
      </c>
      <c r="I883" s="8" t="n">
        <v>90</v>
      </c>
      <c r="J883" s="9" t="n">
        <v>0</v>
      </c>
      <c r="K883" s="10">
        <f>I883*(1-J883)</f>
        <v/>
      </c>
      <c r="L883" s="11" t="n">
        <v>2</v>
      </c>
      <c r="M883" s="10">
        <f>K883*L883</f>
        <v/>
      </c>
      <c r="N883" s="8" t="n">
        <v>43.65</v>
      </c>
      <c r="O883" s="10">
        <f>N883*L883</f>
        <v/>
      </c>
      <c r="P883" s="10">
        <f>M883-O883</f>
        <v/>
      </c>
      <c r="Q883" s="11" t="inlineStr">
        <is>
          <t>No</t>
        </is>
      </c>
      <c r="R883" s="11" t="n">
        <v>0</v>
      </c>
      <c r="S883" s="10">
        <f>M883-(R883*K883)</f>
        <v/>
      </c>
      <c r="T883" s="12">
        <f>VLOOKUP(E883,Dim_Product!$A$2:$Q$61,3,FALSE)</f>
        <v/>
      </c>
      <c r="U883" s="12">
        <f>VLOOKUP(E883,Dim_Product!$A$2:$Q$61,4,FALSE)</f>
        <v/>
      </c>
      <c r="V883" s="12">
        <f>VLOOKUP(D883,Dim_Customer!$A$2:$I$121,6,FALSE)</f>
        <v/>
      </c>
      <c r="W883" s="12">
        <f>VLOOKUP(G883,Dim_Channel!$A$2:$B$5,2,FALSE)</f>
        <v/>
      </c>
      <c r="X883" s="12">
        <f>VLOOKUP(H883,Dim_Promotion!$A$2:$G$11,2,FALSE)</f>
        <v/>
      </c>
    </row>
    <row r="884">
      <c r="A884" s="4" t="inlineStr">
        <is>
          <t>SL0883</t>
        </is>
      </c>
      <c r="B884" t="inlineStr">
        <is>
          <t>O010442</t>
        </is>
      </c>
      <c r="C884" t="n">
        <v>20250130</v>
      </c>
      <c r="D884" s="4" t="inlineStr">
        <is>
          <t>C064</t>
        </is>
      </c>
      <c r="E884" s="4" t="inlineStr">
        <is>
          <t>P043</t>
        </is>
      </c>
      <c r="F884" t="inlineStr">
        <is>
          <t>XS</t>
        </is>
      </c>
      <c r="G884" s="4" t="inlineStr">
        <is>
          <t>CH02</t>
        </is>
      </c>
      <c r="H884" s="4" t="inlineStr">
        <is>
          <t>PR00</t>
        </is>
      </c>
      <c r="I884" s="8" t="n">
        <v>81</v>
      </c>
      <c r="J884" s="9" t="n">
        <v>0</v>
      </c>
      <c r="K884" s="10">
        <f>I884*(1-J884)</f>
        <v/>
      </c>
      <c r="L884" s="11" t="n">
        <v>2</v>
      </c>
      <c r="M884" s="10">
        <f>K884*L884</f>
        <v/>
      </c>
      <c r="N884" s="8" t="n">
        <v>38.11</v>
      </c>
      <c r="O884" s="10">
        <f>N884*L884</f>
        <v/>
      </c>
      <c r="P884" s="10">
        <f>M884-O884</f>
        <v/>
      </c>
      <c r="Q884" s="11" t="inlineStr">
        <is>
          <t>No</t>
        </is>
      </c>
      <c r="R884" s="11" t="n">
        <v>0</v>
      </c>
      <c r="S884" s="10">
        <f>M884-(R884*K884)</f>
        <v/>
      </c>
      <c r="T884" s="12">
        <f>VLOOKUP(E884,Dim_Product!$A$2:$Q$61,3,FALSE)</f>
        <v/>
      </c>
      <c r="U884" s="12">
        <f>VLOOKUP(E884,Dim_Product!$A$2:$Q$61,4,FALSE)</f>
        <v/>
      </c>
      <c r="V884" s="12">
        <f>VLOOKUP(D884,Dim_Customer!$A$2:$I$121,6,FALSE)</f>
        <v/>
      </c>
      <c r="W884" s="12">
        <f>VLOOKUP(G884,Dim_Channel!$A$2:$B$5,2,FALSE)</f>
        <v/>
      </c>
      <c r="X884" s="12">
        <f>VLOOKUP(H884,Dim_Promotion!$A$2:$G$11,2,FALSE)</f>
        <v/>
      </c>
    </row>
    <row r="885">
      <c r="A885" s="4" t="inlineStr">
        <is>
          <t>SL0884</t>
        </is>
      </c>
      <c r="B885" t="inlineStr">
        <is>
          <t>O010442</t>
        </is>
      </c>
      <c r="C885" t="n">
        <v>20251106</v>
      </c>
      <c r="D885" s="4" t="inlineStr">
        <is>
          <t>C013</t>
        </is>
      </c>
      <c r="E885" s="4" t="inlineStr">
        <is>
          <t>P017</t>
        </is>
      </c>
      <c r="F885" t="inlineStr">
        <is>
          <t>S</t>
        </is>
      </c>
      <c r="G885" s="4" t="inlineStr">
        <is>
          <t>CH02</t>
        </is>
      </c>
      <c r="H885" s="4" t="inlineStr">
        <is>
          <t>PR00</t>
        </is>
      </c>
      <c r="I885" s="8" t="n">
        <v>68</v>
      </c>
      <c r="J885" s="9" t="n">
        <v>0</v>
      </c>
      <c r="K885" s="10">
        <f>I885*(1-J885)</f>
        <v/>
      </c>
      <c r="L885" s="11" t="n">
        <v>1</v>
      </c>
      <c r="M885" s="10">
        <f>K885*L885</f>
        <v/>
      </c>
      <c r="N885" s="8" t="n">
        <v>31.8</v>
      </c>
      <c r="O885" s="10">
        <f>N885*L885</f>
        <v/>
      </c>
      <c r="P885" s="10">
        <f>M885-O885</f>
        <v/>
      </c>
      <c r="Q885" s="11" t="inlineStr">
        <is>
          <t>No</t>
        </is>
      </c>
      <c r="R885" s="11" t="n">
        <v>0</v>
      </c>
      <c r="S885" s="10">
        <f>M885-(R885*K885)</f>
        <v/>
      </c>
      <c r="T885" s="12">
        <f>VLOOKUP(E885,Dim_Product!$A$2:$Q$61,3,FALSE)</f>
        <v/>
      </c>
      <c r="U885" s="12">
        <f>VLOOKUP(E885,Dim_Product!$A$2:$Q$61,4,FALSE)</f>
        <v/>
      </c>
      <c r="V885" s="12">
        <f>VLOOKUP(D885,Dim_Customer!$A$2:$I$121,6,FALSE)</f>
        <v/>
      </c>
      <c r="W885" s="12">
        <f>VLOOKUP(G885,Dim_Channel!$A$2:$B$5,2,FALSE)</f>
        <v/>
      </c>
      <c r="X885" s="12">
        <f>VLOOKUP(H885,Dim_Promotion!$A$2:$G$11,2,FALSE)</f>
        <v/>
      </c>
    </row>
    <row r="886">
      <c r="A886" s="4" t="inlineStr">
        <is>
          <t>SL0885</t>
        </is>
      </c>
      <c r="B886" t="inlineStr">
        <is>
          <t>O010443</t>
        </is>
      </c>
      <c r="C886" t="n">
        <v>20250911</v>
      </c>
      <c r="D886" s="4" t="inlineStr">
        <is>
          <t>C058</t>
        </is>
      </c>
      <c r="E886" s="4" t="inlineStr">
        <is>
          <t>P044</t>
        </is>
      </c>
      <c r="F886" t="inlineStr">
        <is>
          <t>XS</t>
        </is>
      </c>
      <c r="G886" s="4" t="inlineStr">
        <is>
          <t>CH02</t>
        </is>
      </c>
      <c r="H886" s="4" t="inlineStr">
        <is>
          <t>PR00</t>
        </is>
      </c>
      <c r="I886" s="8" t="n">
        <v>76</v>
      </c>
      <c r="J886" s="9" t="n">
        <v>0</v>
      </c>
      <c r="K886" s="10">
        <f>I886*(1-J886)</f>
        <v/>
      </c>
      <c r="L886" s="11" t="n">
        <v>1</v>
      </c>
      <c r="M886" s="10">
        <f>K886*L886</f>
        <v/>
      </c>
      <c r="N886" s="8" t="n">
        <v>34.5</v>
      </c>
      <c r="O886" s="10">
        <f>N886*L886</f>
        <v/>
      </c>
      <c r="P886" s="10">
        <f>M886-O886</f>
        <v/>
      </c>
      <c r="Q886" s="11" t="inlineStr">
        <is>
          <t>Yes</t>
        </is>
      </c>
      <c r="R886" s="11" t="n">
        <v>1</v>
      </c>
      <c r="S886" s="10">
        <f>M886-(R886*K886)</f>
        <v/>
      </c>
      <c r="T886" s="12">
        <f>VLOOKUP(E886,Dim_Product!$A$2:$Q$61,3,FALSE)</f>
        <v/>
      </c>
      <c r="U886" s="12">
        <f>VLOOKUP(E886,Dim_Product!$A$2:$Q$61,4,FALSE)</f>
        <v/>
      </c>
      <c r="V886" s="12">
        <f>VLOOKUP(D886,Dim_Customer!$A$2:$I$121,6,FALSE)</f>
        <v/>
      </c>
      <c r="W886" s="12">
        <f>VLOOKUP(G886,Dim_Channel!$A$2:$B$5,2,FALSE)</f>
        <v/>
      </c>
      <c r="X886" s="12">
        <f>VLOOKUP(H886,Dim_Promotion!$A$2:$G$11,2,FALSE)</f>
        <v/>
      </c>
    </row>
    <row r="887">
      <c r="A887" s="4" t="inlineStr">
        <is>
          <t>SL0886</t>
        </is>
      </c>
      <c r="B887" t="inlineStr">
        <is>
          <t>O010443</t>
        </is>
      </c>
      <c r="C887" t="n">
        <v>20250113</v>
      </c>
      <c r="D887" s="4" t="inlineStr">
        <is>
          <t>C040</t>
        </is>
      </c>
      <c r="E887" s="4" t="inlineStr">
        <is>
          <t>P057</t>
        </is>
      </c>
      <c r="F887" t="inlineStr">
        <is>
          <t>L</t>
        </is>
      </c>
      <c r="G887" s="4" t="inlineStr">
        <is>
          <t>CH02</t>
        </is>
      </c>
      <c r="H887" s="4" t="inlineStr">
        <is>
          <t>PR00</t>
        </is>
      </c>
      <c r="I887" s="8" t="n">
        <v>74</v>
      </c>
      <c r="J887" s="9" t="n">
        <v>0</v>
      </c>
      <c r="K887" s="10">
        <f>I887*(1-J887)</f>
        <v/>
      </c>
      <c r="L887" s="11" t="n">
        <v>1</v>
      </c>
      <c r="M887" s="10">
        <f>K887*L887</f>
        <v/>
      </c>
      <c r="N887" s="8" t="n">
        <v>35.73</v>
      </c>
      <c r="O887" s="10">
        <f>N887*L887</f>
        <v/>
      </c>
      <c r="P887" s="10">
        <f>M887-O887</f>
        <v/>
      </c>
      <c r="Q887" s="11" t="inlineStr">
        <is>
          <t>No</t>
        </is>
      </c>
      <c r="R887" s="11" t="n">
        <v>0</v>
      </c>
      <c r="S887" s="10">
        <f>M887-(R887*K887)</f>
        <v/>
      </c>
      <c r="T887" s="12">
        <f>VLOOKUP(E887,Dim_Product!$A$2:$Q$61,3,FALSE)</f>
        <v/>
      </c>
      <c r="U887" s="12">
        <f>VLOOKUP(E887,Dim_Product!$A$2:$Q$61,4,FALSE)</f>
        <v/>
      </c>
      <c r="V887" s="12">
        <f>VLOOKUP(D887,Dim_Customer!$A$2:$I$121,6,FALSE)</f>
        <v/>
      </c>
      <c r="W887" s="12">
        <f>VLOOKUP(G887,Dim_Channel!$A$2:$B$5,2,FALSE)</f>
        <v/>
      </c>
      <c r="X887" s="12">
        <f>VLOOKUP(H887,Dim_Promotion!$A$2:$G$11,2,FALSE)</f>
        <v/>
      </c>
    </row>
    <row r="888">
      <c r="A888" s="4" t="inlineStr">
        <is>
          <t>SL0887</t>
        </is>
      </c>
      <c r="B888" t="inlineStr">
        <is>
          <t>O010444</t>
        </is>
      </c>
      <c r="C888" t="n">
        <v>20250606</v>
      </c>
      <c r="D888" s="4" t="inlineStr">
        <is>
          <t>C115</t>
        </is>
      </c>
      <c r="E888" s="4" t="inlineStr">
        <is>
          <t>P045</t>
        </is>
      </c>
      <c r="F888" t="inlineStr">
        <is>
          <t>L</t>
        </is>
      </c>
      <c r="G888" s="4" t="inlineStr">
        <is>
          <t>CH01</t>
        </is>
      </c>
      <c r="H888" s="4" t="inlineStr">
        <is>
          <t>PR00</t>
        </is>
      </c>
      <c r="I888" s="8" t="n">
        <v>64</v>
      </c>
      <c r="J888" s="9" t="n">
        <v>0</v>
      </c>
      <c r="K888" s="10">
        <f>I888*(1-J888)</f>
        <v/>
      </c>
      <c r="L888" s="11" t="n">
        <v>2</v>
      </c>
      <c r="M888" s="10">
        <f>K888*L888</f>
        <v/>
      </c>
      <c r="N888" s="8" t="n">
        <v>32.96</v>
      </c>
      <c r="O888" s="10">
        <f>N888*L888</f>
        <v/>
      </c>
      <c r="P888" s="10">
        <f>M888-O888</f>
        <v/>
      </c>
      <c r="Q888" s="11" t="inlineStr">
        <is>
          <t>No</t>
        </is>
      </c>
      <c r="R888" s="11" t="n">
        <v>0</v>
      </c>
      <c r="S888" s="10">
        <f>M888-(R888*K888)</f>
        <v/>
      </c>
      <c r="T888" s="12">
        <f>VLOOKUP(E888,Dim_Product!$A$2:$Q$61,3,FALSE)</f>
        <v/>
      </c>
      <c r="U888" s="12">
        <f>VLOOKUP(E888,Dim_Product!$A$2:$Q$61,4,FALSE)</f>
        <v/>
      </c>
      <c r="V888" s="12">
        <f>VLOOKUP(D888,Dim_Customer!$A$2:$I$121,6,FALSE)</f>
        <v/>
      </c>
      <c r="W888" s="12">
        <f>VLOOKUP(G888,Dim_Channel!$A$2:$B$5,2,FALSE)</f>
        <v/>
      </c>
      <c r="X888" s="12">
        <f>VLOOKUP(H888,Dim_Promotion!$A$2:$G$11,2,FALSE)</f>
        <v/>
      </c>
    </row>
    <row r="889">
      <c r="A889" s="4" t="inlineStr">
        <is>
          <t>SL0888</t>
        </is>
      </c>
      <c r="B889" t="inlineStr">
        <is>
          <t>O010444</t>
        </is>
      </c>
      <c r="C889" t="n">
        <v>20250506</v>
      </c>
      <c r="D889" s="4" t="inlineStr">
        <is>
          <t>C076</t>
        </is>
      </c>
      <c r="E889" s="4" t="inlineStr">
        <is>
          <t>P032</t>
        </is>
      </c>
      <c r="F889" t="inlineStr">
        <is>
          <t>S</t>
        </is>
      </c>
      <c r="G889" s="4" t="inlineStr">
        <is>
          <t>CH01</t>
        </is>
      </c>
      <c r="H889" s="4" t="inlineStr">
        <is>
          <t>PR00</t>
        </is>
      </c>
      <c r="I889" s="8" t="n">
        <v>114</v>
      </c>
      <c r="J889" s="9" t="n">
        <v>0</v>
      </c>
      <c r="K889" s="10">
        <f>I889*(1-J889)</f>
        <v/>
      </c>
      <c r="L889" s="11" t="n">
        <v>1</v>
      </c>
      <c r="M889" s="10">
        <f>K889*L889</f>
        <v/>
      </c>
      <c r="N889" s="8" t="n">
        <v>58.11</v>
      </c>
      <c r="O889" s="10">
        <f>N889*L889</f>
        <v/>
      </c>
      <c r="P889" s="10">
        <f>M889-O889</f>
        <v/>
      </c>
      <c r="Q889" s="11" t="inlineStr">
        <is>
          <t>No</t>
        </is>
      </c>
      <c r="R889" s="11" t="n">
        <v>0</v>
      </c>
      <c r="S889" s="10">
        <f>M889-(R889*K889)</f>
        <v/>
      </c>
      <c r="T889" s="12">
        <f>VLOOKUP(E889,Dim_Product!$A$2:$Q$61,3,FALSE)</f>
        <v/>
      </c>
      <c r="U889" s="12">
        <f>VLOOKUP(E889,Dim_Product!$A$2:$Q$61,4,FALSE)</f>
        <v/>
      </c>
      <c r="V889" s="12">
        <f>VLOOKUP(D889,Dim_Customer!$A$2:$I$121,6,FALSE)</f>
        <v/>
      </c>
      <c r="W889" s="12">
        <f>VLOOKUP(G889,Dim_Channel!$A$2:$B$5,2,FALSE)</f>
        <v/>
      </c>
      <c r="X889" s="12">
        <f>VLOOKUP(H889,Dim_Promotion!$A$2:$G$11,2,FALSE)</f>
        <v/>
      </c>
    </row>
    <row r="890">
      <c r="A890" s="4" t="inlineStr">
        <is>
          <t>SL0889</t>
        </is>
      </c>
      <c r="B890" t="inlineStr">
        <is>
          <t>O010445</t>
        </is>
      </c>
      <c r="C890" t="n">
        <v>20251102</v>
      </c>
      <c r="D890" s="4" t="inlineStr">
        <is>
          <t>C046</t>
        </is>
      </c>
      <c r="E890" s="4" t="inlineStr">
        <is>
          <t>P027</t>
        </is>
      </c>
      <c r="F890" t="inlineStr">
        <is>
          <t>L</t>
        </is>
      </c>
      <c r="G890" s="4" t="inlineStr">
        <is>
          <t>CH04</t>
        </is>
      </c>
      <c r="H890" s="4" t="inlineStr">
        <is>
          <t>PR00</t>
        </is>
      </c>
      <c r="I890" s="8" t="n">
        <v>91</v>
      </c>
      <c r="J890" s="9" t="n">
        <v>0</v>
      </c>
      <c r="K890" s="10">
        <f>I890*(1-J890)</f>
        <v/>
      </c>
      <c r="L890" s="11" t="n">
        <v>1</v>
      </c>
      <c r="M890" s="10">
        <f>K890*L890</f>
        <v/>
      </c>
      <c r="N890" s="8" t="n">
        <v>44.97</v>
      </c>
      <c r="O890" s="10">
        <f>N890*L890</f>
        <v/>
      </c>
      <c r="P890" s="10">
        <f>M890-O890</f>
        <v/>
      </c>
      <c r="Q890" s="11" t="inlineStr">
        <is>
          <t>No</t>
        </is>
      </c>
      <c r="R890" s="11" t="n">
        <v>0</v>
      </c>
      <c r="S890" s="10">
        <f>M890-(R890*K890)</f>
        <v/>
      </c>
      <c r="T890" s="12">
        <f>VLOOKUP(E890,Dim_Product!$A$2:$Q$61,3,FALSE)</f>
        <v/>
      </c>
      <c r="U890" s="12">
        <f>VLOOKUP(E890,Dim_Product!$A$2:$Q$61,4,FALSE)</f>
        <v/>
      </c>
      <c r="V890" s="12">
        <f>VLOOKUP(D890,Dim_Customer!$A$2:$I$121,6,FALSE)</f>
        <v/>
      </c>
      <c r="W890" s="12">
        <f>VLOOKUP(G890,Dim_Channel!$A$2:$B$5,2,FALSE)</f>
        <v/>
      </c>
      <c r="X890" s="12">
        <f>VLOOKUP(H890,Dim_Promotion!$A$2:$G$11,2,FALSE)</f>
        <v/>
      </c>
    </row>
    <row r="891">
      <c r="A891" s="4" t="inlineStr">
        <is>
          <t>SL0890</t>
        </is>
      </c>
      <c r="B891" t="inlineStr">
        <is>
          <t>O010445</t>
        </is>
      </c>
      <c r="C891" t="n">
        <v>20250818</v>
      </c>
      <c r="D891" s="4" t="inlineStr">
        <is>
          <t>C067</t>
        </is>
      </c>
      <c r="E891" s="4" t="inlineStr">
        <is>
          <t>P022</t>
        </is>
      </c>
      <c r="F891" t="inlineStr">
        <is>
          <t>M</t>
        </is>
      </c>
      <c r="G891" s="4" t="inlineStr">
        <is>
          <t>CH01</t>
        </is>
      </c>
      <c r="H891" s="4" t="inlineStr">
        <is>
          <t>PR00</t>
        </is>
      </c>
      <c r="I891" s="8" t="n">
        <v>61</v>
      </c>
      <c r="J891" s="9" t="n">
        <v>0</v>
      </c>
      <c r="K891" s="10">
        <f>I891*(1-J891)</f>
        <v/>
      </c>
      <c r="L891" s="11" t="n">
        <v>1</v>
      </c>
      <c r="M891" s="10">
        <f>K891*L891</f>
        <v/>
      </c>
      <c r="N891" s="8" t="n">
        <v>26.07</v>
      </c>
      <c r="O891" s="10">
        <f>N891*L891</f>
        <v/>
      </c>
      <c r="P891" s="10">
        <f>M891-O891</f>
        <v/>
      </c>
      <c r="Q891" s="11" t="inlineStr">
        <is>
          <t>No</t>
        </is>
      </c>
      <c r="R891" s="11" t="n">
        <v>0</v>
      </c>
      <c r="S891" s="10">
        <f>M891-(R891*K891)</f>
        <v/>
      </c>
      <c r="T891" s="12">
        <f>VLOOKUP(E891,Dim_Product!$A$2:$Q$61,3,FALSE)</f>
        <v/>
      </c>
      <c r="U891" s="12">
        <f>VLOOKUP(E891,Dim_Product!$A$2:$Q$61,4,FALSE)</f>
        <v/>
      </c>
      <c r="V891" s="12">
        <f>VLOOKUP(D891,Dim_Customer!$A$2:$I$121,6,FALSE)</f>
        <v/>
      </c>
      <c r="W891" s="12">
        <f>VLOOKUP(G891,Dim_Channel!$A$2:$B$5,2,FALSE)</f>
        <v/>
      </c>
      <c r="X891" s="12">
        <f>VLOOKUP(H891,Dim_Promotion!$A$2:$G$11,2,FALSE)</f>
        <v/>
      </c>
    </row>
    <row r="892">
      <c r="A892" s="4" t="inlineStr">
        <is>
          <t>SL0891</t>
        </is>
      </c>
      <c r="B892" t="inlineStr">
        <is>
          <t>O010446</t>
        </is>
      </c>
      <c r="C892" t="n">
        <v>20250711</v>
      </c>
      <c r="D892" s="4" t="inlineStr">
        <is>
          <t>C072</t>
        </is>
      </c>
      <c r="E892" s="4" t="inlineStr">
        <is>
          <t>P028</t>
        </is>
      </c>
      <c r="F892" t="inlineStr">
        <is>
          <t>L</t>
        </is>
      </c>
      <c r="G892" s="4" t="inlineStr">
        <is>
          <t>CH03</t>
        </is>
      </c>
      <c r="H892" s="4" t="inlineStr">
        <is>
          <t>PR00</t>
        </is>
      </c>
      <c r="I892" s="8" t="n">
        <v>95</v>
      </c>
      <c r="J892" s="9" t="n">
        <v>0</v>
      </c>
      <c r="K892" s="10">
        <f>I892*(1-J892)</f>
        <v/>
      </c>
      <c r="L892" s="11" t="n">
        <v>1</v>
      </c>
      <c r="M892" s="10">
        <f>K892*L892</f>
        <v/>
      </c>
      <c r="N892" s="8" t="n">
        <v>47.16</v>
      </c>
      <c r="O892" s="10">
        <f>N892*L892</f>
        <v/>
      </c>
      <c r="P892" s="10">
        <f>M892-O892</f>
        <v/>
      </c>
      <c r="Q892" s="11" t="inlineStr">
        <is>
          <t>No</t>
        </is>
      </c>
      <c r="R892" s="11" t="n">
        <v>0</v>
      </c>
      <c r="S892" s="10">
        <f>M892-(R892*K892)</f>
        <v/>
      </c>
      <c r="T892" s="12">
        <f>VLOOKUP(E892,Dim_Product!$A$2:$Q$61,3,FALSE)</f>
        <v/>
      </c>
      <c r="U892" s="12">
        <f>VLOOKUP(E892,Dim_Product!$A$2:$Q$61,4,FALSE)</f>
        <v/>
      </c>
      <c r="V892" s="12">
        <f>VLOOKUP(D892,Dim_Customer!$A$2:$I$121,6,FALSE)</f>
        <v/>
      </c>
      <c r="W892" s="12">
        <f>VLOOKUP(G892,Dim_Channel!$A$2:$B$5,2,FALSE)</f>
        <v/>
      </c>
      <c r="X892" s="12">
        <f>VLOOKUP(H892,Dim_Promotion!$A$2:$G$11,2,FALSE)</f>
        <v/>
      </c>
    </row>
    <row r="893">
      <c r="A893" s="4" t="inlineStr">
        <is>
          <t>SL0892</t>
        </is>
      </c>
      <c r="B893" t="inlineStr">
        <is>
          <t>O010446</t>
        </is>
      </c>
      <c r="C893" t="n">
        <v>20250519</v>
      </c>
      <c r="D893" s="4" t="inlineStr">
        <is>
          <t>C096</t>
        </is>
      </c>
      <c r="E893" s="4" t="inlineStr">
        <is>
          <t>P038</t>
        </is>
      </c>
      <c r="F893" t="inlineStr">
        <is>
          <t>M</t>
        </is>
      </c>
      <c r="G893" s="4" t="inlineStr">
        <is>
          <t>CH01</t>
        </is>
      </c>
      <c r="H893" s="4" t="inlineStr">
        <is>
          <t>PR00</t>
        </is>
      </c>
      <c r="I893" s="8" t="n">
        <v>76</v>
      </c>
      <c r="J893" s="9" t="n">
        <v>0</v>
      </c>
      <c r="K893" s="10">
        <f>I893*(1-J893)</f>
        <v/>
      </c>
      <c r="L893" s="11" t="n">
        <v>1</v>
      </c>
      <c r="M893" s="10">
        <f>K893*L893</f>
        <v/>
      </c>
      <c r="N893" s="8" t="n">
        <v>33.97</v>
      </c>
      <c r="O893" s="10">
        <f>N893*L893</f>
        <v/>
      </c>
      <c r="P893" s="10">
        <f>M893-O893</f>
        <v/>
      </c>
      <c r="Q893" s="11" t="inlineStr">
        <is>
          <t>No</t>
        </is>
      </c>
      <c r="R893" s="11" t="n">
        <v>0</v>
      </c>
      <c r="S893" s="10">
        <f>M893-(R893*K893)</f>
        <v/>
      </c>
      <c r="T893" s="12">
        <f>VLOOKUP(E893,Dim_Product!$A$2:$Q$61,3,FALSE)</f>
        <v/>
      </c>
      <c r="U893" s="12">
        <f>VLOOKUP(E893,Dim_Product!$A$2:$Q$61,4,FALSE)</f>
        <v/>
      </c>
      <c r="V893" s="12">
        <f>VLOOKUP(D893,Dim_Customer!$A$2:$I$121,6,FALSE)</f>
        <v/>
      </c>
      <c r="W893" s="12">
        <f>VLOOKUP(G893,Dim_Channel!$A$2:$B$5,2,FALSE)</f>
        <v/>
      </c>
      <c r="X893" s="12">
        <f>VLOOKUP(H893,Dim_Promotion!$A$2:$G$11,2,FALSE)</f>
        <v/>
      </c>
    </row>
    <row r="894">
      <c r="A894" s="4" t="inlineStr">
        <is>
          <t>SL0893</t>
        </is>
      </c>
      <c r="B894" t="inlineStr">
        <is>
          <t>O010447</t>
        </is>
      </c>
      <c r="C894" t="n">
        <v>20251017</v>
      </c>
      <c r="D894" s="4" t="inlineStr">
        <is>
          <t>C109</t>
        </is>
      </c>
      <c r="E894" s="4" t="inlineStr">
        <is>
          <t>P010</t>
        </is>
      </c>
      <c r="F894" t="inlineStr">
        <is>
          <t>L</t>
        </is>
      </c>
      <c r="G894" s="4" t="inlineStr">
        <is>
          <t>CH04</t>
        </is>
      </c>
      <c r="H894" s="4" t="inlineStr">
        <is>
          <t>PR00</t>
        </is>
      </c>
      <c r="I894" s="8" t="n">
        <v>48</v>
      </c>
      <c r="J894" s="9" t="n">
        <v>0</v>
      </c>
      <c r="K894" s="10">
        <f>I894*(1-J894)</f>
        <v/>
      </c>
      <c r="L894" s="11" t="n">
        <v>1</v>
      </c>
      <c r="M894" s="10">
        <f>K894*L894</f>
        <v/>
      </c>
      <c r="N894" s="8" t="n">
        <v>19.69</v>
      </c>
      <c r="O894" s="10">
        <f>N894*L894</f>
        <v/>
      </c>
      <c r="P894" s="10">
        <f>M894-O894</f>
        <v/>
      </c>
      <c r="Q894" s="11" t="inlineStr">
        <is>
          <t>No</t>
        </is>
      </c>
      <c r="R894" s="11" t="n">
        <v>0</v>
      </c>
      <c r="S894" s="10">
        <f>M894-(R894*K894)</f>
        <v/>
      </c>
      <c r="T894" s="12">
        <f>VLOOKUP(E894,Dim_Product!$A$2:$Q$61,3,FALSE)</f>
        <v/>
      </c>
      <c r="U894" s="12">
        <f>VLOOKUP(E894,Dim_Product!$A$2:$Q$61,4,FALSE)</f>
        <v/>
      </c>
      <c r="V894" s="12">
        <f>VLOOKUP(D894,Dim_Customer!$A$2:$I$121,6,FALSE)</f>
        <v/>
      </c>
      <c r="W894" s="12">
        <f>VLOOKUP(G894,Dim_Channel!$A$2:$B$5,2,FALSE)</f>
        <v/>
      </c>
      <c r="X894" s="12">
        <f>VLOOKUP(H894,Dim_Promotion!$A$2:$G$11,2,FALSE)</f>
        <v/>
      </c>
    </row>
    <row r="895">
      <c r="A895" s="4" t="inlineStr">
        <is>
          <t>SL0894</t>
        </is>
      </c>
      <c r="B895" t="inlineStr">
        <is>
          <t>O010447</t>
        </is>
      </c>
      <c r="C895" t="n">
        <v>20250421</v>
      </c>
      <c r="D895" s="4" t="inlineStr">
        <is>
          <t>C079</t>
        </is>
      </c>
      <c r="E895" s="4" t="inlineStr">
        <is>
          <t>P011</t>
        </is>
      </c>
      <c r="F895" t="inlineStr">
        <is>
          <t>XL</t>
        </is>
      </c>
      <c r="G895" s="4" t="inlineStr">
        <is>
          <t>CH01</t>
        </is>
      </c>
      <c r="H895" s="4" t="inlineStr">
        <is>
          <t>PR00</t>
        </is>
      </c>
      <c r="I895" s="8" t="n">
        <v>46</v>
      </c>
      <c r="J895" s="9" t="n">
        <v>0</v>
      </c>
      <c r="K895" s="10">
        <f>I895*(1-J895)</f>
        <v/>
      </c>
      <c r="L895" s="11" t="n">
        <v>4</v>
      </c>
      <c r="M895" s="10">
        <f>K895*L895</f>
        <v/>
      </c>
      <c r="N895" s="8" t="n">
        <v>20.78</v>
      </c>
      <c r="O895" s="10">
        <f>N895*L895</f>
        <v/>
      </c>
      <c r="P895" s="10">
        <f>M895-O895</f>
        <v/>
      </c>
      <c r="Q895" s="11" t="inlineStr">
        <is>
          <t>No</t>
        </is>
      </c>
      <c r="R895" s="11" t="n">
        <v>0</v>
      </c>
      <c r="S895" s="10">
        <f>M895-(R895*K895)</f>
        <v/>
      </c>
      <c r="T895" s="12">
        <f>VLOOKUP(E895,Dim_Product!$A$2:$Q$61,3,FALSE)</f>
        <v/>
      </c>
      <c r="U895" s="12">
        <f>VLOOKUP(E895,Dim_Product!$A$2:$Q$61,4,FALSE)</f>
        <v/>
      </c>
      <c r="V895" s="12">
        <f>VLOOKUP(D895,Dim_Customer!$A$2:$I$121,6,FALSE)</f>
        <v/>
      </c>
      <c r="W895" s="12">
        <f>VLOOKUP(G895,Dim_Channel!$A$2:$B$5,2,FALSE)</f>
        <v/>
      </c>
      <c r="X895" s="12">
        <f>VLOOKUP(H895,Dim_Promotion!$A$2:$G$11,2,FALSE)</f>
        <v/>
      </c>
    </row>
    <row r="896">
      <c r="A896" s="4" t="inlineStr">
        <is>
          <t>SL0895</t>
        </is>
      </c>
      <c r="B896" t="inlineStr">
        <is>
          <t>O010448</t>
        </is>
      </c>
      <c r="C896" t="n">
        <v>20250627</v>
      </c>
      <c r="D896" s="4" t="inlineStr">
        <is>
          <t>C052</t>
        </is>
      </c>
      <c r="E896" s="4" t="inlineStr">
        <is>
          <t>P003</t>
        </is>
      </c>
      <c r="F896" t="inlineStr">
        <is>
          <t>M</t>
        </is>
      </c>
      <c r="G896" s="4" t="inlineStr">
        <is>
          <t>CH02</t>
        </is>
      </c>
      <c r="H896" s="4" t="inlineStr">
        <is>
          <t>PR05</t>
        </is>
      </c>
      <c r="I896" s="8" t="n">
        <v>43</v>
      </c>
      <c r="J896" s="9" t="n">
        <v>0.2</v>
      </c>
      <c r="K896" s="10">
        <f>I896*(1-J896)</f>
        <v/>
      </c>
      <c r="L896" s="11" t="n">
        <v>1</v>
      </c>
      <c r="M896" s="10">
        <f>K896*L896</f>
        <v/>
      </c>
      <c r="N896" s="8" t="n">
        <v>20.45</v>
      </c>
      <c r="O896" s="10">
        <f>N896*L896</f>
        <v/>
      </c>
      <c r="P896" s="10">
        <f>M896-O896</f>
        <v/>
      </c>
      <c r="Q896" s="11" t="inlineStr">
        <is>
          <t>No</t>
        </is>
      </c>
      <c r="R896" s="11" t="n">
        <v>0</v>
      </c>
      <c r="S896" s="10">
        <f>M896-(R896*K896)</f>
        <v/>
      </c>
      <c r="T896" s="12">
        <f>VLOOKUP(E896,Dim_Product!$A$2:$Q$61,3,FALSE)</f>
        <v/>
      </c>
      <c r="U896" s="12">
        <f>VLOOKUP(E896,Dim_Product!$A$2:$Q$61,4,FALSE)</f>
        <v/>
      </c>
      <c r="V896" s="12">
        <f>VLOOKUP(D896,Dim_Customer!$A$2:$I$121,6,FALSE)</f>
        <v/>
      </c>
      <c r="W896" s="12">
        <f>VLOOKUP(G896,Dim_Channel!$A$2:$B$5,2,FALSE)</f>
        <v/>
      </c>
      <c r="X896" s="12">
        <f>VLOOKUP(H896,Dim_Promotion!$A$2:$G$11,2,FALSE)</f>
        <v/>
      </c>
    </row>
    <row r="897">
      <c r="A897" s="4" t="inlineStr">
        <is>
          <t>SL0896</t>
        </is>
      </c>
      <c r="B897" t="inlineStr">
        <is>
          <t>O010448</t>
        </is>
      </c>
      <c r="C897" t="n">
        <v>20250529</v>
      </c>
      <c r="D897" s="4" t="inlineStr">
        <is>
          <t>C084</t>
        </is>
      </c>
      <c r="E897" s="4" t="inlineStr">
        <is>
          <t>P043</t>
        </is>
      </c>
      <c r="F897" t="inlineStr">
        <is>
          <t>M</t>
        </is>
      </c>
      <c r="G897" s="4" t="inlineStr">
        <is>
          <t>CH01</t>
        </is>
      </c>
      <c r="H897" s="4" t="inlineStr">
        <is>
          <t>PR00</t>
        </is>
      </c>
      <c r="I897" s="8" t="n">
        <v>80</v>
      </c>
      <c r="J897" s="9" t="n">
        <v>0</v>
      </c>
      <c r="K897" s="10">
        <f>I897*(1-J897)</f>
        <v/>
      </c>
      <c r="L897" s="11" t="n">
        <v>2</v>
      </c>
      <c r="M897" s="10">
        <f>K897*L897</f>
        <v/>
      </c>
      <c r="N897" s="8" t="n">
        <v>38.35</v>
      </c>
      <c r="O897" s="10">
        <f>N897*L897</f>
        <v/>
      </c>
      <c r="P897" s="10">
        <f>M897-O897</f>
        <v/>
      </c>
      <c r="Q897" s="11" t="inlineStr">
        <is>
          <t>No</t>
        </is>
      </c>
      <c r="R897" s="11" t="n">
        <v>0</v>
      </c>
      <c r="S897" s="10">
        <f>M897-(R897*K897)</f>
        <v/>
      </c>
      <c r="T897" s="12">
        <f>VLOOKUP(E897,Dim_Product!$A$2:$Q$61,3,FALSE)</f>
        <v/>
      </c>
      <c r="U897" s="12">
        <f>VLOOKUP(E897,Dim_Product!$A$2:$Q$61,4,FALSE)</f>
        <v/>
      </c>
      <c r="V897" s="12">
        <f>VLOOKUP(D897,Dim_Customer!$A$2:$I$121,6,FALSE)</f>
        <v/>
      </c>
      <c r="W897" s="12">
        <f>VLOOKUP(G897,Dim_Channel!$A$2:$B$5,2,FALSE)</f>
        <v/>
      </c>
      <c r="X897" s="12">
        <f>VLOOKUP(H897,Dim_Promotion!$A$2:$G$11,2,FALSE)</f>
        <v/>
      </c>
    </row>
    <row r="898">
      <c r="A898" s="4" t="inlineStr">
        <is>
          <t>SL0897</t>
        </is>
      </c>
      <c r="B898" t="inlineStr">
        <is>
          <t>O010449</t>
        </is>
      </c>
      <c r="C898" t="n">
        <v>20250913</v>
      </c>
      <c r="D898" s="4" t="inlineStr">
        <is>
          <t>C006</t>
        </is>
      </c>
      <c r="E898" s="4" t="inlineStr">
        <is>
          <t>P041</t>
        </is>
      </c>
      <c r="F898" t="inlineStr">
        <is>
          <t>M</t>
        </is>
      </c>
      <c r="G898" s="4" t="inlineStr">
        <is>
          <t>CH01</t>
        </is>
      </c>
      <c r="H898" s="4" t="inlineStr">
        <is>
          <t>PR00</t>
        </is>
      </c>
      <c r="I898" s="8" t="n">
        <v>79</v>
      </c>
      <c r="J898" s="9" t="n">
        <v>0</v>
      </c>
      <c r="K898" s="10">
        <f>I898*(1-J898)</f>
        <v/>
      </c>
      <c r="L898" s="11" t="n">
        <v>1</v>
      </c>
      <c r="M898" s="10">
        <f>K898*L898</f>
        <v/>
      </c>
      <c r="N898" s="8" t="n">
        <v>38.46</v>
      </c>
      <c r="O898" s="10">
        <f>N898*L898</f>
        <v/>
      </c>
      <c r="P898" s="10">
        <f>M898-O898</f>
        <v/>
      </c>
      <c r="Q898" s="11" t="inlineStr">
        <is>
          <t>No</t>
        </is>
      </c>
      <c r="R898" s="11" t="n">
        <v>0</v>
      </c>
      <c r="S898" s="10">
        <f>M898-(R898*K898)</f>
        <v/>
      </c>
      <c r="T898" s="12">
        <f>VLOOKUP(E898,Dim_Product!$A$2:$Q$61,3,FALSE)</f>
        <v/>
      </c>
      <c r="U898" s="12">
        <f>VLOOKUP(E898,Dim_Product!$A$2:$Q$61,4,FALSE)</f>
        <v/>
      </c>
      <c r="V898" s="12">
        <f>VLOOKUP(D898,Dim_Customer!$A$2:$I$121,6,FALSE)</f>
        <v/>
      </c>
      <c r="W898" s="12">
        <f>VLOOKUP(G898,Dim_Channel!$A$2:$B$5,2,FALSE)</f>
        <v/>
      </c>
      <c r="X898" s="12">
        <f>VLOOKUP(H898,Dim_Promotion!$A$2:$G$11,2,FALSE)</f>
        <v/>
      </c>
    </row>
    <row r="899">
      <c r="A899" s="4" t="inlineStr">
        <is>
          <t>SL0898</t>
        </is>
      </c>
      <c r="B899" t="inlineStr">
        <is>
          <t>O010449</t>
        </is>
      </c>
      <c r="C899" t="n">
        <v>20251022</v>
      </c>
      <c r="D899" s="4" t="inlineStr">
        <is>
          <t>C092</t>
        </is>
      </c>
      <c r="E899" s="4" t="inlineStr">
        <is>
          <t>P056</t>
        </is>
      </c>
      <c r="F899" t="inlineStr">
        <is>
          <t>M</t>
        </is>
      </c>
      <c r="G899" s="4" t="inlineStr">
        <is>
          <t>CH02</t>
        </is>
      </c>
      <c r="H899" s="4" t="inlineStr">
        <is>
          <t>PR00</t>
        </is>
      </c>
      <c r="I899" s="8" t="n">
        <v>66</v>
      </c>
      <c r="J899" s="9" t="n">
        <v>0</v>
      </c>
      <c r="K899" s="10">
        <f>I899*(1-J899)</f>
        <v/>
      </c>
      <c r="L899" s="11" t="n">
        <v>2</v>
      </c>
      <c r="M899" s="10">
        <f>K899*L899</f>
        <v/>
      </c>
      <c r="N899" s="8" t="n">
        <v>33.12</v>
      </c>
      <c r="O899" s="10">
        <f>N899*L899</f>
        <v/>
      </c>
      <c r="P899" s="10">
        <f>M899-O899</f>
        <v/>
      </c>
      <c r="Q899" s="11" t="inlineStr">
        <is>
          <t>No</t>
        </is>
      </c>
      <c r="R899" s="11" t="n">
        <v>0</v>
      </c>
      <c r="S899" s="10">
        <f>M899-(R899*K899)</f>
        <v/>
      </c>
      <c r="T899" s="12">
        <f>VLOOKUP(E899,Dim_Product!$A$2:$Q$61,3,FALSE)</f>
        <v/>
      </c>
      <c r="U899" s="12">
        <f>VLOOKUP(E899,Dim_Product!$A$2:$Q$61,4,FALSE)</f>
        <v/>
      </c>
      <c r="V899" s="12">
        <f>VLOOKUP(D899,Dim_Customer!$A$2:$I$121,6,FALSE)</f>
        <v/>
      </c>
      <c r="W899" s="12">
        <f>VLOOKUP(G899,Dim_Channel!$A$2:$B$5,2,FALSE)</f>
        <v/>
      </c>
      <c r="X899" s="12">
        <f>VLOOKUP(H899,Dim_Promotion!$A$2:$G$11,2,FALSE)</f>
        <v/>
      </c>
    </row>
    <row r="900">
      <c r="A900" s="4" t="inlineStr">
        <is>
          <t>SL0899</t>
        </is>
      </c>
      <c r="B900" t="inlineStr">
        <is>
          <t>O010450</t>
        </is>
      </c>
      <c r="C900" t="n">
        <v>20250403</v>
      </c>
      <c r="D900" s="4" t="inlineStr">
        <is>
          <t>C072</t>
        </is>
      </c>
      <c r="E900" s="4" t="inlineStr">
        <is>
          <t>P050</t>
        </is>
      </c>
      <c r="F900" t="inlineStr">
        <is>
          <t>L</t>
        </is>
      </c>
      <c r="G900" s="4" t="inlineStr">
        <is>
          <t>CH01</t>
        </is>
      </c>
      <c r="H900" s="4" t="inlineStr">
        <is>
          <t>PR00</t>
        </is>
      </c>
      <c r="I900" s="8" t="n">
        <v>64</v>
      </c>
      <c r="J900" s="9" t="n">
        <v>0</v>
      </c>
      <c r="K900" s="10">
        <f>I900*(1-J900)</f>
        <v/>
      </c>
      <c r="L900" s="11" t="n">
        <v>2</v>
      </c>
      <c r="M900" s="10">
        <f>K900*L900</f>
        <v/>
      </c>
      <c r="N900" s="8" t="n">
        <v>29.73</v>
      </c>
      <c r="O900" s="10">
        <f>N900*L900</f>
        <v/>
      </c>
      <c r="P900" s="10">
        <f>M900-O900</f>
        <v/>
      </c>
      <c r="Q900" s="11" t="inlineStr">
        <is>
          <t>No</t>
        </is>
      </c>
      <c r="R900" s="11" t="n">
        <v>0</v>
      </c>
      <c r="S900" s="10">
        <f>M900-(R900*K900)</f>
        <v/>
      </c>
      <c r="T900" s="12">
        <f>VLOOKUP(E900,Dim_Product!$A$2:$Q$61,3,FALSE)</f>
        <v/>
      </c>
      <c r="U900" s="12">
        <f>VLOOKUP(E900,Dim_Product!$A$2:$Q$61,4,FALSE)</f>
        <v/>
      </c>
      <c r="V900" s="12">
        <f>VLOOKUP(D900,Dim_Customer!$A$2:$I$121,6,FALSE)</f>
        <v/>
      </c>
      <c r="W900" s="12">
        <f>VLOOKUP(G900,Dim_Channel!$A$2:$B$5,2,FALSE)</f>
        <v/>
      </c>
      <c r="X900" s="12">
        <f>VLOOKUP(H900,Dim_Promotion!$A$2:$G$11,2,FALSE)</f>
        <v/>
      </c>
    </row>
    <row r="901">
      <c r="A901" s="4" t="inlineStr">
        <is>
          <t>SL0900</t>
        </is>
      </c>
      <c r="B901" t="inlineStr">
        <is>
          <t>O010450</t>
        </is>
      </c>
      <c r="C901" t="n">
        <v>20251108</v>
      </c>
      <c r="D901" s="4" t="inlineStr">
        <is>
          <t>C056</t>
        </is>
      </c>
      <c r="E901" s="4" t="inlineStr">
        <is>
          <t>P036</t>
        </is>
      </c>
      <c r="F901" t="inlineStr">
        <is>
          <t>S</t>
        </is>
      </c>
      <c r="G901" s="4" t="inlineStr">
        <is>
          <t>CH02</t>
        </is>
      </c>
      <c r="H901" s="4" t="inlineStr">
        <is>
          <t>PR00</t>
        </is>
      </c>
      <c r="I901" s="8" t="n">
        <v>90</v>
      </c>
      <c r="J901" s="9" t="n">
        <v>0</v>
      </c>
      <c r="K901" s="10">
        <f>I901*(1-J901)</f>
        <v/>
      </c>
      <c r="L901" s="11" t="n">
        <v>2</v>
      </c>
      <c r="M901" s="10">
        <f>K901*L901</f>
        <v/>
      </c>
      <c r="N901" s="8" t="n">
        <v>41.64</v>
      </c>
      <c r="O901" s="10">
        <f>N901*L901</f>
        <v/>
      </c>
      <c r="P901" s="10">
        <f>M901-O901</f>
        <v/>
      </c>
      <c r="Q901" s="11" t="inlineStr">
        <is>
          <t>No</t>
        </is>
      </c>
      <c r="R901" s="11" t="n">
        <v>0</v>
      </c>
      <c r="S901" s="10">
        <f>M901-(R901*K901)</f>
        <v/>
      </c>
      <c r="T901" s="12">
        <f>VLOOKUP(E901,Dim_Product!$A$2:$Q$61,3,FALSE)</f>
        <v/>
      </c>
      <c r="U901" s="12">
        <f>VLOOKUP(E901,Dim_Product!$A$2:$Q$61,4,FALSE)</f>
        <v/>
      </c>
      <c r="V901" s="12">
        <f>VLOOKUP(D901,Dim_Customer!$A$2:$I$121,6,FALSE)</f>
        <v/>
      </c>
      <c r="W901" s="12">
        <f>VLOOKUP(G901,Dim_Channel!$A$2:$B$5,2,FALSE)</f>
        <v/>
      </c>
      <c r="X901" s="12">
        <f>VLOOKUP(H901,Dim_Promotion!$A$2:$G$11,2,FALSE)</f>
        <v/>
      </c>
    </row>
    <row r="902">
      <c r="A902" s="4" t="inlineStr">
        <is>
          <t>SL0901</t>
        </is>
      </c>
      <c r="B902" t="inlineStr">
        <is>
          <t>O010451</t>
        </is>
      </c>
      <c r="C902" t="n">
        <v>20250519</v>
      </c>
      <c r="D902" s="4" t="inlineStr">
        <is>
          <t>C002</t>
        </is>
      </c>
      <c r="E902" s="4" t="inlineStr">
        <is>
          <t>P057</t>
        </is>
      </c>
      <c r="F902" t="inlineStr">
        <is>
          <t>XL</t>
        </is>
      </c>
      <c r="G902" s="4" t="inlineStr">
        <is>
          <t>CH04</t>
        </is>
      </c>
      <c r="H902" s="4" t="inlineStr">
        <is>
          <t>PR00</t>
        </is>
      </c>
      <c r="I902" s="8" t="n">
        <v>72</v>
      </c>
      <c r="J902" s="9" t="n">
        <v>0</v>
      </c>
      <c r="K902" s="10">
        <f>I902*(1-J902)</f>
        <v/>
      </c>
      <c r="L902" s="11" t="n">
        <v>1</v>
      </c>
      <c r="M902" s="10">
        <f>K902*L902</f>
        <v/>
      </c>
      <c r="N902" s="8" t="n">
        <v>34.62</v>
      </c>
      <c r="O902" s="10">
        <f>N902*L902</f>
        <v/>
      </c>
      <c r="P902" s="10">
        <f>M902-O902</f>
        <v/>
      </c>
      <c r="Q902" s="11" t="inlineStr">
        <is>
          <t>No</t>
        </is>
      </c>
      <c r="R902" s="11" t="n">
        <v>0</v>
      </c>
      <c r="S902" s="10">
        <f>M902-(R902*K902)</f>
        <v/>
      </c>
      <c r="T902" s="12">
        <f>VLOOKUP(E902,Dim_Product!$A$2:$Q$61,3,FALSE)</f>
        <v/>
      </c>
      <c r="U902" s="12">
        <f>VLOOKUP(E902,Dim_Product!$A$2:$Q$61,4,FALSE)</f>
        <v/>
      </c>
      <c r="V902" s="12">
        <f>VLOOKUP(D902,Dim_Customer!$A$2:$I$121,6,FALSE)</f>
        <v/>
      </c>
      <c r="W902" s="12">
        <f>VLOOKUP(G902,Dim_Channel!$A$2:$B$5,2,FALSE)</f>
        <v/>
      </c>
      <c r="X902" s="12">
        <f>VLOOKUP(H902,Dim_Promotion!$A$2:$G$11,2,FALSE)</f>
        <v/>
      </c>
    </row>
    <row r="903">
      <c r="A903" s="4" t="inlineStr">
        <is>
          <t>SL0902</t>
        </is>
      </c>
      <c r="B903" t="inlineStr">
        <is>
          <t>O010451</t>
        </is>
      </c>
      <c r="C903" t="n">
        <v>20250106</v>
      </c>
      <c r="D903" s="4" t="inlineStr">
        <is>
          <t>C081</t>
        </is>
      </c>
      <c r="E903" s="4" t="inlineStr">
        <is>
          <t>P011</t>
        </is>
      </c>
      <c r="F903" t="inlineStr">
        <is>
          <t>M</t>
        </is>
      </c>
      <c r="G903" s="4" t="inlineStr">
        <is>
          <t>CH04</t>
        </is>
      </c>
      <c r="H903" s="4" t="inlineStr">
        <is>
          <t>PR00</t>
        </is>
      </c>
      <c r="I903" s="8" t="n">
        <v>48</v>
      </c>
      <c r="J903" s="9" t="n">
        <v>0</v>
      </c>
      <c r="K903" s="10">
        <f>I903*(1-J903)</f>
        <v/>
      </c>
      <c r="L903" s="11" t="n">
        <v>1</v>
      </c>
      <c r="M903" s="10">
        <f>K903*L903</f>
        <v/>
      </c>
      <c r="N903" s="8" t="n">
        <v>19.79</v>
      </c>
      <c r="O903" s="10">
        <f>N903*L903</f>
        <v/>
      </c>
      <c r="P903" s="10">
        <f>M903-O903</f>
        <v/>
      </c>
      <c r="Q903" s="11" t="inlineStr">
        <is>
          <t>No</t>
        </is>
      </c>
      <c r="R903" s="11" t="n">
        <v>0</v>
      </c>
      <c r="S903" s="10">
        <f>M903-(R903*K903)</f>
        <v/>
      </c>
      <c r="T903" s="12">
        <f>VLOOKUP(E903,Dim_Product!$A$2:$Q$61,3,FALSE)</f>
        <v/>
      </c>
      <c r="U903" s="12">
        <f>VLOOKUP(E903,Dim_Product!$A$2:$Q$61,4,FALSE)</f>
        <v/>
      </c>
      <c r="V903" s="12">
        <f>VLOOKUP(D903,Dim_Customer!$A$2:$I$121,6,FALSE)</f>
        <v/>
      </c>
      <c r="W903" s="12">
        <f>VLOOKUP(G903,Dim_Channel!$A$2:$B$5,2,FALSE)</f>
        <v/>
      </c>
      <c r="X903" s="12">
        <f>VLOOKUP(H903,Dim_Promotion!$A$2:$G$11,2,FALSE)</f>
        <v/>
      </c>
    </row>
    <row r="904">
      <c r="A904" s="4" t="inlineStr">
        <is>
          <t>SL0903</t>
        </is>
      </c>
      <c r="B904" t="inlineStr">
        <is>
          <t>O010452</t>
        </is>
      </c>
      <c r="C904" t="n">
        <v>20250504</v>
      </c>
      <c r="D904" s="4" t="inlineStr">
        <is>
          <t>C088</t>
        </is>
      </c>
      <c r="E904" s="4" t="inlineStr">
        <is>
          <t>P004</t>
        </is>
      </c>
      <c r="F904" t="inlineStr">
        <is>
          <t>S</t>
        </is>
      </c>
      <c r="G904" s="4" t="inlineStr">
        <is>
          <t>CH03</t>
        </is>
      </c>
      <c r="H904" s="4" t="inlineStr">
        <is>
          <t>PR00</t>
        </is>
      </c>
      <c r="I904" s="8" t="n">
        <v>42</v>
      </c>
      <c r="J904" s="9" t="n">
        <v>0</v>
      </c>
      <c r="K904" s="10">
        <f>I904*(1-J904)</f>
        <v/>
      </c>
      <c r="L904" s="11" t="n">
        <v>1</v>
      </c>
      <c r="M904" s="10">
        <f>K904*L904</f>
        <v/>
      </c>
      <c r="N904" s="8" t="n">
        <v>18.78</v>
      </c>
      <c r="O904" s="10">
        <f>N904*L904</f>
        <v/>
      </c>
      <c r="P904" s="10">
        <f>M904-O904</f>
        <v/>
      </c>
      <c r="Q904" s="11" t="inlineStr">
        <is>
          <t>No</t>
        </is>
      </c>
      <c r="R904" s="11" t="n">
        <v>0</v>
      </c>
      <c r="S904" s="10">
        <f>M904-(R904*K904)</f>
        <v/>
      </c>
      <c r="T904" s="12">
        <f>VLOOKUP(E904,Dim_Product!$A$2:$Q$61,3,FALSE)</f>
        <v/>
      </c>
      <c r="U904" s="12">
        <f>VLOOKUP(E904,Dim_Product!$A$2:$Q$61,4,FALSE)</f>
        <v/>
      </c>
      <c r="V904" s="12">
        <f>VLOOKUP(D904,Dim_Customer!$A$2:$I$121,6,FALSE)</f>
        <v/>
      </c>
      <c r="W904" s="12">
        <f>VLOOKUP(G904,Dim_Channel!$A$2:$B$5,2,FALSE)</f>
        <v/>
      </c>
      <c r="X904" s="12">
        <f>VLOOKUP(H904,Dim_Promotion!$A$2:$G$11,2,FALSE)</f>
        <v/>
      </c>
    </row>
    <row r="905">
      <c r="A905" s="4" t="inlineStr">
        <is>
          <t>SL0904</t>
        </is>
      </c>
      <c r="B905" t="inlineStr">
        <is>
          <t>O010452</t>
        </is>
      </c>
      <c r="C905" t="n">
        <v>20250413</v>
      </c>
      <c r="D905" s="4" t="inlineStr">
        <is>
          <t>C001</t>
        </is>
      </c>
      <c r="E905" s="4" t="inlineStr">
        <is>
          <t>P045</t>
        </is>
      </c>
      <c r="F905" t="inlineStr">
        <is>
          <t>S</t>
        </is>
      </c>
      <c r="G905" s="4" t="inlineStr">
        <is>
          <t>CH04</t>
        </is>
      </c>
      <c r="H905" s="4" t="inlineStr">
        <is>
          <t>PR00</t>
        </is>
      </c>
      <c r="I905" s="8" t="n">
        <v>68</v>
      </c>
      <c r="J905" s="9" t="n">
        <v>0.08</v>
      </c>
      <c r="K905" s="10">
        <f>I905*(1-J905)</f>
        <v/>
      </c>
      <c r="L905" s="11" t="n">
        <v>1</v>
      </c>
      <c r="M905" s="10">
        <f>K905*L905</f>
        <v/>
      </c>
      <c r="N905" s="8" t="n">
        <v>32.9</v>
      </c>
      <c r="O905" s="10">
        <f>N905*L905</f>
        <v/>
      </c>
      <c r="P905" s="10">
        <f>M905-O905</f>
        <v/>
      </c>
      <c r="Q905" s="11" t="inlineStr">
        <is>
          <t>No</t>
        </is>
      </c>
      <c r="R905" s="11" t="n">
        <v>0</v>
      </c>
      <c r="S905" s="10">
        <f>M905-(R905*K905)</f>
        <v/>
      </c>
      <c r="T905" s="12">
        <f>VLOOKUP(E905,Dim_Product!$A$2:$Q$61,3,FALSE)</f>
        <v/>
      </c>
      <c r="U905" s="12">
        <f>VLOOKUP(E905,Dim_Product!$A$2:$Q$61,4,FALSE)</f>
        <v/>
      </c>
      <c r="V905" s="12">
        <f>VLOOKUP(D905,Dim_Customer!$A$2:$I$121,6,FALSE)</f>
        <v/>
      </c>
      <c r="W905" s="12">
        <f>VLOOKUP(G905,Dim_Channel!$A$2:$B$5,2,FALSE)</f>
        <v/>
      </c>
      <c r="X905" s="12">
        <f>VLOOKUP(H905,Dim_Promotion!$A$2:$G$11,2,FALSE)</f>
        <v/>
      </c>
    </row>
    <row r="906">
      <c r="A906" s="4" t="inlineStr">
        <is>
          <t>SL0905</t>
        </is>
      </c>
      <c r="B906" t="inlineStr">
        <is>
          <t>O010453</t>
        </is>
      </c>
      <c r="C906" t="n">
        <v>20250624</v>
      </c>
      <c r="D906" s="4" t="inlineStr">
        <is>
          <t>C031</t>
        </is>
      </c>
      <c r="E906" s="4" t="inlineStr">
        <is>
          <t>P040</t>
        </is>
      </c>
      <c r="F906" t="inlineStr">
        <is>
          <t>S</t>
        </is>
      </c>
      <c r="G906" s="4" t="inlineStr">
        <is>
          <t>CH04</t>
        </is>
      </c>
      <c r="H906" s="4" t="inlineStr">
        <is>
          <t>PR00</t>
        </is>
      </c>
      <c r="I906" s="8" t="n">
        <v>70</v>
      </c>
      <c r="J906" s="9" t="n">
        <v>0</v>
      </c>
      <c r="K906" s="10">
        <f>I906*(1-J906)</f>
        <v/>
      </c>
      <c r="L906" s="11" t="n">
        <v>1</v>
      </c>
      <c r="M906" s="10">
        <f>K906*L906</f>
        <v/>
      </c>
      <c r="N906" s="8" t="n">
        <v>35.11</v>
      </c>
      <c r="O906" s="10">
        <f>N906*L906</f>
        <v/>
      </c>
      <c r="P906" s="10">
        <f>M906-O906</f>
        <v/>
      </c>
      <c r="Q906" s="11" t="inlineStr">
        <is>
          <t>No</t>
        </is>
      </c>
      <c r="R906" s="11" t="n">
        <v>0</v>
      </c>
      <c r="S906" s="10">
        <f>M906-(R906*K906)</f>
        <v/>
      </c>
      <c r="T906" s="12">
        <f>VLOOKUP(E906,Dim_Product!$A$2:$Q$61,3,FALSE)</f>
        <v/>
      </c>
      <c r="U906" s="12">
        <f>VLOOKUP(E906,Dim_Product!$A$2:$Q$61,4,FALSE)</f>
        <v/>
      </c>
      <c r="V906" s="12">
        <f>VLOOKUP(D906,Dim_Customer!$A$2:$I$121,6,FALSE)</f>
        <v/>
      </c>
      <c r="W906" s="12">
        <f>VLOOKUP(G906,Dim_Channel!$A$2:$B$5,2,FALSE)</f>
        <v/>
      </c>
      <c r="X906" s="12">
        <f>VLOOKUP(H906,Dim_Promotion!$A$2:$G$11,2,FALSE)</f>
        <v/>
      </c>
    </row>
    <row r="907">
      <c r="A907" s="4" t="inlineStr">
        <is>
          <t>SL0906</t>
        </is>
      </c>
      <c r="B907" t="inlineStr">
        <is>
          <t>O010453</t>
        </is>
      </c>
      <c r="C907" t="n">
        <v>20250524</v>
      </c>
      <c r="D907" s="4" t="inlineStr">
        <is>
          <t>C023</t>
        </is>
      </c>
      <c r="E907" s="4" t="inlineStr">
        <is>
          <t>P058</t>
        </is>
      </c>
      <c r="F907" t="inlineStr">
        <is>
          <t>M</t>
        </is>
      </c>
      <c r="G907" s="4" t="inlineStr">
        <is>
          <t>CH02</t>
        </is>
      </c>
      <c r="H907" s="4" t="inlineStr">
        <is>
          <t>PR00</t>
        </is>
      </c>
      <c r="I907" s="8" t="n">
        <v>75</v>
      </c>
      <c r="J907" s="9" t="n">
        <v>0</v>
      </c>
      <c r="K907" s="10">
        <f>I907*(1-J907)</f>
        <v/>
      </c>
      <c r="L907" s="11" t="n">
        <v>2</v>
      </c>
      <c r="M907" s="10">
        <f>K907*L907</f>
        <v/>
      </c>
      <c r="N907" s="8" t="n">
        <v>35.59</v>
      </c>
      <c r="O907" s="10">
        <f>N907*L907</f>
        <v/>
      </c>
      <c r="P907" s="10">
        <f>M907-O907</f>
        <v/>
      </c>
      <c r="Q907" s="11" t="inlineStr">
        <is>
          <t>No</t>
        </is>
      </c>
      <c r="R907" s="11" t="n">
        <v>0</v>
      </c>
      <c r="S907" s="10">
        <f>M907-(R907*K907)</f>
        <v/>
      </c>
      <c r="T907" s="12">
        <f>VLOOKUP(E907,Dim_Product!$A$2:$Q$61,3,FALSE)</f>
        <v/>
      </c>
      <c r="U907" s="12">
        <f>VLOOKUP(E907,Dim_Product!$A$2:$Q$61,4,FALSE)</f>
        <v/>
      </c>
      <c r="V907" s="12">
        <f>VLOOKUP(D907,Dim_Customer!$A$2:$I$121,6,FALSE)</f>
        <v/>
      </c>
      <c r="W907" s="12">
        <f>VLOOKUP(G907,Dim_Channel!$A$2:$B$5,2,FALSE)</f>
        <v/>
      </c>
      <c r="X907" s="12">
        <f>VLOOKUP(H907,Dim_Promotion!$A$2:$G$11,2,FALSE)</f>
        <v/>
      </c>
    </row>
    <row r="908">
      <c r="A908" s="4" t="inlineStr">
        <is>
          <t>SL0907</t>
        </is>
      </c>
      <c r="B908" t="inlineStr">
        <is>
          <t>O010454</t>
        </is>
      </c>
      <c r="C908" t="n">
        <v>20251018</v>
      </c>
      <c r="D908" s="4" t="inlineStr">
        <is>
          <t>C110</t>
        </is>
      </c>
      <c r="E908" s="4" t="inlineStr">
        <is>
          <t>P013</t>
        </is>
      </c>
      <c r="F908" t="inlineStr">
        <is>
          <t>XL</t>
        </is>
      </c>
      <c r="G908" s="4" t="inlineStr">
        <is>
          <t>CH01</t>
        </is>
      </c>
      <c r="H908" s="4" t="inlineStr">
        <is>
          <t>PR00</t>
        </is>
      </c>
      <c r="I908" s="8" t="n">
        <v>61</v>
      </c>
      <c r="J908" s="9" t="n">
        <v>0</v>
      </c>
      <c r="K908" s="10">
        <f>I908*(1-J908)</f>
        <v/>
      </c>
      <c r="L908" s="11" t="n">
        <v>1</v>
      </c>
      <c r="M908" s="10">
        <f>K908*L908</f>
        <v/>
      </c>
      <c r="N908" s="8" t="n">
        <v>26.19</v>
      </c>
      <c r="O908" s="10">
        <f>N908*L908</f>
        <v/>
      </c>
      <c r="P908" s="10">
        <f>M908-O908</f>
        <v/>
      </c>
      <c r="Q908" s="11" t="inlineStr">
        <is>
          <t>No</t>
        </is>
      </c>
      <c r="R908" s="11" t="n">
        <v>0</v>
      </c>
      <c r="S908" s="10">
        <f>M908-(R908*K908)</f>
        <v/>
      </c>
      <c r="T908" s="12">
        <f>VLOOKUP(E908,Dim_Product!$A$2:$Q$61,3,FALSE)</f>
        <v/>
      </c>
      <c r="U908" s="12">
        <f>VLOOKUP(E908,Dim_Product!$A$2:$Q$61,4,FALSE)</f>
        <v/>
      </c>
      <c r="V908" s="12">
        <f>VLOOKUP(D908,Dim_Customer!$A$2:$I$121,6,FALSE)</f>
        <v/>
      </c>
      <c r="W908" s="12">
        <f>VLOOKUP(G908,Dim_Channel!$A$2:$B$5,2,FALSE)</f>
        <v/>
      </c>
      <c r="X908" s="12">
        <f>VLOOKUP(H908,Dim_Promotion!$A$2:$G$11,2,FALSE)</f>
        <v/>
      </c>
    </row>
    <row r="909">
      <c r="A909" s="4" t="inlineStr">
        <is>
          <t>SL0908</t>
        </is>
      </c>
      <c r="B909" t="inlineStr">
        <is>
          <t>O010454</t>
        </is>
      </c>
      <c r="C909" t="n">
        <v>20250711</v>
      </c>
      <c r="D909" s="4" t="inlineStr">
        <is>
          <t>C042</t>
        </is>
      </c>
      <c r="E909" s="4" t="inlineStr">
        <is>
          <t>P039</t>
        </is>
      </c>
      <c r="F909" t="inlineStr">
        <is>
          <t>M</t>
        </is>
      </c>
      <c r="G909" s="4" t="inlineStr">
        <is>
          <t>CH02</t>
        </is>
      </c>
      <c r="H909" s="4" t="inlineStr">
        <is>
          <t>PR00</t>
        </is>
      </c>
      <c r="I909" s="8" t="n">
        <v>76</v>
      </c>
      <c r="J909" s="9" t="n">
        <v>0</v>
      </c>
      <c r="K909" s="10">
        <f>I909*(1-J909)</f>
        <v/>
      </c>
      <c r="L909" s="11" t="n">
        <v>1</v>
      </c>
      <c r="M909" s="10">
        <f>K909*L909</f>
        <v/>
      </c>
      <c r="N909" s="8" t="n">
        <v>37.17</v>
      </c>
      <c r="O909" s="10">
        <f>N909*L909</f>
        <v/>
      </c>
      <c r="P909" s="10">
        <f>M909-O909</f>
        <v/>
      </c>
      <c r="Q909" s="11" t="inlineStr">
        <is>
          <t>No</t>
        </is>
      </c>
      <c r="R909" s="11" t="n">
        <v>0</v>
      </c>
      <c r="S909" s="10">
        <f>M909-(R909*K909)</f>
        <v/>
      </c>
      <c r="T909" s="12">
        <f>VLOOKUP(E909,Dim_Product!$A$2:$Q$61,3,FALSE)</f>
        <v/>
      </c>
      <c r="U909" s="12">
        <f>VLOOKUP(E909,Dim_Product!$A$2:$Q$61,4,FALSE)</f>
        <v/>
      </c>
      <c r="V909" s="12">
        <f>VLOOKUP(D909,Dim_Customer!$A$2:$I$121,6,FALSE)</f>
        <v/>
      </c>
      <c r="W909" s="12">
        <f>VLOOKUP(G909,Dim_Channel!$A$2:$B$5,2,FALSE)</f>
        <v/>
      </c>
      <c r="X909" s="12">
        <f>VLOOKUP(H909,Dim_Promotion!$A$2:$G$11,2,FALSE)</f>
        <v/>
      </c>
    </row>
    <row r="910">
      <c r="A910" s="4" t="inlineStr">
        <is>
          <t>SL0909</t>
        </is>
      </c>
      <c r="B910" t="inlineStr">
        <is>
          <t>O010455</t>
        </is>
      </c>
      <c r="C910" t="n">
        <v>20250829</v>
      </c>
      <c r="D910" s="4" t="inlineStr">
        <is>
          <t>C060</t>
        </is>
      </c>
      <c r="E910" s="4" t="inlineStr">
        <is>
          <t>P023</t>
        </is>
      </c>
      <c r="F910" t="inlineStr">
        <is>
          <t>M</t>
        </is>
      </c>
      <c r="G910" s="4" t="inlineStr">
        <is>
          <t>CH01</t>
        </is>
      </c>
      <c r="H910" s="4" t="inlineStr">
        <is>
          <t>PR00</t>
        </is>
      </c>
      <c r="I910" s="8" t="n">
        <v>56</v>
      </c>
      <c r="J910" s="9" t="n">
        <v>0</v>
      </c>
      <c r="K910" s="10">
        <f>I910*(1-J910)</f>
        <v/>
      </c>
      <c r="L910" s="11" t="n">
        <v>2</v>
      </c>
      <c r="M910" s="10">
        <f>K910*L910</f>
        <v/>
      </c>
      <c r="N910" s="8" t="n">
        <v>26.97</v>
      </c>
      <c r="O910" s="10">
        <f>N910*L910</f>
        <v/>
      </c>
      <c r="P910" s="10">
        <f>M910-O910</f>
        <v/>
      </c>
      <c r="Q910" s="11" t="inlineStr">
        <is>
          <t>No</t>
        </is>
      </c>
      <c r="R910" s="11" t="n">
        <v>0</v>
      </c>
      <c r="S910" s="10">
        <f>M910-(R910*K910)</f>
        <v/>
      </c>
      <c r="T910" s="12">
        <f>VLOOKUP(E910,Dim_Product!$A$2:$Q$61,3,FALSE)</f>
        <v/>
      </c>
      <c r="U910" s="12">
        <f>VLOOKUP(E910,Dim_Product!$A$2:$Q$61,4,FALSE)</f>
        <v/>
      </c>
      <c r="V910" s="12">
        <f>VLOOKUP(D910,Dim_Customer!$A$2:$I$121,6,FALSE)</f>
        <v/>
      </c>
      <c r="W910" s="12">
        <f>VLOOKUP(G910,Dim_Channel!$A$2:$B$5,2,FALSE)</f>
        <v/>
      </c>
      <c r="X910" s="12">
        <f>VLOOKUP(H910,Dim_Promotion!$A$2:$G$11,2,FALSE)</f>
        <v/>
      </c>
    </row>
    <row r="911">
      <c r="A911" s="4" t="inlineStr">
        <is>
          <t>SL0910</t>
        </is>
      </c>
      <c r="B911" t="inlineStr">
        <is>
          <t>O010455</t>
        </is>
      </c>
      <c r="C911" t="n">
        <v>20250607</v>
      </c>
      <c r="D911" s="4" t="inlineStr">
        <is>
          <t>C028</t>
        </is>
      </c>
      <c r="E911" s="4" t="inlineStr">
        <is>
          <t>P039</t>
        </is>
      </c>
      <c r="F911" t="inlineStr">
        <is>
          <t>S</t>
        </is>
      </c>
      <c r="G911" s="4" t="inlineStr">
        <is>
          <t>CH04</t>
        </is>
      </c>
      <c r="H911" s="4" t="inlineStr">
        <is>
          <t>PR00</t>
        </is>
      </c>
      <c r="I911" s="8" t="n">
        <v>76</v>
      </c>
      <c r="J911" s="9" t="n">
        <v>0</v>
      </c>
      <c r="K911" s="10">
        <f>I911*(1-J911)</f>
        <v/>
      </c>
      <c r="L911" s="11" t="n">
        <v>1</v>
      </c>
      <c r="M911" s="10">
        <f>K911*L911</f>
        <v/>
      </c>
      <c r="N911" s="8" t="n">
        <v>35.87</v>
      </c>
      <c r="O911" s="10">
        <f>N911*L911</f>
        <v/>
      </c>
      <c r="P911" s="10">
        <f>M911-O911</f>
        <v/>
      </c>
      <c r="Q911" s="11" t="inlineStr">
        <is>
          <t>No</t>
        </is>
      </c>
      <c r="R911" s="11" t="n">
        <v>0</v>
      </c>
      <c r="S911" s="10">
        <f>M911-(R911*K911)</f>
        <v/>
      </c>
      <c r="T911" s="12">
        <f>VLOOKUP(E911,Dim_Product!$A$2:$Q$61,3,FALSE)</f>
        <v/>
      </c>
      <c r="U911" s="12">
        <f>VLOOKUP(E911,Dim_Product!$A$2:$Q$61,4,FALSE)</f>
        <v/>
      </c>
      <c r="V911" s="12">
        <f>VLOOKUP(D911,Dim_Customer!$A$2:$I$121,6,FALSE)</f>
        <v/>
      </c>
      <c r="W911" s="12">
        <f>VLOOKUP(G911,Dim_Channel!$A$2:$B$5,2,FALSE)</f>
        <v/>
      </c>
      <c r="X911" s="12">
        <f>VLOOKUP(H911,Dim_Promotion!$A$2:$G$11,2,FALSE)</f>
        <v/>
      </c>
    </row>
    <row r="912">
      <c r="A912" s="4" t="inlineStr">
        <is>
          <t>SL0911</t>
        </is>
      </c>
      <c r="B912" t="inlineStr">
        <is>
          <t>O010456</t>
        </is>
      </c>
      <c r="C912" t="n">
        <v>20250805</v>
      </c>
      <c r="D912" s="4" t="inlineStr">
        <is>
          <t>C083</t>
        </is>
      </c>
      <c r="E912" s="4" t="inlineStr">
        <is>
          <t>P011</t>
        </is>
      </c>
      <c r="F912" t="inlineStr">
        <is>
          <t>M</t>
        </is>
      </c>
      <c r="G912" s="4" t="inlineStr">
        <is>
          <t>CH04</t>
        </is>
      </c>
      <c r="H912" s="4" t="inlineStr">
        <is>
          <t>PR00</t>
        </is>
      </c>
      <c r="I912" s="8" t="n">
        <v>46</v>
      </c>
      <c r="J912" s="9" t="n">
        <v>0</v>
      </c>
      <c r="K912" s="10">
        <f>I912*(1-J912)</f>
        <v/>
      </c>
      <c r="L912" s="11" t="n">
        <v>1</v>
      </c>
      <c r="M912" s="10">
        <f>K912*L912</f>
        <v/>
      </c>
      <c r="N912" s="8" t="n">
        <v>20.52</v>
      </c>
      <c r="O912" s="10">
        <f>N912*L912</f>
        <v/>
      </c>
      <c r="P912" s="10">
        <f>M912-O912</f>
        <v/>
      </c>
      <c r="Q912" s="11" t="inlineStr">
        <is>
          <t>No</t>
        </is>
      </c>
      <c r="R912" s="11" t="n">
        <v>0</v>
      </c>
      <c r="S912" s="10">
        <f>M912-(R912*K912)</f>
        <v/>
      </c>
      <c r="T912" s="12">
        <f>VLOOKUP(E912,Dim_Product!$A$2:$Q$61,3,FALSE)</f>
        <v/>
      </c>
      <c r="U912" s="12">
        <f>VLOOKUP(E912,Dim_Product!$A$2:$Q$61,4,FALSE)</f>
        <v/>
      </c>
      <c r="V912" s="12">
        <f>VLOOKUP(D912,Dim_Customer!$A$2:$I$121,6,FALSE)</f>
        <v/>
      </c>
      <c r="W912" s="12">
        <f>VLOOKUP(G912,Dim_Channel!$A$2:$B$5,2,FALSE)</f>
        <v/>
      </c>
      <c r="X912" s="12">
        <f>VLOOKUP(H912,Dim_Promotion!$A$2:$G$11,2,FALSE)</f>
        <v/>
      </c>
    </row>
    <row r="913">
      <c r="A913" s="4" t="inlineStr">
        <is>
          <t>SL0912</t>
        </is>
      </c>
      <c r="B913" t="inlineStr">
        <is>
          <t>O010456</t>
        </is>
      </c>
      <c r="C913" t="n">
        <v>20250902</v>
      </c>
      <c r="D913" s="4" t="inlineStr">
        <is>
          <t>C087</t>
        </is>
      </c>
      <c r="E913" s="4" t="inlineStr">
        <is>
          <t>P005</t>
        </is>
      </c>
      <c r="F913" t="inlineStr">
        <is>
          <t>S</t>
        </is>
      </c>
      <c r="G913" s="4" t="inlineStr">
        <is>
          <t>CH04</t>
        </is>
      </c>
      <c r="H913" s="4" t="inlineStr">
        <is>
          <t>PR00</t>
        </is>
      </c>
      <c r="I913" s="8" t="n">
        <v>50</v>
      </c>
      <c r="J913" s="9" t="n">
        <v>0</v>
      </c>
      <c r="K913" s="10">
        <f>I913*(1-J913)</f>
        <v/>
      </c>
      <c r="L913" s="11" t="n">
        <v>1</v>
      </c>
      <c r="M913" s="10">
        <f>K913*L913</f>
        <v/>
      </c>
      <c r="N913" s="8" t="n">
        <v>20.68</v>
      </c>
      <c r="O913" s="10">
        <f>N913*L913</f>
        <v/>
      </c>
      <c r="P913" s="10">
        <f>M913-O913</f>
        <v/>
      </c>
      <c r="Q913" s="11" t="inlineStr">
        <is>
          <t>No</t>
        </is>
      </c>
      <c r="R913" s="11" t="n">
        <v>0</v>
      </c>
      <c r="S913" s="10">
        <f>M913-(R913*K913)</f>
        <v/>
      </c>
      <c r="T913" s="12">
        <f>VLOOKUP(E913,Dim_Product!$A$2:$Q$61,3,FALSE)</f>
        <v/>
      </c>
      <c r="U913" s="12">
        <f>VLOOKUP(E913,Dim_Product!$A$2:$Q$61,4,FALSE)</f>
        <v/>
      </c>
      <c r="V913" s="12">
        <f>VLOOKUP(D913,Dim_Customer!$A$2:$I$121,6,FALSE)</f>
        <v/>
      </c>
      <c r="W913" s="12">
        <f>VLOOKUP(G913,Dim_Channel!$A$2:$B$5,2,FALSE)</f>
        <v/>
      </c>
      <c r="X913" s="12">
        <f>VLOOKUP(H913,Dim_Promotion!$A$2:$G$11,2,FALSE)</f>
        <v/>
      </c>
    </row>
    <row r="914">
      <c r="A914" s="4" t="inlineStr">
        <is>
          <t>SL0913</t>
        </is>
      </c>
      <c r="B914" t="inlineStr">
        <is>
          <t>O010457</t>
        </is>
      </c>
      <c r="C914" t="n">
        <v>20250307</v>
      </c>
      <c r="D914" s="4" t="inlineStr">
        <is>
          <t>C040</t>
        </is>
      </c>
      <c r="E914" s="4" t="inlineStr">
        <is>
          <t>P050</t>
        </is>
      </c>
      <c r="F914" t="inlineStr">
        <is>
          <t>XL</t>
        </is>
      </c>
      <c r="G914" s="4" t="inlineStr">
        <is>
          <t>CH04</t>
        </is>
      </c>
      <c r="H914" s="4" t="inlineStr">
        <is>
          <t>PR00</t>
        </is>
      </c>
      <c r="I914" s="8" t="n">
        <v>66</v>
      </c>
      <c r="J914" s="9" t="n">
        <v>0</v>
      </c>
      <c r="K914" s="10">
        <f>I914*(1-J914)</f>
        <v/>
      </c>
      <c r="L914" s="11" t="n">
        <v>1</v>
      </c>
      <c r="M914" s="10">
        <f>K914*L914</f>
        <v/>
      </c>
      <c r="N914" s="8" t="n">
        <v>29.58</v>
      </c>
      <c r="O914" s="10">
        <f>N914*L914</f>
        <v/>
      </c>
      <c r="P914" s="10">
        <f>M914-O914</f>
        <v/>
      </c>
      <c r="Q914" s="11" t="inlineStr">
        <is>
          <t>No</t>
        </is>
      </c>
      <c r="R914" s="11" t="n">
        <v>0</v>
      </c>
      <c r="S914" s="10">
        <f>M914-(R914*K914)</f>
        <v/>
      </c>
      <c r="T914" s="12">
        <f>VLOOKUP(E914,Dim_Product!$A$2:$Q$61,3,FALSE)</f>
        <v/>
      </c>
      <c r="U914" s="12">
        <f>VLOOKUP(E914,Dim_Product!$A$2:$Q$61,4,FALSE)</f>
        <v/>
      </c>
      <c r="V914" s="12">
        <f>VLOOKUP(D914,Dim_Customer!$A$2:$I$121,6,FALSE)</f>
        <v/>
      </c>
      <c r="W914" s="12">
        <f>VLOOKUP(G914,Dim_Channel!$A$2:$B$5,2,FALSE)</f>
        <v/>
      </c>
      <c r="X914" s="12">
        <f>VLOOKUP(H914,Dim_Promotion!$A$2:$G$11,2,FALSE)</f>
        <v/>
      </c>
    </row>
    <row r="915">
      <c r="A915" s="4" t="inlineStr">
        <is>
          <t>SL0914</t>
        </is>
      </c>
      <c r="B915" t="inlineStr">
        <is>
          <t>O010457</t>
        </is>
      </c>
      <c r="C915" t="n">
        <v>20251205</v>
      </c>
      <c r="D915" s="4" t="inlineStr">
        <is>
          <t>C021</t>
        </is>
      </c>
      <c r="E915" s="4" t="inlineStr">
        <is>
          <t>P023</t>
        </is>
      </c>
      <c r="F915" t="inlineStr">
        <is>
          <t>L</t>
        </is>
      </c>
      <c r="G915" s="4" t="inlineStr">
        <is>
          <t>CH01</t>
        </is>
      </c>
      <c r="H915" s="4" t="inlineStr">
        <is>
          <t>PR00</t>
        </is>
      </c>
      <c r="I915" s="8" t="n">
        <v>56</v>
      </c>
      <c r="J915" s="9" t="n">
        <v>0</v>
      </c>
      <c r="K915" s="10">
        <f>I915*(1-J915)</f>
        <v/>
      </c>
      <c r="L915" s="11" t="n">
        <v>1</v>
      </c>
      <c r="M915" s="10">
        <f>K915*L915</f>
        <v/>
      </c>
      <c r="N915" s="8" t="n">
        <v>26.89</v>
      </c>
      <c r="O915" s="10">
        <f>N915*L915</f>
        <v/>
      </c>
      <c r="P915" s="10">
        <f>M915-O915</f>
        <v/>
      </c>
      <c r="Q915" s="11" t="inlineStr">
        <is>
          <t>No</t>
        </is>
      </c>
      <c r="R915" s="11" t="n">
        <v>0</v>
      </c>
      <c r="S915" s="10">
        <f>M915-(R915*K915)</f>
        <v/>
      </c>
      <c r="T915" s="12">
        <f>VLOOKUP(E915,Dim_Product!$A$2:$Q$61,3,FALSE)</f>
        <v/>
      </c>
      <c r="U915" s="12">
        <f>VLOOKUP(E915,Dim_Product!$A$2:$Q$61,4,FALSE)</f>
        <v/>
      </c>
      <c r="V915" s="12">
        <f>VLOOKUP(D915,Dim_Customer!$A$2:$I$121,6,FALSE)</f>
        <v/>
      </c>
      <c r="W915" s="12">
        <f>VLOOKUP(G915,Dim_Channel!$A$2:$B$5,2,FALSE)</f>
        <v/>
      </c>
      <c r="X915" s="12">
        <f>VLOOKUP(H915,Dim_Promotion!$A$2:$G$11,2,FALSE)</f>
        <v/>
      </c>
    </row>
    <row r="916">
      <c r="A916" s="4" t="inlineStr">
        <is>
          <t>SL0915</t>
        </is>
      </c>
      <c r="B916" t="inlineStr">
        <is>
          <t>O010458</t>
        </is>
      </c>
      <c r="C916" t="n">
        <v>20250905</v>
      </c>
      <c r="D916" s="4" t="inlineStr">
        <is>
          <t>C117</t>
        </is>
      </c>
      <c r="E916" s="4" t="inlineStr">
        <is>
          <t>P025</t>
        </is>
      </c>
      <c r="F916" t="inlineStr">
        <is>
          <t>S</t>
        </is>
      </c>
      <c r="G916" s="4" t="inlineStr">
        <is>
          <t>CH01</t>
        </is>
      </c>
      <c r="H916" s="4" t="inlineStr">
        <is>
          <t>PR00</t>
        </is>
      </c>
      <c r="I916" s="8" t="n">
        <v>93</v>
      </c>
      <c r="J916" s="9" t="n">
        <v>0</v>
      </c>
      <c r="K916" s="10">
        <f>I916*(1-J916)</f>
        <v/>
      </c>
      <c r="L916" s="11" t="n">
        <v>1</v>
      </c>
      <c r="M916" s="10">
        <f>K916*L916</f>
        <v/>
      </c>
      <c r="N916" s="8" t="n">
        <v>46.77</v>
      </c>
      <c r="O916" s="10">
        <f>N916*L916</f>
        <v/>
      </c>
      <c r="P916" s="10">
        <f>M916-O916</f>
        <v/>
      </c>
      <c r="Q916" s="11" t="inlineStr">
        <is>
          <t>No</t>
        </is>
      </c>
      <c r="R916" s="11" t="n">
        <v>0</v>
      </c>
      <c r="S916" s="10">
        <f>M916-(R916*K916)</f>
        <v/>
      </c>
      <c r="T916" s="12">
        <f>VLOOKUP(E916,Dim_Product!$A$2:$Q$61,3,FALSE)</f>
        <v/>
      </c>
      <c r="U916" s="12">
        <f>VLOOKUP(E916,Dim_Product!$A$2:$Q$61,4,FALSE)</f>
        <v/>
      </c>
      <c r="V916" s="12">
        <f>VLOOKUP(D916,Dim_Customer!$A$2:$I$121,6,FALSE)</f>
        <v/>
      </c>
      <c r="W916" s="12">
        <f>VLOOKUP(G916,Dim_Channel!$A$2:$B$5,2,FALSE)</f>
        <v/>
      </c>
      <c r="X916" s="12">
        <f>VLOOKUP(H916,Dim_Promotion!$A$2:$G$11,2,FALSE)</f>
        <v/>
      </c>
    </row>
    <row r="917">
      <c r="A917" s="4" t="inlineStr">
        <is>
          <t>SL0916</t>
        </is>
      </c>
      <c r="B917" t="inlineStr">
        <is>
          <t>O010458</t>
        </is>
      </c>
      <c r="C917" t="n">
        <v>20250619</v>
      </c>
      <c r="D917" s="4" t="inlineStr">
        <is>
          <t>C024</t>
        </is>
      </c>
      <c r="E917" s="4" t="inlineStr">
        <is>
          <t>P025</t>
        </is>
      </c>
      <c r="F917" t="inlineStr">
        <is>
          <t>L</t>
        </is>
      </c>
      <c r="G917" s="4" t="inlineStr">
        <is>
          <t>CH02</t>
        </is>
      </c>
      <c r="H917" s="4" t="inlineStr">
        <is>
          <t>PR00</t>
        </is>
      </c>
      <c r="I917" s="8" t="n">
        <v>95</v>
      </c>
      <c r="J917" s="9" t="n">
        <v>0</v>
      </c>
      <c r="K917" s="10">
        <f>I917*(1-J917)</f>
        <v/>
      </c>
      <c r="L917" s="11" t="n">
        <v>4</v>
      </c>
      <c r="M917" s="10">
        <f>K917*L917</f>
        <v/>
      </c>
      <c r="N917" s="8" t="n">
        <v>46.49</v>
      </c>
      <c r="O917" s="10">
        <f>N917*L917</f>
        <v/>
      </c>
      <c r="P917" s="10">
        <f>M917-O917</f>
        <v/>
      </c>
      <c r="Q917" s="11" t="inlineStr">
        <is>
          <t>No</t>
        </is>
      </c>
      <c r="R917" s="11" t="n">
        <v>0</v>
      </c>
      <c r="S917" s="10">
        <f>M917-(R917*K917)</f>
        <v/>
      </c>
      <c r="T917" s="12">
        <f>VLOOKUP(E917,Dim_Product!$A$2:$Q$61,3,FALSE)</f>
        <v/>
      </c>
      <c r="U917" s="12">
        <f>VLOOKUP(E917,Dim_Product!$A$2:$Q$61,4,FALSE)</f>
        <v/>
      </c>
      <c r="V917" s="12">
        <f>VLOOKUP(D917,Dim_Customer!$A$2:$I$121,6,FALSE)</f>
        <v/>
      </c>
      <c r="W917" s="12">
        <f>VLOOKUP(G917,Dim_Channel!$A$2:$B$5,2,FALSE)</f>
        <v/>
      </c>
      <c r="X917" s="12">
        <f>VLOOKUP(H917,Dim_Promotion!$A$2:$G$11,2,FALSE)</f>
        <v/>
      </c>
    </row>
    <row r="918">
      <c r="A918" s="4" t="inlineStr">
        <is>
          <t>SL0917</t>
        </is>
      </c>
      <c r="B918" t="inlineStr">
        <is>
          <t>O010459</t>
        </is>
      </c>
      <c r="C918" t="n">
        <v>20250310</v>
      </c>
      <c r="D918" s="4" t="inlineStr">
        <is>
          <t>C087</t>
        </is>
      </c>
      <c r="E918" s="4" t="inlineStr">
        <is>
          <t>P022</t>
        </is>
      </c>
      <c r="F918" t="inlineStr">
        <is>
          <t>XXL</t>
        </is>
      </c>
      <c r="G918" s="4" t="inlineStr">
        <is>
          <t>CH03</t>
        </is>
      </c>
      <c r="H918" s="4" t="inlineStr">
        <is>
          <t>PR00</t>
        </is>
      </c>
      <c r="I918" s="8" t="n">
        <v>60</v>
      </c>
      <c r="J918" s="9" t="n">
        <v>0</v>
      </c>
      <c r="K918" s="10">
        <f>I918*(1-J918)</f>
        <v/>
      </c>
      <c r="L918" s="11" t="n">
        <v>1</v>
      </c>
      <c r="M918" s="10">
        <f>K918*L918</f>
        <v/>
      </c>
      <c r="N918" s="8" t="n">
        <v>26.72</v>
      </c>
      <c r="O918" s="10">
        <f>N918*L918</f>
        <v/>
      </c>
      <c r="P918" s="10">
        <f>M918-O918</f>
        <v/>
      </c>
      <c r="Q918" s="11" t="inlineStr">
        <is>
          <t>No</t>
        </is>
      </c>
      <c r="R918" s="11" t="n">
        <v>0</v>
      </c>
      <c r="S918" s="10">
        <f>M918-(R918*K918)</f>
        <v/>
      </c>
      <c r="T918" s="12">
        <f>VLOOKUP(E918,Dim_Product!$A$2:$Q$61,3,FALSE)</f>
        <v/>
      </c>
      <c r="U918" s="12">
        <f>VLOOKUP(E918,Dim_Product!$A$2:$Q$61,4,FALSE)</f>
        <v/>
      </c>
      <c r="V918" s="12">
        <f>VLOOKUP(D918,Dim_Customer!$A$2:$I$121,6,FALSE)</f>
        <v/>
      </c>
      <c r="W918" s="12">
        <f>VLOOKUP(G918,Dim_Channel!$A$2:$B$5,2,FALSE)</f>
        <v/>
      </c>
      <c r="X918" s="12">
        <f>VLOOKUP(H918,Dim_Promotion!$A$2:$G$11,2,FALSE)</f>
        <v/>
      </c>
    </row>
    <row r="919">
      <c r="A919" s="4" t="inlineStr">
        <is>
          <t>SL0918</t>
        </is>
      </c>
      <c r="B919" t="inlineStr">
        <is>
          <t>O010459</t>
        </is>
      </c>
      <c r="C919" t="n">
        <v>20250626</v>
      </c>
      <c r="D919" s="4" t="inlineStr">
        <is>
          <t>C064</t>
        </is>
      </c>
      <c r="E919" s="4" t="inlineStr">
        <is>
          <t>P024</t>
        </is>
      </c>
      <c r="F919" t="inlineStr">
        <is>
          <t>XL</t>
        </is>
      </c>
      <c r="G919" s="4" t="inlineStr">
        <is>
          <t>CH02</t>
        </is>
      </c>
      <c r="H919" s="4" t="inlineStr">
        <is>
          <t>PR00</t>
        </is>
      </c>
      <c r="I919" s="8" t="n">
        <v>62</v>
      </c>
      <c r="J919" s="9" t="n">
        <v>0</v>
      </c>
      <c r="K919" s="10">
        <f>I919*(1-J919)</f>
        <v/>
      </c>
      <c r="L919" s="11" t="n">
        <v>2</v>
      </c>
      <c r="M919" s="10">
        <f>K919*L919</f>
        <v/>
      </c>
      <c r="N919" s="8" t="n">
        <v>26.5</v>
      </c>
      <c r="O919" s="10">
        <f>N919*L919</f>
        <v/>
      </c>
      <c r="P919" s="10">
        <f>M919-O919</f>
        <v/>
      </c>
      <c r="Q919" s="11" t="inlineStr">
        <is>
          <t>No</t>
        </is>
      </c>
      <c r="R919" s="11" t="n">
        <v>0</v>
      </c>
      <c r="S919" s="10">
        <f>M919-(R919*K919)</f>
        <v/>
      </c>
      <c r="T919" s="12">
        <f>VLOOKUP(E919,Dim_Product!$A$2:$Q$61,3,FALSE)</f>
        <v/>
      </c>
      <c r="U919" s="12">
        <f>VLOOKUP(E919,Dim_Product!$A$2:$Q$61,4,FALSE)</f>
        <v/>
      </c>
      <c r="V919" s="12">
        <f>VLOOKUP(D919,Dim_Customer!$A$2:$I$121,6,FALSE)</f>
        <v/>
      </c>
      <c r="W919" s="12">
        <f>VLOOKUP(G919,Dim_Channel!$A$2:$B$5,2,FALSE)</f>
        <v/>
      </c>
      <c r="X919" s="12">
        <f>VLOOKUP(H919,Dim_Promotion!$A$2:$G$11,2,FALSE)</f>
        <v/>
      </c>
    </row>
    <row r="920">
      <c r="A920" s="4" t="inlineStr">
        <is>
          <t>SL0919</t>
        </is>
      </c>
      <c r="B920" t="inlineStr">
        <is>
          <t>O010460</t>
        </is>
      </c>
      <c r="C920" t="n">
        <v>20250321</v>
      </c>
      <c r="D920" s="4" t="inlineStr">
        <is>
          <t>C031</t>
        </is>
      </c>
      <c r="E920" s="4" t="inlineStr">
        <is>
          <t>P041</t>
        </is>
      </c>
      <c r="F920" t="inlineStr">
        <is>
          <t>XL</t>
        </is>
      </c>
      <c r="G920" s="4" t="inlineStr">
        <is>
          <t>CH01</t>
        </is>
      </c>
      <c r="H920" s="4" t="inlineStr">
        <is>
          <t>PR00</t>
        </is>
      </c>
      <c r="I920" s="8" t="n">
        <v>79</v>
      </c>
      <c r="J920" s="9" t="n">
        <v>0</v>
      </c>
      <c r="K920" s="10">
        <f>I920*(1-J920)</f>
        <v/>
      </c>
      <c r="L920" s="11" t="n">
        <v>1</v>
      </c>
      <c r="M920" s="10">
        <f>K920*L920</f>
        <v/>
      </c>
      <c r="N920" s="8" t="n">
        <v>38</v>
      </c>
      <c r="O920" s="10">
        <f>N920*L920</f>
        <v/>
      </c>
      <c r="P920" s="10">
        <f>M920-O920</f>
        <v/>
      </c>
      <c r="Q920" s="11" t="inlineStr">
        <is>
          <t>Yes</t>
        </is>
      </c>
      <c r="R920" s="11" t="n">
        <v>1</v>
      </c>
      <c r="S920" s="10">
        <f>M920-(R920*K920)</f>
        <v/>
      </c>
      <c r="T920" s="12">
        <f>VLOOKUP(E920,Dim_Product!$A$2:$Q$61,3,FALSE)</f>
        <v/>
      </c>
      <c r="U920" s="12">
        <f>VLOOKUP(E920,Dim_Product!$A$2:$Q$61,4,FALSE)</f>
        <v/>
      </c>
      <c r="V920" s="12">
        <f>VLOOKUP(D920,Dim_Customer!$A$2:$I$121,6,FALSE)</f>
        <v/>
      </c>
      <c r="W920" s="12">
        <f>VLOOKUP(G920,Dim_Channel!$A$2:$B$5,2,FALSE)</f>
        <v/>
      </c>
      <c r="X920" s="12">
        <f>VLOOKUP(H920,Dim_Promotion!$A$2:$G$11,2,FALSE)</f>
        <v/>
      </c>
    </row>
    <row r="921">
      <c r="A921" s="4" t="inlineStr">
        <is>
          <t>SL0920</t>
        </is>
      </c>
      <c r="B921" t="inlineStr">
        <is>
          <t>O010460</t>
        </is>
      </c>
      <c r="C921" t="n">
        <v>20251001</v>
      </c>
      <c r="D921" s="4" t="inlineStr">
        <is>
          <t>C039</t>
        </is>
      </c>
      <c r="E921" s="4" t="inlineStr">
        <is>
          <t>P021</t>
        </is>
      </c>
      <c r="F921" t="inlineStr">
        <is>
          <t>L</t>
        </is>
      </c>
      <c r="G921" s="4" t="inlineStr">
        <is>
          <t>CH03</t>
        </is>
      </c>
      <c r="H921" s="4" t="inlineStr">
        <is>
          <t>PR00</t>
        </is>
      </c>
      <c r="I921" s="8" t="n">
        <v>56</v>
      </c>
      <c r="J921" s="9" t="n">
        <v>0</v>
      </c>
      <c r="K921" s="10">
        <f>I921*(1-J921)</f>
        <v/>
      </c>
      <c r="L921" s="11" t="n">
        <v>2</v>
      </c>
      <c r="M921" s="10">
        <f>K921*L921</f>
        <v/>
      </c>
      <c r="N921" s="8" t="n">
        <v>28.76</v>
      </c>
      <c r="O921" s="10">
        <f>N921*L921</f>
        <v/>
      </c>
      <c r="P921" s="10">
        <f>M921-O921</f>
        <v/>
      </c>
      <c r="Q921" s="11" t="inlineStr">
        <is>
          <t>No</t>
        </is>
      </c>
      <c r="R921" s="11" t="n">
        <v>0</v>
      </c>
      <c r="S921" s="10">
        <f>M921-(R921*K921)</f>
        <v/>
      </c>
      <c r="T921" s="12">
        <f>VLOOKUP(E921,Dim_Product!$A$2:$Q$61,3,FALSE)</f>
        <v/>
      </c>
      <c r="U921" s="12">
        <f>VLOOKUP(E921,Dim_Product!$A$2:$Q$61,4,FALSE)</f>
        <v/>
      </c>
      <c r="V921" s="12">
        <f>VLOOKUP(D921,Dim_Customer!$A$2:$I$121,6,FALSE)</f>
        <v/>
      </c>
      <c r="W921" s="12">
        <f>VLOOKUP(G921,Dim_Channel!$A$2:$B$5,2,FALSE)</f>
        <v/>
      </c>
      <c r="X921" s="12">
        <f>VLOOKUP(H921,Dim_Promotion!$A$2:$G$11,2,FALSE)</f>
        <v/>
      </c>
    </row>
    <row r="922">
      <c r="A922" s="4" t="inlineStr">
        <is>
          <t>SL0921</t>
        </is>
      </c>
      <c r="B922" t="inlineStr">
        <is>
          <t>O010461</t>
        </is>
      </c>
      <c r="C922" t="n">
        <v>20250512</v>
      </c>
      <c r="D922" s="4" t="inlineStr">
        <is>
          <t>C093</t>
        </is>
      </c>
      <c r="E922" s="4" t="inlineStr">
        <is>
          <t>P014</t>
        </is>
      </c>
      <c r="F922" t="inlineStr">
        <is>
          <t>M</t>
        </is>
      </c>
      <c r="G922" s="4" t="inlineStr">
        <is>
          <t>CH01</t>
        </is>
      </c>
      <c r="H922" s="4" t="inlineStr">
        <is>
          <t>PR00</t>
        </is>
      </c>
      <c r="I922" s="8" t="n">
        <v>60</v>
      </c>
      <c r="J922" s="9" t="n">
        <v>0</v>
      </c>
      <c r="K922" s="10">
        <f>I922*(1-J922)</f>
        <v/>
      </c>
      <c r="L922" s="11" t="n">
        <v>2</v>
      </c>
      <c r="M922" s="10">
        <f>K922*L922</f>
        <v/>
      </c>
      <c r="N922" s="8" t="n">
        <v>27.91</v>
      </c>
      <c r="O922" s="10">
        <f>N922*L922</f>
        <v/>
      </c>
      <c r="P922" s="10">
        <f>M922-O922</f>
        <v/>
      </c>
      <c r="Q922" s="11" t="inlineStr">
        <is>
          <t>Yes</t>
        </is>
      </c>
      <c r="R922" s="11" t="n">
        <v>1</v>
      </c>
      <c r="S922" s="10">
        <f>M922-(R922*K922)</f>
        <v/>
      </c>
      <c r="T922" s="12">
        <f>VLOOKUP(E922,Dim_Product!$A$2:$Q$61,3,FALSE)</f>
        <v/>
      </c>
      <c r="U922" s="12">
        <f>VLOOKUP(E922,Dim_Product!$A$2:$Q$61,4,FALSE)</f>
        <v/>
      </c>
      <c r="V922" s="12">
        <f>VLOOKUP(D922,Dim_Customer!$A$2:$I$121,6,FALSE)</f>
        <v/>
      </c>
      <c r="W922" s="12">
        <f>VLOOKUP(G922,Dim_Channel!$A$2:$B$5,2,FALSE)</f>
        <v/>
      </c>
      <c r="X922" s="12">
        <f>VLOOKUP(H922,Dim_Promotion!$A$2:$G$11,2,FALSE)</f>
        <v/>
      </c>
    </row>
    <row r="923">
      <c r="A923" s="4" t="inlineStr">
        <is>
          <t>SL0922</t>
        </is>
      </c>
      <c r="B923" t="inlineStr">
        <is>
          <t>O010461</t>
        </is>
      </c>
      <c r="C923" t="n">
        <v>20251104</v>
      </c>
      <c r="D923" s="4" t="inlineStr">
        <is>
          <t>C032</t>
        </is>
      </c>
      <c r="E923" s="4" t="inlineStr">
        <is>
          <t>P004</t>
        </is>
      </c>
      <c r="F923" t="inlineStr">
        <is>
          <t>S</t>
        </is>
      </c>
      <c r="G923" s="4" t="inlineStr">
        <is>
          <t>CH04</t>
        </is>
      </c>
      <c r="H923" s="4" t="inlineStr">
        <is>
          <t>PR00</t>
        </is>
      </c>
      <c r="I923" s="8" t="n">
        <v>40</v>
      </c>
      <c r="J923" s="9" t="n">
        <v>0</v>
      </c>
      <c r="K923" s="10">
        <f>I923*(1-J923)</f>
        <v/>
      </c>
      <c r="L923" s="11" t="n">
        <v>2</v>
      </c>
      <c r="M923" s="10">
        <f>K923*L923</f>
        <v/>
      </c>
      <c r="N923" s="8" t="n">
        <v>19.46</v>
      </c>
      <c r="O923" s="10">
        <f>N923*L923</f>
        <v/>
      </c>
      <c r="P923" s="10">
        <f>M923-O923</f>
        <v/>
      </c>
      <c r="Q923" s="11" t="inlineStr">
        <is>
          <t>No</t>
        </is>
      </c>
      <c r="R923" s="11" t="n">
        <v>0</v>
      </c>
      <c r="S923" s="10">
        <f>M923-(R923*K923)</f>
        <v/>
      </c>
      <c r="T923" s="12">
        <f>VLOOKUP(E923,Dim_Product!$A$2:$Q$61,3,FALSE)</f>
        <v/>
      </c>
      <c r="U923" s="12">
        <f>VLOOKUP(E923,Dim_Product!$A$2:$Q$61,4,FALSE)</f>
        <v/>
      </c>
      <c r="V923" s="12">
        <f>VLOOKUP(D923,Dim_Customer!$A$2:$I$121,6,FALSE)</f>
        <v/>
      </c>
      <c r="W923" s="12">
        <f>VLOOKUP(G923,Dim_Channel!$A$2:$B$5,2,FALSE)</f>
        <v/>
      </c>
      <c r="X923" s="12">
        <f>VLOOKUP(H923,Dim_Promotion!$A$2:$G$11,2,FALSE)</f>
        <v/>
      </c>
    </row>
    <row r="924">
      <c r="A924" s="4" t="inlineStr">
        <is>
          <t>SL0923</t>
        </is>
      </c>
      <c r="B924" t="inlineStr">
        <is>
          <t>O010462</t>
        </is>
      </c>
      <c r="C924" t="n">
        <v>20251203</v>
      </c>
      <c r="D924" s="4" t="inlineStr">
        <is>
          <t>C020</t>
        </is>
      </c>
      <c r="E924" s="4" t="inlineStr">
        <is>
          <t>P058</t>
        </is>
      </c>
      <c r="F924" t="inlineStr">
        <is>
          <t>M</t>
        </is>
      </c>
      <c r="G924" s="4" t="inlineStr">
        <is>
          <t>CH02</t>
        </is>
      </c>
      <c r="H924" s="4" t="inlineStr">
        <is>
          <t>PR09</t>
        </is>
      </c>
      <c r="I924" s="8" t="n">
        <v>72</v>
      </c>
      <c r="J924" s="9" t="n">
        <v>0.15</v>
      </c>
      <c r="K924" s="10">
        <f>I924*(1-J924)</f>
        <v/>
      </c>
      <c r="L924" s="11" t="n">
        <v>1</v>
      </c>
      <c r="M924" s="10">
        <f>K924*L924</f>
        <v/>
      </c>
      <c r="N924" s="8" t="n">
        <v>35.71</v>
      </c>
      <c r="O924" s="10">
        <f>N924*L924</f>
        <v/>
      </c>
      <c r="P924" s="10">
        <f>M924-O924</f>
        <v/>
      </c>
      <c r="Q924" s="11" t="inlineStr">
        <is>
          <t>No</t>
        </is>
      </c>
      <c r="R924" s="11" t="n">
        <v>0</v>
      </c>
      <c r="S924" s="10">
        <f>M924-(R924*K924)</f>
        <v/>
      </c>
      <c r="T924" s="12">
        <f>VLOOKUP(E924,Dim_Product!$A$2:$Q$61,3,FALSE)</f>
        <v/>
      </c>
      <c r="U924" s="12">
        <f>VLOOKUP(E924,Dim_Product!$A$2:$Q$61,4,FALSE)</f>
        <v/>
      </c>
      <c r="V924" s="12">
        <f>VLOOKUP(D924,Dim_Customer!$A$2:$I$121,6,FALSE)</f>
        <v/>
      </c>
      <c r="W924" s="12">
        <f>VLOOKUP(G924,Dim_Channel!$A$2:$B$5,2,FALSE)</f>
        <v/>
      </c>
      <c r="X924" s="12">
        <f>VLOOKUP(H924,Dim_Promotion!$A$2:$G$11,2,FALSE)</f>
        <v/>
      </c>
    </row>
    <row r="925">
      <c r="A925" s="4" t="inlineStr">
        <is>
          <t>SL0924</t>
        </is>
      </c>
      <c r="B925" t="inlineStr">
        <is>
          <t>O010462</t>
        </is>
      </c>
      <c r="C925" t="n">
        <v>20250203</v>
      </c>
      <c r="D925" s="4" t="inlineStr">
        <is>
          <t>C092</t>
        </is>
      </c>
      <c r="E925" s="4" t="inlineStr">
        <is>
          <t>P057</t>
        </is>
      </c>
      <c r="F925" t="inlineStr">
        <is>
          <t>L</t>
        </is>
      </c>
      <c r="G925" s="4" t="inlineStr">
        <is>
          <t>CH02</t>
        </is>
      </c>
      <c r="H925" s="4" t="inlineStr">
        <is>
          <t>PR00</t>
        </is>
      </c>
      <c r="I925" s="8" t="n">
        <v>72</v>
      </c>
      <c r="J925" s="9" t="n">
        <v>0</v>
      </c>
      <c r="K925" s="10">
        <f>I925*(1-J925)</f>
        <v/>
      </c>
      <c r="L925" s="11" t="n">
        <v>1</v>
      </c>
      <c r="M925" s="10">
        <f>K925*L925</f>
        <v/>
      </c>
      <c r="N925" s="8" t="n">
        <v>35.61</v>
      </c>
      <c r="O925" s="10">
        <f>N925*L925</f>
        <v/>
      </c>
      <c r="P925" s="10">
        <f>M925-O925</f>
        <v/>
      </c>
      <c r="Q925" s="11" t="inlineStr">
        <is>
          <t>No</t>
        </is>
      </c>
      <c r="R925" s="11" t="n">
        <v>0</v>
      </c>
      <c r="S925" s="10">
        <f>M925-(R925*K925)</f>
        <v/>
      </c>
      <c r="T925" s="12">
        <f>VLOOKUP(E925,Dim_Product!$A$2:$Q$61,3,FALSE)</f>
        <v/>
      </c>
      <c r="U925" s="12">
        <f>VLOOKUP(E925,Dim_Product!$A$2:$Q$61,4,FALSE)</f>
        <v/>
      </c>
      <c r="V925" s="12">
        <f>VLOOKUP(D925,Dim_Customer!$A$2:$I$121,6,FALSE)</f>
        <v/>
      </c>
      <c r="W925" s="12">
        <f>VLOOKUP(G925,Dim_Channel!$A$2:$B$5,2,FALSE)</f>
        <v/>
      </c>
      <c r="X925" s="12">
        <f>VLOOKUP(H925,Dim_Promotion!$A$2:$G$11,2,FALSE)</f>
        <v/>
      </c>
    </row>
    <row r="926">
      <c r="A926" s="4" t="inlineStr">
        <is>
          <t>SL0925</t>
        </is>
      </c>
      <c r="B926" t="inlineStr">
        <is>
          <t>O010463</t>
        </is>
      </c>
      <c r="C926" t="n">
        <v>20251123</v>
      </c>
      <c r="D926" s="4" t="inlineStr">
        <is>
          <t>C064</t>
        </is>
      </c>
      <c r="E926" s="4" t="inlineStr">
        <is>
          <t>P035</t>
        </is>
      </c>
      <c r="F926" t="inlineStr">
        <is>
          <t>M</t>
        </is>
      </c>
      <c r="G926" s="4" t="inlineStr">
        <is>
          <t>CH02</t>
        </is>
      </c>
      <c r="H926" s="4" t="inlineStr">
        <is>
          <t>PR00</t>
        </is>
      </c>
      <c r="I926" s="8" t="n">
        <v>86</v>
      </c>
      <c r="J926" s="9" t="n">
        <v>0</v>
      </c>
      <c r="K926" s="10">
        <f>I926*(1-J926)</f>
        <v/>
      </c>
      <c r="L926" s="11" t="n">
        <v>1</v>
      </c>
      <c r="M926" s="10">
        <f>K926*L926</f>
        <v/>
      </c>
      <c r="N926" s="8" t="n">
        <v>43.45</v>
      </c>
      <c r="O926" s="10">
        <f>N926*L926</f>
        <v/>
      </c>
      <c r="P926" s="10">
        <f>M926-O926</f>
        <v/>
      </c>
      <c r="Q926" s="11" t="inlineStr">
        <is>
          <t>No</t>
        </is>
      </c>
      <c r="R926" s="11" t="n">
        <v>0</v>
      </c>
      <c r="S926" s="10">
        <f>M926-(R926*K926)</f>
        <v/>
      </c>
      <c r="T926" s="12">
        <f>VLOOKUP(E926,Dim_Product!$A$2:$Q$61,3,FALSE)</f>
        <v/>
      </c>
      <c r="U926" s="12">
        <f>VLOOKUP(E926,Dim_Product!$A$2:$Q$61,4,FALSE)</f>
        <v/>
      </c>
      <c r="V926" s="12">
        <f>VLOOKUP(D926,Dim_Customer!$A$2:$I$121,6,FALSE)</f>
        <v/>
      </c>
      <c r="W926" s="12">
        <f>VLOOKUP(G926,Dim_Channel!$A$2:$B$5,2,FALSE)</f>
        <v/>
      </c>
      <c r="X926" s="12">
        <f>VLOOKUP(H926,Dim_Promotion!$A$2:$G$11,2,FALSE)</f>
        <v/>
      </c>
    </row>
    <row r="927">
      <c r="A927" s="4" t="inlineStr">
        <is>
          <t>SL0926</t>
        </is>
      </c>
      <c r="B927" t="inlineStr">
        <is>
          <t>O010463</t>
        </is>
      </c>
      <c r="C927" t="n">
        <v>20251209</v>
      </c>
      <c r="D927" s="4" t="inlineStr">
        <is>
          <t>C019</t>
        </is>
      </c>
      <c r="E927" s="4" t="inlineStr">
        <is>
          <t>P052</t>
        </is>
      </c>
      <c r="F927" t="inlineStr">
        <is>
          <t>M</t>
        </is>
      </c>
      <c r="G927" s="4" t="inlineStr">
        <is>
          <t>CH01</t>
        </is>
      </c>
      <c r="H927" s="4" t="inlineStr">
        <is>
          <t>PR09</t>
        </is>
      </c>
      <c r="I927" s="8" t="n">
        <v>64</v>
      </c>
      <c r="J927" s="9" t="n">
        <v>0.15</v>
      </c>
      <c r="K927" s="10">
        <f>I927*(1-J927)</f>
        <v/>
      </c>
      <c r="L927" s="11" t="n">
        <v>1</v>
      </c>
      <c r="M927" s="10">
        <f>K927*L927</f>
        <v/>
      </c>
      <c r="N927" s="8" t="n">
        <v>30.98</v>
      </c>
      <c r="O927" s="10">
        <f>N927*L927</f>
        <v/>
      </c>
      <c r="P927" s="10">
        <f>M927-O927</f>
        <v/>
      </c>
      <c r="Q927" s="11" t="inlineStr">
        <is>
          <t>No</t>
        </is>
      </c>
      <c r="R927" s="11" t="n">
        <v>0</v>
      </c>
      <c r="S927" s="10">
        <f>M927-(R927*K927)</f>
        <v/>
      </c>
      <c r="T927" s="12">
        <f>VLOOKUP(E927,Dim_Product!$A$2:$Q$61,3,FALSE)</f>
        <v/>
      </c>
      <c r="U927" s="12">
        <f>VLOOKUP(E927,Dim_Product!$A$2:$Q$61,4,FALSE)</f>
        <v/>
      </c>
      <c r="V927" s="12">
        <f>VLOOKUP(D927,Dim_Customer!$A$2:$I$121,6,FALSE)</f>
        <v/>
      </c>
      <c r="W927" s="12">
        <f>VLOOKUP(G927,Dim_Channel!$A$2:$B$5,2,FALSE)</f>
        <v/>
      </c>
      <c r="X927" s="12">
        <f>VLOOKUP(H927,Dim_Promotion!$A$2:$G$11,2,FALSE)</f>
        <v/>
      </c>
    </row>
    <row r="928">
      <c r="A928" s="4" t="inlineStr">
        <is>
          <t>SL0927</t>
        </is>
      </c>
      <c r="B928" t="inlineStr">
        <is>
          <t>O010464</t>
        </is>
      </c>
      <c r="C928" t="n">
        <v>20250321</v>
      </c>
      <c r="D928" s="4" t="inlineStr">
        <is>
          <t>C108</t>
        </is>
      </c>
      <c r="E928" s="4" t="inlineStr">
        <is>
          <t>P035</t>
        </is>
      </c>
      <c r="F928" t="inlineStr">
        <is>
          <t>L</t>
        </is>
      </c>
      <c r="G928" s="4" t="inlineStr">
        <is>
          <t>CH01</t>
        </is>
      </c>
      <c r="H928" s="4" t="inlineStr">
        <is>
          <t>PR00</t>
        </is>
      </c>
      <c r="I928" s="8" t="n">
        <v>88</v>
      </c>
      <c r="J928" s="9" t="n">
        <v>0</v>
      </c>
      <c r="K928" s="10">
        <f>I928*(1-J928)</f>
        <v/>
      </c>
      <c r="L928" s="11" t="n">
        <v>1</v>
      </c>
      <c r="M928" s="10">
        <f>K928*L928</f>
        <v/>
      </c>
      <c r="N928" s="8" t="n">
        <v>43.83</v>
      </c>
      <c r="O928" s="10">
        <f>N928*L928</f>
        <v/>
      </c>
      <c r="P928" s="10">
        <f>M928-O928</f>
        <v/>
      </c>
      <c r="Q928" s="11" t="inlineStr">
        <is>
          <t>No</t>
        </is>
      </c>
      <c r="R928" s="11" t="n">
        <v>0</v>
      </c>
      <c r="S928" s="10">
        <f>M928-(R928*K928)</f>
        <v/>
      </c>
      <c r="T928" s="12">
        <f>VLOOKUP(E928,Dim_Product!$A$2:$Q$61,3,FALSE)</f>
        <v/>
      </c>
      <c r="U928" s="12">
        <f>VLOOKUP(E928,Dim_Product!$A$2:$Q$61,4,FALSE)</f>
        <v/>
      </c>
      <c r="V928" s="12">
        <f>VLOOKUP(D928,Dim_Customer!$A$2:$I$121,6,FALSE)</f>
        <v/>
      </c>
      <c r="W928" s="12">
        <f>VLOOKUP(G928,Dim_Channel!$A$2:$B$5,2,FALSE)</f>
        <v/>
      </c>
      <c r="X928" s="12">
        <f>VLOOKUP(H928,Dim_Promotion!$A$2:$G$11,2,FALSE)</f>
        <v/>
      </c>
    </row>
    <row r="929">
      <c r="A929" s="4" t="inlineStr">
        <is>
          <t>SL0928</t>
        </is>
      </c>
      <c r="B929" t="inlineStr">
        <is>
          <t>O010464</t>
        </is>
      </c>
      <c r="C929" t="n">
        <v>20250425</v>
      </c>
      <c r="D929" s="4" t="inlineStr">
        <is>
          <t>C021</t>
        </is>
      </c>
      <c r="E929" s="4" t="inlineStr">
        <is>
          <t>P004</t>
        </is>
      </c>
      <c r="F929" t="inlineStr">
        <is>
          <t>M</t>
        </is>
      </c>
      <c r="G929" s="4" t="inlineStr">
        <is>
          <t>CH03</t>
        </is>
      </c>
      <c r="H929" s="4" t="inlineStr">
        <is>
          <t>PR00</t>
        </is>
      </c>
      <c r="I929" s="8" t="n">
        <v>43</v>
      </c>
      <c r="J929" s="9" t="n">
        <v>0</v>
      </c>
      <c r="K929" s="10">
        <f>I929*(1-J929)</f>
        <v/>
      </c>
      <c r="L929" s="11" t="n">
        <v>1</v>
      </c>
      <c r="M929" s="10">
        <f>K929*L929</f>
        <v/>
      </c>
      <c r="N929" s="8" t="n">
        <v>19.49</v>
      </c>
      <c r="O929" s="10">
        <f>N929*L929</f>
        <v/>
      </c>
      <c r="P929" s="10">
        <f>M929-O929</f>
        <v/>
      </c>
      <c r="Q929" s="11" t="inlineStr">
        <is>
          <t>No</t>
        </is>
      </c>
      <c r="R929" s="11" t="n">
        <v>0</v>
      </c>
      <c r="S929" s="10">
        <f>M929-(R929*K929)</f>
        <v/>
      </c>
      <c r="T929" s="12">
        <f>VLOOKUP(E929,Dim_Product!$A$2:$Q$61,3,FALSE)</f>
        <v/>
      </c>
      <c r="U929" s="12">
        <f>VLOOKUP(E929,Dim_Product!$A$2:$Q$61,4,FALSE)</f>
        <v/>
      </c>
      <c r="V929" s="12">
        <f>VLOOKUP(D929,Dim_Customer!$A$2:$I$121,6,FALSE)</f>
        <v/>
      </c>
      <c r="W929" s="12">
        <f>VLOOKUP(G929,Dim_Channel!$A$2:$B$5,2,FALSE)</f>
        <v/>
      </c>
      <c r="X929" s="12">
        <f>VLOOKUP(H929,Dim_Promotion!$A$2:$G$11,2,FALSE)</f>
        <v/>
      </c>
    </row>
    <row r="930">
      <c r="A930" s="4" t="inlineStr">
        <is>
          <t>SL0929</t>
        </is>
      </c>
      <c r="B930" t="inlineStr">
        <is>
          <t>O010465</t>
        </is>
      </c>
      <c r="C930" t="n">
        <v>20250124</v>
      </c>
      <c r="D930" s="4" t="inlineStr">
        <is>
          <t>C087</t>
        </is>
      </c>
      <c r="E930" s="4" t="inlineStr">
        <is>
          <t>P055</t>
        </is>
      </c>
      <c r="F930" t="inlineStr">
        <is>
          <t>M</t>
        </is>
      </c>
      <c r="G930" s="4" t="inlineStr">
        <is>
          <t>CH02</t>
        </is>
      </c>
      <c r="H930" s="4" t="inlineStr">
        <is>
          <t>PR00</t>
        </is>
      </c>
      <c r="I930" s="8" t="n">
        <v>70</v>
      </c>
      <c r="J930" s="9" t="n">
        <v>0</v>
      </c>
      <c r="K930" s="10">
        <f>I930*(1-J930)</f>
        <v/>
      </c>
      <c r="L930" s="11" t="n">
        <v>2</v>
      </c>
      <c r="M930" s="10">
        <f>K930*L930</f>
        <v/>
      </c>
      <c r="N930" s="8" t="n">
        <v>33.97</v>
      </c>
      <c r="O930" s="10">
        <f>N930*L930</f>
        <v/>
      </c>
      <c r="P930" s="10">
        <f>M930-O930</f>
        <v/>
      </c>
      <c r="Q930" s="11" t="inlineStr">
        <is>
          <t>No</t>
        </is>
      </c>
      <c r="R930" s="11" t="n">
        <v>0</v>
      </c>
      <c r="S930" s="10">
        <f>M930-(R930*K930)</f>
        <v/>
      </c>
      <c r="T930" s="12">
        <f>VLOOKUP(E930,Dim_Product!$A$2:$Q$61,3,FALSE)</f>
        <v/>
      </c>
      <c r="U930" s="12">
        <f>VLOOKUP(E930,Dim_Product!$A$2:$Q$61,4,FALSE)</f>
        <v/>
      </c>
      <c r="V930" s="12">
        <f>VLOOKUP(D930,Dim_Customer!$A$2:$I$121,6,FALSE)</f>
        <v/>
      </c>
      <c r="W930" s="12">
        <f>VLOOKUP(G930,Dim_Channel!$A$2:$B$5,2,FALSE)</f>
        <v/>
      </c>
      <c r="X930" s="12">
        <f>VLOOKUP(H930,Dim_Promotion!$A$2:$G$11,2,FALSE)</f>
        <v/>
      </c>
    </row>
    <row r="931">
      <c r="A931" s="4" t="inlineStr">
        <is>
          <t>SL0930</t>
        </is>
      </c>
      <c r="B931" t="inlineStr">
        <is>
          <t>O010465</t>
        </is>
      </c>
      <c r="C931" t="n">
        <v>20251112</v>
      </c>
      <c r="D931" s="4" t="inlineStr">
        <is>
          <t>C064</t>
        </is>
      </c>
      <c r="E931" s="4" t="inlineStr">
        <is>
          <t>P017</t>
        </is>
      </c>
      <c r="F931" t="inlineStr">
        <is>
          <t>M</t>
        </is>
      </c>
      <c r="G931" s="4" t="inlineStr">
        <is>
          <t>CH03</t>
        </is>
      </c>
      <c r="H931" s="4" t="inlineStr">
        <is>
          <t>PR00</t>
        </is>
      </c>
      <c r="I931" s="8" t="n">
        <v>68</v>
      </c>
      <c r="J931" s="9" t="n">
        <v>0</v>
      </c>
      <c r="K931" s="10">
        <f>I931*(1-J931)</f>
        <v/>
      </c>
      <c r="L931" s="11" t="n">
        <v>1</v>
      </c>
      <c r="M931" s="10">
        <f>K931*L931</f>
        <v/>
      </c>
      <c r="N931" s="8" t="n">
        <v>32.04</v>
      </c>
      <c r="O931" s="10">
        <f>N931*L931</f>
        <v/>
      </c>
      <c r="P931" s="10">
        <f>M931-O931</f>
        <v/>
      </c>
      <c r="Q931" s="11" t="inlineStr">
        <is>
          <t>No</t>
        </is>
      </c>
      <c r="R931" s="11" t="n">
        <v>0</v>
      </c>
      <c r="S931" s="10">
        <f>M931-(R931*K931)</f>
        <v/>
      </c>
      <c r="T931" s="12">
        <f>VLOOKUP(E931,Dim_Product!$A$2:$Q$61,3,FALSE)</f>
        <v/>
      </c>
      <c r="U931" s="12">
        <f>VLOOKUP(E931,Dim_Product!$A$2:$Q$61,4,FALSE)</f>
        <v/>
      </c>
      <c r="V931" s="12">
        <f>VLOOKUP(D931,Dim_Customer!$A$2:$I$121,6,FALSE)</f>
        <v/>
      </c>
      <c r="W931" s="12">
        <f>VLOOKUP(G931,Dim_Channel!$A$2:$B$5,2,FALSE)</f>
        <v/>
      </c>
      <c r="X931" s="12">
        <f>VLOOKUP(H931,Dim_Promotion!$A$2:$G$11,2,FALSE)</f>
        <v/>
      </c>
    </row>
    <row r="932">
      <c r="A932" s="4" t="inlineStr">
        <is>
          <t>SL0931</t>
        </is>
      </c>
      <c r="B932" t="inlineStr">
        <is>
          <t>O010466</t>
        </is>
      </c>
      <c r="C932" t="n">
        <v>20250730</v>
      </c>
      <c r="D932" s="4" t="inlineStr">
        <is>
          <t>C102</t>
        </is>
      </c>
      <c r="E932" s="4" t="inlineStr">
        <is>
          <t>P026</t>
        </is>
      </c>
      <c r="F932" t="inlineStr">
        <is>
          <t>L</t>
        </is>
      </c>
      <c r="G932" s="4" t="inlineStr">
        <is>
          <t>CH01</t>
        </is>
      </c>
      <c r="H932" s="4" t="inlineStr">
        <is>
          <t>PR00</t>
        </is>
      </c>
      <c r="I932" s="8" t="n">
        <v>93</v>
      </c>
      <c r="J932" s="9" t="n">
        <v>0</v>
      </c>
      <c r="K932" s="10">
        <f>I932*(1-J932)</f>
        <v/>
      </c>
      <c r="L932" s="11" t="n">
        <v>1</v>
      </c>
      <c r="M932" s="10">
        <f>K932*L932</f>
        <v/>
      </c>
      <c r="N932" s="8" t="n">
        <v>46.45</v>
      </c>
      <c r="O932" s="10">
        <f>N932*L932</f>
        <v/>
      </c>
      <c r="P932" s="10">
        <f>M932-O932</f>
        <v/>
      </c>
      <c r="Q932" s="11" t="inlineStr">
        <is>
          <t>No</t>
        </is>
      </c>
      <c r="R932" s="11" t="n">
        <v>0</v>
      </c>
      <c r="S932" s="10">
        <f>M932-(R932*K932)</f>
        <v/>
      </c>
      <c r="T932" s="12">
        <f>VLOOKUP(E932,Dim_Product!$A$2:$Q$61,3,FALSE)</f>
        <v/>
      </c>
      <c r="U932" s="12">
        <f>VLOOKUP(E932,Dim_Product!$A$2:$Q$61,4,FALSE)</f>
        <v/>
      </c>
      <c r="V932" s="12">
        <f>VLOOKUP(D932,Dim_Customer!$A$2:$I$121,6,FALSE)</f>
        <v/>
      </c>
      <c r="W932" s="12">
        <f>VLOOKUP(G932,Dim_Channel!$A$2:$B$5,2,FALSE)</f>
        <v/>
      </c>
      <c r="X932" s="12">
        <f>VLOOKUP(H932,Dim_Promotion!$A$2:$G$11,2,FALSE)</f>
        <v/>
      </c>
    </row>
    <row r="933">
      <c r="A933" s="4" t="inlineStr">
        <is>
          <t>SL0932</t>
        </is>
      </c>
      <c r="B933" t="inlineStr">
        <is>
          <t>O010466</t>
        </is>
      </c>
      <c r="C933" t="n">
        <v>20250614</v>
      </c>
      <c r="D933" s="4" t="inlineStr">
        <is>
          <t>C102</t>
        </is>
      </c>
      <c r="E933" s="4" t="inlineStr">
        <is>
          <t>P048</t>
        </is>
      </c>
      <c r="F933" t="inlineStr">
        <is>
          <t>S</t>
        </is>
      </c>
      <c r="G933" s="4" t="inlineStr">
        <is>
          <t>CH04</t>
        </is>
      </c>
      <c r="H933" s="4" t="inlineStr">
        <is>
          <t>PR00</t>
        </is>
      </c>
      <c r="I933" s="8" t="n">
        <v>68</v>
      </c>
      <c r="J933" s="9" t="n">
        <v>0.08</v>
      </c>
      <c r="K933" s="10">
        <f>I933*(1-J933)</f>
        <v/>
      </c>
      <c r="L933" s="11" t="n">
        <v>1</v>
      </c>
      <c r="M933" s="10">
        <f>K933*L933</f>
        <v/>
      </c>
      <c r="N933" s="8" t="n">
        <v>32.73</v>
      </c>
      <c r="O933" s="10">
        <f>N933*L933</f>
        <v/>
      </c>
      <c r="P933" s="10">
        <f>M933-O933</f>
        <v/>
      </c>
      <c r="Q933" s="11" t="inlineStr">
        <is>
          <t>No</t>
        </is>
      </c>
      <c r="R933" s="11" t="n">
        <v>0</v>
      </c>
      <c r="S933" s="10">
        <f>M933-(R933*K933)</f>
        <v/>
      </c>
      <c r="T933" s="12">
        <f>VLOOKUP(E933,Dim_Product!$A$2:$Q$61,3,FALSE)</f>
        <v/>
      </c>
      <c r="U933" s="12">
        <f>VLOOKUP(E933,Dim_Product!$A$2:$Q$61,4,FALSE)</f>
        <v/>
      </c>
      <c r="V933" s="12">
        <f>VLOOKUP(D933,Dim_Customer!$A$2:$I$121,6,FALSE)</f>
        <v/>
      </c>
      <c r="W933" s="12">
        <f>VLOOKUP(G933,Dim_Channel!$A$2:$B$5,2,FALSE)</f>
        <v/>
      </c>
      <c r="X933" s="12">
        <f>VLOOKUP(H933,Dim_Promotion!$A$2:$G$11,2,FALSE)</f>
        <v/>
      </c>
    </row>
    <row r="934">
      <c r="A934" s="4" t="inlineStr">
        <is>
          <t>SL0933</t>
        </is>
      </c>
      <c r="B934" t="inlineStr">
        <is>
          <t>O010467</t>
        </is>
      </c>
      <c r="C934" t="n">
        <v>20250327</v>
      </c>
      <c r="D934" s="4" t="inlineStr">
        <is>
          <t>C110</t>
        </is>
      </c>
      <c r="E934" s="4" t="inlineStr">
        <is>
          <t>P032</t>
        </is>
      </c>
      <c r="F934" t="inlineStr">
        <is>
          <t>M</t>
        </is>
      </c>
      <c r="G934" s="4" t="inlineStr">
        <is>
          <t>CH03</t>
        </is>
      </c>
      <c r="H934" s="4" t="inlineStr">
        <is>
          <t>PR00</t>
        </is>
      </c>
      <c r="I934" s="8" t="n">
        <v>114</v>
      </c>
      <c r="J934" s="9" t="n">
        <v>0</v>
      </c>
      <c r="K934" s="10">
        <f>I934*(1-J934)</f>
        <v/>
      </c>
      <c r="L934" s="11" t="n">
        <v>1</v>
      </c>
      <c r="M934" s="10">
        <f>K934*L934</f>
        <v/>
      </c>
      <c r="N934" s="8" t="n">
        <v>57.12</v>
      </c>
      <c r="O934" s="10">
        <f>N934*L934</f>
        <v/>
      </c>
      <c r="P934" s="10">
        <f>M934-O934</f>
        <v/>
      </c>
      <c r="Q934" s="11" t="inlineStr">
        <is>
          <t>No</t>
        </is>
      </c>
      <c r="R934" s="11" t="n">
        <v>0</v>
      </c>
      <c r="S934" s="10">
        <f>M934-(R934*K934)</f>
        <v/>
      </c>
      <c r="T934" s="12">
        <f>VLOOKUP(E934,Dim_Product!$A$2:$Q$61,3,FALSE)</f>
        <v/>
      </c>
      <c r="U934" s="12">
        <f>VLOOKUP(E934,Dim_Product!$A$2:$Q$61,4,FALSE)</f>
        <v/>
      </c>
      <c r="V934" s="12">
        <f>VLOOKUP(D934,Dim_Customer!$A$2:$I$121,6,FALSE)</f>
        <v/>
      </c>
      <c r="W934" s="12">
        <f>VLOOKUP(G934,Dim_Channel!$A$2:$B$5,2,FALSE)</f>
        <v/>
      </c>
      <c r="X934" s="12">
        <f>VLOOKUP(H934,Dim_Promotion!$A$2:$G$11,2,FALSE)</f>
        <v/>
      </c>
    </row>
    <row r="935">
      <c r="A935" s="4" t="inlineStr">
        <is>
          <t>SL0934</t>
        </is>
      </c>
      <c r="B935" t="inlineStr">
        <is>
          <t>O010467</t>
        </is>
      </c>
      <c r="C935" t="n">
        <v>20250211</v>
      </c>
      <c r="D935" s="4" t="inlineStr">
        <is>
          <t>C091</t>
        </is>
      </c>
      <c r="E935" s="4" t="inlineStr">
        <is>
          <t>P027</t>
        </is>
      </c>
      <c r="F935" t="inlineStr">
        <is>
          <t>M</t>
        </is>
      </c>
      <c r="G935" s="4" t="inlineStr">
        <is>
          <t>CH04</t>
        </is>
      </c>
      <c r="H935" s="4" t="inlineStr">
        <is>
          <t>PR00</t>
        </is>
      </c>
      <c r="I935" s="8" t="n">
        <v>91</v>
      </c>
      <c r="J935" s="9" t="n">
        <v>0</v>
      </c>
      <c r="K935" s="10">
        <f>I935*(1-J935)</f>
        <v/>
      </c>
      <c r="L935" s="11" t="n">
        <v>3</v>
      </c>
      <c r="M935" s="10">
        <f>K935*L935</f>
        <v/>
      </c>
      <c r="N935" s="8" t="n">
        <v>45.81</v>
      </c>
      <c r="O935" s="10">
        <f>N935*L935</f>
        <v/>
      </c>
      <c r="P935" s="10">
        <f>M935-O935</f>
        <v/>
      </c>
      <c r="Q935" s="11" t="inlineStr">
        <is>
          <t>No</t>
        </is>
      </c>
      <c r="R935" s="11" t="n">
        <v>0</v>
      </c>
      <c r="S935" s="10">
        <f>M935-(R935*K935)</f>
        <v/>
      </c>
      <c r="T935" s="12">
        <f>VLOOKUP(E935,Dim_Product!$A$2:$Q$61,3,FALSE)</f>
        <v/>
      </c>
      <c r="U935" s="12">
        <f>VLOOKUP(E935,Dim_Product!$A$2:$Q$61,4,FALSE)</f>
        <v/>
      </c>
      <c r="V935" s="12">
        <f>VLOOKUP(D935,Dim_Customer!$A$2:$I$121,6,FALSE)</f>
        <v/>
      </c>
      <c r="W935" s="12">
        <f>VLOOKUP(G935,Dim_Channel!$A$2:$B$5,2,FALSE)</f>
        <v/>
      </c>
      <c r="X935" s="12">
        <f>VLOOKUP(H935,Dim_Promotion!$A$2:$G$11,2,FALSE)</f>
        <v/>
      </c>
    </row>
    <row r="936">
      <c r="A936" s="4" t="inlineStr">
        <is>
          <t>SL0935</t>
        </is>
      </c>
      <c r="B936" t="inlineStr">
        <is>
          <t>O010468</t>
        </is>
      </c>
      <c r="C936" t="n">
        <v>20250520</v>
      </c>
      <c r="D936" s="4" t="inlineStr">
        <is>
          <t>C055</t>
        </is>
      </c>
      <c r="E936" s="4" t="inlineStr">
        <is>
          <t>P036</t>
        </is>
      </c>
      <c r="F936" t="inlineStr">
        <is>
          <t>L</t>
        </is>
      </c>
      <c r="G936" s="4" t="inlineStr">
        <is>
          <t>CH01</t>
        </is>
      </c>
      <c r="H936" s="4" t="inlineStr">
        <is>
          <t>PR00</t>
        </is>
      </c>
      <c r="I936" s="8" t="n">
        <v>88</v>
      </c>
      <c r="J936" s="9" t="n">
        <v>0</v>
      </c>
      <c r="K936" s="10">
        <f>I936*(1-J936)</f>
        <v/>
      </c>
      <c r="L936" s="11" t="n">
        <v>1</v>
      </c>
      <c r="M936" s="10">
        <f>K936*L936</f>
        <v/>
      </c>
      <c r="N936" s="8" t="n">
        <v>43.61</v>
      </c>
      <c r="O936" s="10">
        <f>N936*L936</f>
        <v/>
      </c>
      <c r="P936" s="10">
        <f>M936-O936</f>
        <v/>
      </c>
      <c r="Q936" s="11" t="inlineStr">
        <is>
          <t>Yes</t>
        </is>
      </c>
      <c r="R936" s="11" t="n">
        <v>1</v>
      </c>
      <c r="S936" s="10">
        <f>M936-(R936*K936)</f>
        <v/>
      </c>
      <c r="T936" s="12">
        <f>VLOOKUP(E936,Dim_Product!$A$2:$Q$61,3,FALSE)</f>
        <v/>
      </c>
      <c r="U936" s="12">
        <f>VLOOKUP(E936,Dim_Product!$A$2:$Q$61,4,FALSE)</f>
        <v/>
      </c>
      <c r="V936" s="12">
        <f>VLOOKUP(D936,Dim_Customer!$A$2:$I$121,6,FALSE)</f>
        <v/>
      </c>
      <c r="W936" s="12">
        <f>VLOOKUP(G936,Dim_Channel!$A$2:$B$5,2,FALSE)</f>
        <v/>
      </c>
      <c r="X936" s="12">
        <f>VLOOKUP(H936,Dim_Promotion!$A$2:$G$11,2,FALSE)</f>
        <v/>
      </c>
    </row>
    <row r="937">
      <c r="A937" s="4" t="inlineStr">
        <is>
          <t>SL0936</t>
        </is>
      </c>
      <c r="B937" t="inlineStr">
        <is>
          <t>O010468</t>
        </is>
      </c>
      <c r="C937" t="n">
        <v>20250608</v>
      </c>
      <c r="D937" s="4" t="inlineStr">
        <is>
          <t>C027</t>
        </is>
      </c>
      <c r="E937" s="4" t="inlineStr">
        <is>
          <t>P037</t>
        </is>
      </c>
      <c r="F937" t="inlineStr">
        <is>
          <t>M</t>
        </is>
      </c>
      <c r="G937" s="4" t="inlineStr">
        <is>
          <t>CH02</t>
        </is>
      </c>
      <c r="H937" s="4" t="inlineStr">
        <is>
          <t>PR00</t>
        </is>
      </c>
      <c r="I937" s="8" t="n">
        <v>72</v>
      </c>
      <c r="J937" s="9" t="n">
        <v>0</v>
      </c>
      <c r="K937" s="10">
        <f>I937*(1-J937)</f>
        <v/>
      </c>
      <c r="L937" s="11" t="n">
        <v>1</v>
      </c>
      <c r="M937" s="10">
        <f>K937*L937</f>
        <v/>
      </c>
      <c r="N937" s="8" t="n">
        <v>34.13</v>
      </c>
      <c r="O937" s="10">
        <f>N937*L937</f>
        <v/>
      </c>
      <c r="P937" s="10">
        <f>M937-O937</f>
        <v/>
      </c>
      <c r="Q937" s="11" t="inlineStr">
        <is>
          <t>No</t>
        </is>
      </c>
      <c r="R937" s="11" t="n">
        <v>0</v>
      </c>
      <c r="S937" s="10">
        <f>M937-(R937*K937)</f>
        <v/>
      </c>
      <c r="T937" s="12">
        <f>VLOOKUP(E937,Dim_Product!$A$2:$Q$61,3,FALSE)</f>
        <v/>
      </c>
      <c r="U937" s="12">
        <f>VLOOKUP(E937,Dim_Product!$A$2:$Q$61,4,FALSE)</f>
        <v/>
      </c>
      <c r="V937" s="12">
        <f>VLOOKUP(D937,Dim_Customer!$A$2:$I$121,6,FALSE)</f>
        <v/>
      </c>
      <c r="W937" s="12">
        <f>VLOOKUP(G937,Dim_Channel!$A$2:$B$5,2,FALSE)</f>
        <v/>
      </c>
      <c r="X937" s="12">
        <f>VLOOKUP(H937,Dim_Promotion!$A$2:$G$11,2,FALSE)</f>
        <v/>
      </c>
    </row>
    <row r="938">
      <c r="A938" s="4" t="inlineStr">
        <is>
          <t>SL0937</t>
        </is>
      </c>
      <c r="B938" t="inlineStr">
        <is>
          <t>O010469</t>
        </is>
      </c>
      <c r="C938" t="n">
        <v>20251119</v>
      </c>
      <c r="D938" s="4" t="inlineStr">
        <is>
          <t>C117</t>
        </is>
      </c>
      <c r="E938" s="4" t="inlineStr">
        <is>
          <t>P013</t>
        </is>
      </c>
      <c r="F938" t="inlineStr">
        <is>
          <t>M</t>
        </is>
      </c>
      <c r="G938" s="4" t="inlineStr">
        <is>
          <t>CH03</t>
        </is>
      </c>
      <c r="H938" s="4" t="inlineStr">
        <is>
          <t>PR00</t>
        </is>
      </c>
      <c r="I938" s="8" t="n">
        <v>61</v>
      </c>
      <c r="J938" s="9" t="n">
        <v>0</v>
      </c>
      <c r="K938" s="10">
        <f>I938*(1-J938)</f>
        <v/>
      </c>
      <c r="L938" s="11" t="n">
        <v>2</v>
      </c>
      <c r="M938" s="10">
        <f>K938*L938</f>
        <v/>
      </c>
      <c r="N938" s="8" t="n">
        <v>25.97</v>
      </c>
      <c r="O938" s="10">
        <f>N938*L938</f>
        <v/>
      </c>
      <c r="P938" s="10">
        <f>M938-O938</f>
        <v/>
      </c>
      <c r="Q938" s="11" t="inlineStr">
        <is>
          <t>No</t>
        </is>
      </c>
      <c r="R938" s="11" t="n">
        <v>0</v>
      </c>
      <c r="S938" s="10">
        <f>M938-(R938*K938)</f>
        <v/>
      </c>
      <c r="T938" s="12">
        <f>VLOOKUP(E938,Dim_Product!$A$2:$Q$61,3,FALSE)</f>
        <v/>
      </c>
      <c r="U938" s="12">
        <f>VLOOKUP(E938,Dim_Product!$A$2:$Q$61,4,FALSE)</f>
        <v/>
      </c>
      <c r="V938" s="12">
        <f>VLOOKUP(D938,Dim_Customer!$A$2:$I$121,6,FALSE)</f>
        <v/>
      </c>
      <c r="W938" s="12">
        <f>VLOOKUP(G938,Dim_Channel!$A$2:$B$5,2,FALSE)</f>
        <v/>
      </c>
      <c r="X938" s="12">
        <f>VLOOKUP(H938,Dim_Promotion!$A$2:$G$11,2,FALSE)</f>
        <v/>
      </c>
    </row>
    <row r="939">
      <c r="A939" s="4" t="inlineStr">
        <is>
          <t>SL0938</t>
        </is>
      </c>
      <c r="B939" t="inlineStr">
        <is>
          <t>O010469</t>
        </is>
      </c>
      <c r="C939" t="n">
        <v>20250605</v>
      </c>
      <c r="D939" s="4" t="inlineStr">
        <is>
          <t>C080</t>
        </is>
      </c>
      <c r="E939" s="4" t="inlineStr">
        <is>
          <t>P004</t>
        </is>
      </c>
      <c r="F939" t="inlineStr">
        <is>
          <t>M</t>
        </is>
      </c>
      <c r="G939" s="4" t="inlineStr">
        <is>
          <t>CH03</t>
        </is>
      </c>
      <c r="H939" s="4" t="inlineStr">
        <is>
          <t>PR04</t>
        </is>
      </c>
      <c r="I939" s="8" t="n">
        <v>42</v>
      </c>
      <c r="J939" s="9" t="n">
        <v>0.12</v>
      </c>
      <c r="K939" s="10">
        <f>I939*(1-J939)</f>
        <v/>
      </c>
      <c r="L939" s="11" t="n">
        <v>2</v>
      </c>
      <c r="M939" s="10">
        <f>K939*L939</f>
        <v/>
      </c>
      <c r="N939" s="8" t="n">
        <v>18.69</v>
      </c>
      <c r="O939" s="10">
        <f>N939*L939</f>
        <v/>
      </c>
      <c r="P939" s="10">
        <f>M939-O939</f>
        <v/>
      </c>
      <c r="Q939" s="11" t="inlineStr">
        <is>
          <t>No</t>
        </is>
      </c>
      <c r="R939" s="11" t="n">
        <v>0</v>
      </c>
      <c r="S939" s="10">
        <f>M939-(R939*K939)</f>
        <v/>
      </c>
      <c r="T939" s="12">
        <f>VLOOKUP(E939,Dim_Product!$A$2:$Q$61,3,FALSE)</f>
        <v/>
      </c>
      <c r="U939" s="12">
        <f>VLOOKUP(E939,Dim_Product!$A$2:$Q$61,4,FALSE)</f>
        <v/>
      </c>
      <c r="V939" s="12">
        <f>VLOOKUP(D939,Dim_Customer!$A$2:$I$121,6,FALSE)</f>
        <v/>
      </c>
      <c r="W939" s="12">
        <f>VLOOKUP(G939,Dim_Channel!$A$2:$B$5,2,FALSE)</f>
        <v/>
      </c>
      <c r="X939" s="12">
        <f>VLOOKUP(H939,Dim_Promotion!$A$2:$G$11,2,FALSE)</f>
        <v/>
      </c>
    </row>
    <row r="940">
      <c r="A940" s="4" t="inlineStr">
        <is>
          <t>SL0939</t>
        </is>
      </c>
      <c r="B940" t="inlineStr">
        <is>
          <t>O010470</t>
        </is>
      </c>
      <c r="C940" t="n">
        <v>20250911</v>
      </c>
      <c r="D940" s="4" t="inlineStr">
        <is>
          <t>C046</t>
        </is>
      </c>
      <c r="E940" s="4" t="inlineStr">
        <is>
          <t>P048</t>
        </is>
      </c>
      <c r="F940" t="inlineStr">
        <is>
          <t>XS</t>
        </is>
      </c>
      <c r="G940" s="4" t="inlineStr">
        <is>
          <t>CH02</t>
        </is>
      </c>
      <c r="H940" s="4" t="inlineStr">
        <is>
          <t>PR00</t>
        </is>
      </c>
      <c r="I940" s="8" t="n">
        <v>68</v>
      </c>
      <c r="J940" s="9" t="n">
        <v>0</v>
      </c>
      <c r="K940" s="10">
        <f>I940*(1-J940)</f>
        <v/>
      </c>
      <c r="L940" s="11" t="n">
        <v>1</v>
      </c>
      <c r="M940" s="10">
        <f>K940*L940</f>
        <v/>
      </c>
      <c r="N940" s="8" t="n">
        <v>33.4</v>
      </c>
      <c r="O940" s="10">
        <f>N940*L940</f>
        <v/>
      </c>
      <c r="P940" s="10">
        <f>M940-O940</f>
        <v/>
      </c>
      <c r="Q940" s="11" t="inlineStr">
        <is>
          <t>No</t>
        </is>
      </c>
      <c r="R940" s="11" t="n">
        <v>0</v>
      </c>
      <c r="S940" s="10">
        <f>M940-(R940*K940)</f>
        <v/>
      </c>
      <c r="T940" s="12">
        <f>VLOOKUP(E940,Dim_Product!$A$2:$Q$61,3,FALSE)</f>
        <v/>
      </c>
      <c r="U940" s="12">
        <f>VLOOKUP(E940,Dim_Product!$A$2:$Q$61,4,FALSE)</f>
        <v/>
      </c>
      <c r="V940" s="12">
        <f>VLOOKUP(D940,Dim_Customer!$A$2:$I$121,6,FALSE)</f>
        <v/>
      </c>
      <c r="W940" s="12">
        <f>VLOOKUP(G940,Dim_Channel!$A$2:$B$5,2,FALSE)</f>
        <v/>
      </c>
      <c r="X940" s="12">
        <f>VLOOKUP(H940,Dim_Promotion!$A$2:$G$11,2,FALSE)</f>
        <v/>
      </c>
    </row>
    <row r="941">
      <c r="A941" s="4" t="inlineStr">
        <is>
          <t>SL0940</t>
        </is>
      </c>
      <c r="B941" t="inlineStr">
        <is>
          <t>O010470</t>
        </is>
      </c>
      <c r="C941" t="n">
        <v>20250930</v>
      </c>
      <c r="D941" s="4" t="inlineStr">
        <is>
          <t>C077</t>
        </is>
      </c>
      <c r="E941" s="4" t="inlineStr">
        <is>
          <t>P035</t>
        </is>
      </c>
      <c r="F941" t="inlineStr">
        <is>
          <t>S</t>
        </is>
      </c>
      <c r="G941" s="4" t="inlineStr">
        <is>
          <t>CH04</t>
        </is>
      </c>
      <c r="H941" s="4" t="inlineStr">
        <is>
          <t>PR00</t>
        </is>
      </c>
      <c r="I941" s="8" t="n">
        <v>88</v>
      </c>
      <c r="J941" s="9" t="n">
        <v>0</v>
      </c>
      <c r="K941" s="10">
        <f>I941*(1-J941)</f>
        <v/>
      </c>
      <c r="L941" s="11" t="n">
        <v>2</v>
      </c>
      <c r="M941" s="10">
        <f>K941*L941</f>
        <v/>
      </c>
      <c r="N941" s="8" t="n">
        <v>43.23</v>
      </c>
      <c r="O941" s="10">
        <f>N941*L941</f>
        <v/>
      </c>
      <c r="P941" s="10">
        <f>M941-O941</f>
        <v/>
      </c>
      <c r="Q941" s="11" t="inlineStr">
        <is>
          <t>No</t>
        </is>
      </c>
      <c r="R941" s="11" t="n">
        <v>0</v>
      </c>
      <c r="S941" s="10">
        <f>M941-(R941*K941)</f>
        <v/>
      </c>
      <c r="T941" s="12">
        <f>VLOOKUP(E941,Dim_Product!$A$2:$Q$61,3,FALSE)</f>
        <v/>
      </c>
      <c r="U941" s="12">
        <f>VLOOKUP(E941,Dim_Product!$A$2:$Q$61,4,FALSE)</f>
        <v/>
      </c>
      <c r="V941" s="12">
        <f>VLOOKUP(D941,Dim_Customer!$A$2:$I$121,6,FALSE)</f>
        <v/>
      </c>
      <c r="W941" s="12">
        <f>VLOOKUP(G941,Dim_Channel!$A$2:$B$5,2,FALSE)</f>
        <v/>
      </c>
      <c r="X941" s="12">
        <f>VLOOKUP(H941,Dim_Promotion!$A$2:$G$11,2,FALSE)</f>
        <v/>
      </c>
    </row>
    <row r="942">
      <c r="A942" s="4" t="inlineStr">
        <is>
          <t>SL0941</t>
        </is>
      </c>
      <c r="B942" t="inlineStr">
        <is>
          <t>O010471</t>
        </is>
      </c>
      <c r="C942" t="n">
        <v>20250109</v>
      </c>
      <c r="D942" s="4" t="inlineStr">
        <is>
          <t>C027</t>
        </is>
      </c>
      <c r="E942" s="4" t="inlineStr">
        <is>
          <t>P008</t>
        </is>
      </c>
      <c r="F942" t="inlineStr">
        <is>
          <t>L</t>
        </is>
      </c>
      <c r="G942" s="4" t="inlineStr">
        <is>
          <t>CH03</t>
        </is>
      </c>
      <c r="H942" s="4" t="inlineStr">
        <is>
          <t>PR00</t>
        </is>
      </c>
      <c r="I942" s="8" t="n">
        <v>53</v>
      </c>
      <c r="J942" s="9" t="n">
        <v>0</v>
      </c>
      <c r="K942" s="10">
        <f>I942*(1-J942)</f>
        <v/>
      </c>
      <c r="L942" s="11" t="n">
        <v>2</v>
      </c>
      <c r="M942" s="10">
        <f>K942*L942</f>
        <v/>
      </c>
      <c r="N942" s="8" t="n">
        <v>23.91</v>
      </c>
      <c r="O942" s="10">
        <f>N942*L942</f>
        <v/>
      </c>
      <c r="P942" s="10">
        <f>M942-O942</f>
        <v/>
      </c>
      <c r="Q942" s="11" t="inlineStr">
        <is>
          <t>No</t>
        </is>
      </c>
      <c r="R942" s="11" t="n">
        <v>0</v>
      </c>
      <c r="S942" s="10">
        <f>M942-(R942*K942)</f>
        <v/>
      </c>
      <c r="T942" s="12">
        <f>VLOOKUP(E942,Dim_Product!$A$2:$Q$61,3,FALSE)</f>
        <v/>
      </c>
      <c r="U942" s="12">
        <f>VLOOKUP(E942,Dim_Product!$A$2:$Q$61,4,FALSE)</f>
        <v/>
      </c>
      <c r="V942" s="12">
        <f>VLOOKUP(D942,Dim_Customer!$A$2:$I$121,6,FALSE)</f>
        <v/>
      </c>
      <c r="W942" s="12">
        <f>VLOOKUP(G942,Dim_Channel!$A$2:$B$5,2,FALSE)</f>
        <v/>
      </c>
      <c r="X942" s="12">
        <f>VLOOKUP(H942,Dim_Promotion!$A$2:$G$11,2,FALSE)</f>
        <v/>
      </c>
    </row>
    <row r="943">
      <c r="A943" s="4" t="inlineStr">
        <is>
          <t>SL0942</t>
        </is>
      </c>
      <c r="B943" t="inlineStr">
        <is>
          <t>O010471</t>
        </is>
      </c>
      <c r="C943" t="n">
        <v>20250606</v>
      </c>
      <c r="D943" s="4" t="inlineStr">
        <is>
          <t>C077</t>
        </is>
      </c>
      <c r="E943" s="4" t="inlineStr">
        <is>
          <t>P025</t>
        </is>
      </c>
      <c r="F943" t="inlineStr">
        <is>
          <t>XL</t>
        </is>
      </c>
      <c r="G943" s="4" t="inlineStr">
        <is>
          <t>CH02</t>
        </is>
      </c>
      <c r="H943" s="4" t="inlineStr">
        <is>
          <t>PR00</t>
        </is>
      </c>
      <c r="I943" s="8" t="n">
        <v>97</v>
      </c>
      <c r="J943" s="9" t="n">
        <v>0</v>
      </c>
      <c r="K943" s="10">
        <f>I943*(1-J943)</f>
        <v/>
      </c>
      <c r="L943" s="11" t="n">
        <v>1</v>
      </c>
      <c r="M943" s="10">
        <f>K943*L943</f>
        <v/>
      </c>
      <c r="N943" s="8" t="n">
        <v>44.54</v>
      </c>
      <c r="O943" s="10">
        <f>N943*L943</f>
        <v/>
      </c>
      <c r="P943" s="10">
        <f>M943-O943</f>
        <v/>
      </c>
      <c r="Q943" s="11" t="inlineStr">
        <is>
          <t>No</t>
        </is>
      </c>
      <c r="R943" s="11" t="n">
        <v>0</v>
      </c>
      <c r="S943" s="10">
        <f>M943-(R943*K943)</f>
        <v/>
      </c>
      <c r="T943" s="12">
        <f>VLOOKUP(E943,Dim_Product!$A$2:$Q$61,3,FALSE)</f>
        <v/>
      </c>
      <c r="U943" s="12">
        <f>VLOOKUP(E943,Dim_Product!$A$2:$Q$61,4,FALSE)</f>
        <v/>
      </c>
      <c r="V943" s="12">
        <f>VLOOKUP(D943,Dim_Customer!$A$2:$I$121,6,FALSE)</f>
        <v/>
      </c>
      <c r="W943" s="12">
        <f>VLOOKUP(G943,Dim_Channel!$A$2:$B$5,2,FALSE)</f>
        <v/>
      </c>
      <c r="X943" s="12">
        <f>VLOOKUP(H943,Dim_Promotion!$A$2:$G$11,2,FALSE)</f>
        <v/>
      </c>
    </row>
    <row r="944">
      <c r="A944" s="4" t="inlineStr">
        <is>
          <t>SL0943</t>
        </is>
      </c>
      <c r="B944" t="inlineStr">
        <is>
          <t>O010472</t>
        </is>
      </c>
      <c r="C944" t="n">
        <v>20251204</v>
      </c>
      <c r="D944" s="4" t="inlineStr">
        <is>
          <t>C007</t>
        </is>
      </c>
      <c r="E944" s="4" t="inlineStr">
        <is>
          <t>P051</t>
        </is>
      </c>
      <c r="F944" t="inlineStr">
        <is>
          <t>M</t>
        </is>
      </c>
      <c r="G944" s="4" t="inlineStr">
        <is>
          <t>CH01</t>
        </is>
      </c>
      <c r="H944" s="4" t="inlineStr">
        <is>
          <t>PR09</t>
        </is>
      </c>
      <c r="I944" s="8" t="n">
        <v>72</v>
      </c>
      <c r="J944" s="9" t="n">
        <v>0.15</v>
      </c>
      <c r="K944" s="10">
        <f>I944*(1-J944)</f>
        <v/>
      </c>
      <c r="L944" s="11" t="n">
        <v>1</v>
      </c>
      <c r="M944" s="10">
        <f>K944*L944</f>
        <v/>
      </c>
      <c r="N944" s="8" t="n">
        <v>29.18</v>
      </c>
      <c r="O944" s="10">
        <f>N944*L944</f>
        <v/>
      </c>
      <c r="P944" s="10">
        <f>M944-O944</f>
        <v/>
      </c>
      <c r="Q944" s="11" t="inlineStr">
        <is>
          <t>No</t>
        </is>
      </c>
      <c r="R944" s="11" t="n">
        <v>0</v>
      </c>
      <c r="S944" s="10">
        <f>M944-(R944*K944)</f>
        <v/>
      </c>
      <c r="T944" s="12">
        <f>VLOOKUP(E944,Dim_Product!$A$2:$Q$61,3,FALSE)</f>
        <v/>
      </c>
      <c r="U944" s="12">
        <f>VLOOKUP(E944,Dim_Product!$A$2:$Q$61,4,FALSE)</f>
        <v/>
      </c>
      <c r="V944" s="12">
        <f>VLOOKUP(D944,Dim_Customer!$A$2:$I$121,6,FALSE)</f>
        <v/>
      </c>
      <c r="W944" s="12">
        <f>VLOOKUP(G944,Dim_Channel!$A$2:$B$5,2,FALSE)</f>
        <v/>
      </c>
      <c r="X944" s="12">
        <f>VLOOKUP(H944,Dim_Promotion!$A$2:$G$11,2,FALSE)</f>
        <v/>
      </c>
    </row>
    <row r="945">
      <c r="A945" s="4" t="inlineStr">
        <is>
          <t>SL0944</t>
        </is>
      </c>
      <c r="B945" t="inlineStr">
        <is>
          <t>O010472</t>
        </is>
      </c>
      <c r="C945" t="n">
        <v>20250320</v>
      </c>
      <c r="D945" s="4" t="inlineStr">
        <is>
          <t>C108</t>
        </is>
      </c>
      <c r="E945" s="4" t="inlineStr">
        <is>
          <t>P045</t>
        </is>
      </c>
      <c r="F945" t="inlineStr">
        <is>
          <t>S</t>
        </is>
      </c>
      <c r="G945" s="4" t="inlineStr">
        <is>
          <t>CH03</t>
        </is>
      </c>
      <c r="H945" s="4" t="inlineStr">
        <is>
          <t>PR00</t>
        </is>
      </c>
      <c r="I945" s="8" t="n">
        <v>68</v>
      </c>
      <c r="J945" s="9" t="n">
        <v>0</v>
      </c>
      <c r="K945" s="10">
        <f>I945*(1-J945)</f>
        <v/>
      </c>
      <c r="L945" s="11" t="n">
        <v>1</v>
      </c>
      <c r="M945" s="10">
        <f>K945*L945</f>
        <v/>
      </c>
      <c r="N945" s="8" t="n">
        <v>33.76</v>
      </c>
      <c r="O945" s="10">
        <f>N945*L945</f>
        <v/>
      </c>
      <c r="P945" s="10">
        <f>M945-O945</f>
        <v/>
      </c>
      <c r="Q945" s="11" t="inlineStr">
        <is>
          <t>No</t>
        </is>
      </c>
      <c r="R945" s="11" t="n">
        <v>0</v>
      </c>
      <c r="S945" s="10">
        <f>M945-(R945*K945)</f>
        <v/>
      </c>
      <c r="T945" s="12">
        <f>VLOOKUP(E945,Dim_Product!$A$2:$Q$61,3,FALSE)</f>
        <v/>
      </c>
      <c r="U945" s="12">
        <f>VLOOKUP(E945,Dim_Product!$A$2:$Q$61,4,FALSE)</f>
        <v/>
      </c>
      <c r="V945" s="12">
        <f>VLOOKUP(D945,Dim_Customer!$A$2:$I$121,6,FALSE)</f>
        <v/>
      </c>
      <c r="W945" s="12">
        <f>VLOOKUP(G945,Dim_Channel!$A$2:$B$5,2,FALSE)</f>
        <v/>
      </c>
      <c r="X945" s="12">
        <f>VLOOKUP(H945,Dim_Promotion!$A$2:$G$11,2,FALSE)</f>
        <v/>
      </c>
    </row>
    <row r="946">
      <c r="A946" s="4" t="inlineStr">
        <is>
          <t>SL0945</t>
        </is>
      </c>
      <c r="B946" t="inlineStr">
        <is>
          <t>O010473</t>
        </is>
      </c>
      <c r="C946" t="n">
        <v>20250103</v>
      </c>
      <c r="D946" s="4" t="inlineStr">
        <is>
          <t>C018</t>
        </is>
      </c>
      <c r="E946" s="4" t="inlineStr">
        <is>
          <t>P008</t>
        </is>
      </c>
      <c r="F946" t="inlineStr">
        <is>
          <t>XL</t>
        </is>
      </c>
      <c r="G946" s="4" t="inlineStr">
        <is>
          <t>CH01</t>
        </is>
      </c>
      <c r="H946" s="4" t="inlineStr">
        <is>
          <t>PR00</t>
        </is>
      </c>
      <c r="I946" s="8" t="n">
        <v>52</v>
      </c>
      <c r="J946" s="9" t="n">
        <v>0</v>
      </c>
      <c r="K946" s="10">
        <f>I946*(1-J946)</f>
        <v/>
      </c>
      <c r="L946" s="11" t="n">
        <v>1</v>
      </c>
      <c r="M946" s="10">
        <f>K946*L946</f>
        <v/>
      </c>
      <c r="N946" s="8" t="n">
        <v>23.01</v>
      </c>
      <c r="O946" s="10">
        <f>N946*L946</f>
        <v/>
      </c>
      <c r="P946" s="10">
        <f>M946-O946</f>
        <v/>
      </c>
      <c r="Q946" s="11" t="inlineStr">
        <is>
          <t>Yes</t>
        </is>
      </c>
      <c r="R946" s="11" t="n">
        <v>1</v>
      </c>
      <c r="S946" s="10">
        <f>M946-(R946*K946)</f>
        <v/>
      </c>
      <c r="T946" s="12">
        <f>VLOOKUP(E946,Dim_Product!$A$2:$Q$61,3,FALSE)</f>
        <v/>
      </c>
      <c r="U946" s="12">
        <f>VLOOKUP(E946,Dim_Product!$A$2:$Q$61,4,FALSE)</f>
        <v/>
      </c>
      <c r="V946" s="12">
        <f>VLOOKUP(D946,Dim_Customer!$A$2:$I$121,6,FALSE)</f>
        <v/>
      </c>
      <c r="W946" s="12">
        <f>VLOOKUP(G946,Dim_Channel!$A$2:$B$5,2,FALSE)</f>
        <v/>
      </c>
      <c r="X946" s="12">
        <f>VLOOKUP(H946,Dim_Promotion!$A$2:$G$11,2,FALSE)</f>
        <v/>
      </c>
    </row>
    <row r="947">
      <c r="A947" s="4" t="inlineStr">
        <is>
          <t>SL0946</t>
        </is>
      </c>
      <c r="B947" t="inlineStr">
        <is>
          <t>O010473</t>
        </is>
      </c>
      <c r="C947" t="n">
        <v>20250817</v>
      </c>
      <c r="D947" s="4" t="inlineStr">
        <is>
          <t>C054</t>
        </is>
      </c>
      <c r="E947" s="4" t="inlineStr">
        <is>
          <t>P038</t>
        </is>
      </c>
      <c r="F947" t="inlineStr">
        <is>
          <t>S</t>
        </is>
      </c>
      <c r="G947" s="4" t="inlineStr">
        <is>
          <t>CH03</t>
        </is>
      </c>
      <c r="H947" s="4" t="inlineStr">
        <is>
          <t>PR00</t>
        </is>
      </c>
      <c r="I947" s="8" t="n">
        <v>75</v>
      </c>
      <c r="J947" s="9" t="n">
        <v>0</v>
      </c>
      <c r="K947" s="10">
        <f>I947*(1-J947)</f>
        <v/>
      </c>
      <c r="L947" s="11" t="n">
        <v>1</v>
      </c>
      <c r="M947" s="10">
        <f>K947*L947</f>
        <v/>
      </c>
      <c r="N947" s="8" t="n">
        <v>33.85</v>
      </c>
      <c r="O947" s="10">
        <f>N947*L947</f>
        <v/>
      </c>
      <c r="P947" s="10">
        <f>M947-O947</f>
        <v/>
      </c>
      <c r="Q947" s="11" t="inlineStr">
        <is>
          <t>No</t>
        </is>
      </c>
      <c r="R947" s="11" t="n">
        <v>0</v>
      </c>
      <c r="S947" s="10">
        <f>M947-(R947*K947)</f>
        <v/>
      </c>
      <c r="T947" s="12">
        <f>VLOOKUP(E947,Dim_Product!$A$2:$Q$61,3,FALSE)</f>
        <v/>
      </c>
      <c r="U947" s="12">
        <f>VLOOKUP(E947,Dim_Product!$A$2:$Q$61,4,FALSE)</f>
        <v/>
      </c>
      <c r="V947" s="12">
        <f>VLOOKUP(D947,Dim_Customer!$A$2:$I$121,6,FALSE)</f>
        <v/>
      </c>
      <c r="W947" s="12">
        <f>VLOOKUP(G947,Dim_Channel!$A$2:$B$5,2,FALSE)</f>
        <v/>
      </c>
      <c r="X947" s="12">
        <f>VLOOKUP(H947,Dim_Promotion!$A$2:$G$11,2,FALSE)</f>
        <v/>
      </c>
    </row>
    <row r="948">
      <c r="A948" s="4" t="inlineStr">
        <is>
          <t>SL0947</t>
        </is>
      </c>
      <c r="B948" t="inlineStr">
        <is>
          <t>O010474</t>
        </is>
      </c>
      <c r="C948" t="n">
        <v>20250402</v>
      </c>
      <c r="D948" s="4" t="inlineStr">
        <is>
          <t>C083</t>
        </is>
      </c>
      <c r="E948" s="4" t="inlineStr">
        <is>
          <t>P040</t>
        </is>
      </c>
      <c r="F948" t="inlineStr">
        <is>
          <t>M</t>
        </is>
      </c>
      <c r="G948" s="4" t="inlineStr">
        <is>
          <t>CH03</t>
        </is>
      </c>
      <c r="H948" s="4" t="inlineStr">
        <is>
          <t>PR00</t>
        </is>
      </c>
      <c r="I948" s="8" t="n">
        <v>68</v>
      </c>
      <c r="J948" s="9" t="n">
        <v>0</v>
      </c>
      <c r="K948" s="10">
        <f>I948*(1-J948)</f>
        <v/>
      </c>
      <c r="L948" s="11" t="n">
        <v>1</v>
      </c>
      <c r="M948" s="10">
        <f>K948*L948</f>
        <v/>
      </c>
      <c r="N948" s="8" t="n">
        <v>33.79</v>
      </c>
      <c r="O948" s="10">
        <f>N948*L948</f>
        <v/>
      </c>
      <c r="P948" s="10">
        <f>M948-O948</f>
        <v/>
      </c>
      <c r="Q948" s="11" t="inlineStr">
        <is>
          <t>No</t>
        </is>
      </c>
      <c r="R948" s="11" t="n">
        <v>0</v>
      </c>
      <c r="S948" s="10">
        <f>M948-(R948*K948)</f>
        <v/>
      </c>
      <c r="T948" s="12">
        <f>VLOOKUP(E948,Dim_Product!$A$2:$Q$61,3,FALSE)</f>
        <v/>
      </c>
      <c r="U948" s="12">
        <f>VLOOKUP(E948,Dim_Product!$A$2:$Q$61,4,FALSE)</f>
        <v/>
      </c>
      <c r="V948" s="12">
        <f>VLOOKUP(D948,Dim_Customer!$A$2:$I$121,6,FALSE)</f>
        <v/>
      </c>
      <c r="W948" s="12">
        <f>VLOOKUP(G948,Dim_Channel!$A$2:$B$5,2,FALSE)</f>
        <v/>
      </c>
      <c r="X948" s="12">
        <f>VLOOKUP(H948,Dim_Promotion!$A$2:$G$11,2,FALSE)</f>
        <v/>
      </c>
    </row>
    <row r="949">
      <c r="A949" s="4" t="inlineStr">
        <is>
          <t>SL0948</t>
        </is>
      </c>
      <c r="B949" t="inlineStr">
        <is>
          <t>O010474</t>
        </is>
      </c>
      <c r="C949" t="n">
        <v>20251117</v>
      </c>
      <c r="D949" s="4" t="inlineStr">
        <is>
          <t>C041</t>
        </is>
      </c>
      <c r="E949" s="4" t="inlineStr">
        <is>
          <t>P018</t>
        </is>
      </c>
      <c r="F949" t="inlineStr">
        <is>
          <t>M</t>
        </is>
      </c>
      <c r="G949" s="4" t="inlineStr">
        <is>
          <t>CH01</t>
        </is>
      </c>
      <c r="H949" s="4" t="inlineStr">
        <is>
          <t>PR00</t>
        </is>
      </c>
      <c r="I949" s="8" t="n">
        <v>65</v>
      </c>
      <c r="J949" s="9" t="n">
        <v>0</v>
      </c>
      <c r="K949" s="10">
        <f>I949*(1-J949)</f>
        <v/>
      </c>
      <c r="L949" s="11" t="n">
        <v>1</v>
      </c>
      <c r="M949" s="10">
        <f>K949*L949</f>
        <v/>
      </c>
      <c r="N949" s="8" t="n">
        <v>30.45</v>
      </c>
      <c r="O949" s="10">
        <f>N949*L949</f>
        <v/>
      </c>
      <c r="P949" s="10">
        <f>M949-O949</f>
        <v/>
      </c>
      <c r="Q949" s="11" t="inlineStr">
        <is>
          <t>No</t>
        </is>
      </c>
      <c r="R949" s="11" t="n">
        <v>0</v>
      </c>
      <c r="S949" s="10">
        <f>M949-(R949*K949)</f>
        <v/>
      </c>
      <c r="T949" s="12">
        <f>VLOOKUP(E949,Dim_Product!$A$2:$Q$61,3,FALSE)</f>
        <v/>
      </c>
      <c r="U949" s="12">
        <f>VLOOKUP(E949,Dim_Product!$A$2:$Q$61,4,FALSE)</f>
        <v/>
      </c>
      <c r="V949" s="12">
        <f>VLOOKUP(D949,Dim_Customer!$A$2:$I$121,6,FALSE)</f>
        <v/>
      </c>
      <c r="W949" s="12">
        <f>VLOOKUP(G949,Dim_Channel!$A$2:$B$5,2,FALSE)</f>
        <v/>
      </c>
      <c r="X949" s="12">
        <f>VLOOKUP(H949,Dim_Promotion!$A$2:$G$11,2,FALSE)</f>
        <v/>
      </c>
    </row>
    <row r="950">
      <c r="A950" s="4" t="inlineStr">
        <is>
          <t>SL0949</t>
        </is>
      </c>
      <c r="B950" t="inlineStr">
        <is>
          <t>O010475</t>
        </is>
      </c>
      <c r="C950" t="n">
        <v>20250419</v>
      </c>
      <c r="D950" s="4" t="inlineStr">
        <is>
          <t>C063</t>
        </is>
      </c>
      <c r="E950" s="4" t="inlineStr">
        <is>
          <t>P001</t>
        </is>
      </c>
      <c r="F950" t="inlineStr">
        <is>
          <t>L</t>
        </is>
      </c>
      <c r="G950" s="4" t="inlineStr">
        <is>
          <t>CH01</t>
        </is>
      </c>
      <c r="H950" s="4" t="inlineStr">
        <is>
          <t>PR00</t>
        </is>
      </c>
      <c r="I950" s="8" t="n">
        <v>40</v>
      </c>
      <c r="J950" s="9" t="n">
        <v>0</v>
      </c>
      <c r="K950" s="10">
        <f>I950*(1-J950)</f>
        <v/>
      </c>
      <c r="L950" s="11" t="n">
        <v>1</v>
      </c>
      <c r="M950" s="10">
        <f>K950*L950</f>
        <v/>
      </c>
      <c r="N950" s="8" t="n">
        <v>16.67</v>
      </c>
      <c r="O950" s="10">
        <f>N950*L950</f>
        <v/>
      </c>
      <c r="P950" s="10">
        <f>M950-O950</f>
        <v/>
      </c>
      <c r="Q950" s="11" t="inlineStr">
        <is>
          <t>No</t>
        </is>
      </c>
      <c r="R950" s="11" t="n">
        <v>0</v>
      </c>
      <c r="S950" s="10">
        <f>M950-(R950*K950)</f>
        <v/>
      </c>
      <c r="T950" s="12">
        <f>VLOOKUP(E950,Dim_Product!$A$2:$Q$61,3,FALSE)</f>
        <v/>
      </c>
      <c r="U950" s="12">
        <f>VLOOKUP(E950,Dim_Product!$A$2:$Q$61,4,FALSE)</f>
        <v/>
      </c>
      <c r="V950" s="12">
        <f>VLOOKUP(D950,Dim_Customer!$A$2:$I$121,6,FALSE)</f>
        <v/>
      </c>
      <c r="W950" s="12">
        <f>VLOOKUP(G950,Dim_Channel!$A$2:$B$5,2,FALSE)</f>
        <v/>
      </c>
      <c r="X950" s="12">
        <f>VLOOKUP(H950,Dim_Promotion!$A$2:$G$11,2,FALSE)</f>
        <v/>
      </c>
    </row>
    <row r="951">
      <c r="A951" s="4" t="inlineStr">
        <is>
          <t>SL0950</t>
        </is>
      </c>
      <c r="B951" t="inlineStr">
        <is>
          <t>O010475</t>
        </is>
      </c>
      <c r="C951" t="n">
        <v>20250909</v>
      </c>
      <c r="D951" s="4" t="inlineStr">
        <is>
          <t>C072</t>
        </is>
      </c>
      <c r="E951" s="4" t="inlineStr">
        <is>
          <t>P021</t>
        </is>
      </c>
      <c r="F951" t="inlineStr">
        <is>
          <t>XL</t>
        </is>
      </c>
      <c r="G951" s="4" t="inlineStr">
        <is>
          <t>CH03</t>
        </is>
      </c>
      <c r="H951" s="4" t="inlineStr">
        <is>
          <t>PR00</t>
        </is>
      </c>
      <c r="I951" s="8" t="n">
        <v>54</v>
      </c>
      <c r="J951" s="9" t="n">
        <v>0</v>
      </c>
      <c r="K951" s="10">
        <f>I951*(1-J951)</f>
        <v/>
      </c>
      <c r="L951" s="11" t="n">
        <v>1</v>
      </c>
      <c r="M951" s="10">
        <f>K951*L951</f>
        <v/>
      </c>
      <c r="N951" s="8" t="n">
        <v>27.88</v>
      </c>
      <c r="O951" s="10">
        <f>N951*L951</f>
        <v/>
      </c>
      <c r="P951" s="10">
        <f>M951-O951</f>
        <v/>
      </c>
      <c r="Q951" s="11" t="inlineStr">
        <is>
          <t>No</t>
        </is>
      </c>
      <c r="R951" s="11" t="n">
        <v>0</v>
      </c>
      <c r="S951" s="10">
        <f>M951-(R951*K951)</f>
        <v/>
      </c>
      <c r="T951" s="12">
        <f>VLOOKUP(E951,Dim_Product!$A$2:$Q$61,3,FALSE)</f>
        <v/>
      </c>
      <c r="U951" s="12">
        <f>VLOOKUP(E951,Dim_Product!$A$2:$Q$61,4,FALSE)</f>
        <v/>
      </c>
      <c r="V951" s="12">
        <f>VLOOKUP(D951,Dim_Customer!$A$2:$I$121,6,FALSE)</f>
        <v/>
      </c>
      <c r="W951" s="12">
        <f>VLOOKUP(G951,Dim_Channel!$A$2:$B$5,2,FALSE)</f>
        <v/>
      </c>
      <c r="X951" s="12">
        <f>VLOOKUP(H951,Dim_Promotion!$A$2:$G$11,2,FALSE)</f>
        <v/>
      </c>
    </row>
    <row r="952">
      <c r="A952" s="4" t="inlineStr">
        <is>
          <t>SL0951</t>
        </is>
      </c>
      <c r="B952" t="inlineStr">
        <is>
          <t>O010476</t>
        </is>
      </c>
      <c r="C952" t="n">
        <v>20250501</v>
      </c>
      <c r="D952" s="4" t="inlineStr">
        <is>
          <t>C058</t>
        </is>
      </c>
      <c r="E952" s="4" t="inlineStr">
        <is>
          <t>P035</t>
        </is>
      </c>
      <c r="F952" t="inlineStr">
        <is>
          <t>L</t>
        </is>
      </c>
      <c r="G952" s="4" t="inlineStr">
        <is>
          <t>CH01</t>
        </is>
      </c>
      <c r="H952" s="4" t="inlineStr">
        <is>
          <t>PR00</t>
        </is>
      </c>
      <c r="I952" s="8" t="n">
        <v>88</v>
      </c>
      <c r="J952" s="9" t="n">
        <v>0.05</v>
      </c>
      <c r="K952" s="10">
        <f>I952*(1-J952)</f>
        <v/>
      </c>
      <c r="L952" s="11" t="n">
        <v>1</v>
      </c>
      <c r="M952" s="10">
        <f>K952*L952</f>
        <v/>
      </c>
      <c r="N952" s="8" t="n">
        <v>43.61</v>
      </c>
      <c r="O952" s="10">
        <f>N952*L952</f>
        <v/>
      </c>
      <c r="P952" s="10">
        <f>M952-O952</f>
        <v/>
      </c>
      <c r="Q952" s="11" t="inlineStr">
        <is>
          <t>No</t>
        </is>
      </c>
      <c r="R952" s="11" t="n">
        <v>0</v>
      </c>
      <c r="S952" s="10">
        <f>M952-(R952*K952)</f>
        <v/>
      </c>
      <c r="T952" s="12">
        <f>VLOOKUP(E952,Dim_Product!$A$2:$Q$61,3,FALSE)</f>
        <v/>
      </c>
      <c r="U952" s="12">
        <f>VLOOKUP(E952,Dim_Product!$A$2:$Q$61,4,FALSE)</f>
        <v/>
      </c>
      <c r="V952" s="12">
        <f>VLOOKUP(D952,Dim_Customer!$A$2:$I$121,6,FALSE)</f>
        <v/>
      </c>
      <c r="W952" s="12">
        <f>VLOOKUP(G952,Dim_Channel!$A$2:$B$5,2,FALSE)</f>
        <v/>
      </c>
      <c r="X952" s="12">
        <f>VLOOKUP(H952,Dim_Promotion!$A$2:$G$11,2,FALSE)</f>
        <v/>
      </c>
    </row>
    <row r="953">
      <c r="A953" s="4" t="inlineStr">
        <is>
          <t>SL0952</t>
        </is>
      </c>
      <c r="B953" t="inlineStr">
        <is>
          <t>O010476</t>
        </is>
      </c>
      <c r="C953" t="n">
        <v>20251122</v>
      </c>
      <c r="D953" s="4" t="inlineStr">
        <is>
          <t>C028</t>
        </is>
      </c>
      <c r="E953" s="4" t="inlineStr">
        <is>
          <t>P053</t>
        </is>
      </c>
      <c r="F953" t="inlineStr">
        <is>
          <t>S</t>
        </is>
      </c>
      <c r="G953" s="4" t="inlineStr">
        <is>
          <t>CH01</t>
        </is>
      </c>
      <c r="H953" s="4" t="inlineStr">
        <is>
          <t>PR00</t>
        </is>
      </c>
      <c r="I953" s="8" t="n">
        <v>74</v>
      </c>
      <c r="J953" s="9" t="n">
        <v>0</v>
      </c>
      <c r="K953" s="10">
        <f>I953*(1-J953)</f>
        <v/>
      </c>
      <c r="L953" s="11" t="n">
        <v>1</v>
      </c>
      <c r="M953" s="10">
        <f>K953*L953</f>
        <v/>
      </c>
      <c r="N953" s="8" t="n">
        <v>33.37</v>
      </c>
      <c r="O953" s="10">
        <f>N953*L953</f>
        <v/>
      </c>
      <c r="P953" s="10">
        <f>M953-O953</f>
        <v/>
      </c>
      <c r="Q953" s="11" t="inlineStr">
        <is>
          <t>Yes</t>
        </is>
      </c>
      <c r="R953" s="11" t="n">
        <v>1</v>
      </c>
      <c r="S953" s="10">
        <f>M953-(R953*K953)</f>
        <v/>
      </c>
      <c r="T953" s="12">
        <f>VLOOKUP(E953,Dim_Product!$A$2:$Q$61,3,FALSE)</f>
        <v/>
      </c>
      <c r="U953" s="12">
        <f>VLOOKUP(E953,Dim_Product!$A$2:$Q$61,4,FALSE)</f>
        <v/>
      </c>
      <c r="V953" s="12">
        <f>VLOOKUP(D953,Dim_Customer!$A$2:$I$121,6,FALSE)</f>
        <v/>
      </c>
      <c r="W953" s="12">
        <f>VLOOKUP(G953,Dim_Channel!$A$2:$B$5,2,FALSE)</f>
        <v/>
      </c>
      <c r="X953" s="12">
        <f>VLOOKUP(H953,Dim_Promotion!$A$2:$G$11,2,FALSE)</f>
        <v/>
      </c>
    </row>
    <row r="954">
      <c r="A954" s="4" t="inlineStr">
        <is>
          <t>SL0953</t>
        </is>
      </c>
      <c r="B954" t="inlineStr">
        <is>
          <t>O010477</t>
        </is>
      </c>
      <c r="C954" t="n">
        <v>20251107</v>
      </c>
      <c r="D954" s="4" t="inlineStr">
        <is>
          <t>C064</t>
        </is>
      </c>
      <c r="E954" s="4" t="inlineStr">
        <is>
          <t>P057</t>
        </is>
      </c>
      <c r="F954" t="inlineStr">
        <is>
          <t>M</t>
        </is>
      </c>
      <c r="G954" s="4" t="inlineStr">
        <is>
          <t>CH04</t>
        </is>
      </c>
      <c r="H954" s="4" t="inlineStr">
        <is>
          <t>PR00</t>
        </is>
      </c>
      <c r="I954" s="8" t="n">
        <v>75</v>
      </c>
      <c r="J954" s="9" t="n">
        <v>0</v>
      </c>
      <c r="K954" s="10">
        <f>I954*(1-J954)</f>
        <v/>
      </c>
      <c r="L954" s="11" t="n">
        <v>1</v>
      </c>
      <c r="M954" s="10">
        <f>K954*L954</f>
        <v/>
      </c>
      <c r="N954" s="8" t="n">
        <v>35.55</v>
      </c>
      <c r="O954" s="10">
        <f>N954*L954</f>
        <v/>
      </c>
      <c r="P954" s="10">
        <f>M954-O954</f>
        <v/>
      </c>
      <c r="Q954" s="11" t="inlineStr">
        <is>
          <t>No</t>
        </is>
      </c>
      <c r="R954" s="11" t="n">
        <v>0</v>
      </c>
      <c r="S954" s="10">
        <f>M954-(R954*K954)</f>
        <v/>
      </c>
      <c r="T954" s="12">
        <f>VLOOKUP(E954,Dim_Product!$A$2:$Q$61,3,FALSE)</f>
        <v/>
      </c>
      <c r="U954" s="12">
        <f>VLOOKUP(E954,Dim_Product!$A$2:$Q$61,4,FALSE)</f>
        <v/>
      </c>
      <c r="V954" s="12">
        <f>VLOOKUP(D954,Dim_Customer!$A$2:$I$121,6,FALSE)</f>
        <v/>
      </c>
      <c r="W954" s="12">
        <f>VLOOKUP(G954,Dim_Channel!$A$2:$B$5,2,FALSE)</f>
        <v/>
      </c>
      <c r="X954" s="12">
        <f>VLOOKUP(H954,Dim_Promotion!$A$2:$G$11,2,FALSE)</f>
        <v/>
      </c>
    </row>
    <row r="955">
      <c r="A955" s="4" t="inlineStr">
        <is>
          <t>SL0954</t>
        </is>
      </c>
      <c r="B955" t="inlineStr">
        <is>
          <t>O010477</t>
        </is>
      </c>
      <c r="C955" t="n">
        <v>20250908</v>
      </c>
      <c r="D955" s="4" t="inlineStr">
        <is>
          <t>C010</t>
        </is>
      </c>
      <c r="E955" s="4" t="inlineStr">
        <is>
          <t>P050</t>
        </is>
      </c>
      <c r="F955" t="inlineStr">
        <is>
          <t>XL</t>
        </is>
      </c>
      <c r="G955" s="4" t="inlineStr">
        <is>
          <t>CH04</t>
        </is>
      </c>
      <c r="H955" s="4" t="inlineStr">
        <is>
          <t>PR00</t>
        </is>
      </c>
      <c r="I955" s="8" t="n">
        <v>67</v>
      </c>
      <c r="J955" s="9" t="n">
        <v>0</v>
      </c>
      <c r="K955" s="10">
        <f>I955*(1-J955)</f>
        <v/>
      </c>
      <c r="L955" s="11" t="n">
        <v>2</v>
      </c>
      <c r="M955" s="10">
        <f>K955*L955</f>
        <v/>
      </c>
      <c r="N955" s="8" t="n">
        <v>31.13</v>
      </c>
      <c r="O955" s="10">
        <f>N955*L955</f>
        <v/>
      </c>
      <c r="P955" s="10">
        <f>M955-O955</f>
        <v/>
      </c>
      <c r="Q955" s="11" t="inlineStr">
        <is>
          <t>No</t>
        </is>
      </c>
      <c r="R955" s="11" t="n">
        <v>0</v>
      </c>
      <c r="S955" s="10">
        <f>M955-(R955*K955)</f>
        <v/>
      </c>
      <c r="T955" s="12">
        <f>VLOOKUP(E955,Dim_Product!$A$2:$Q$61,3,FALSE)</f>
        <v/>
      </c>
      <c r="U955" s="12">
        <f>VLOOKUP(E955,Dim_Product!$A$2:$Q$61,4,FALSE)</f>
        <v/>
      </c>
      <c r="V955" s="12">
        <f>VLOOKUP(D955,Dim_Customer!$A$2:$I$121,6,FALSE)</f>
        <v/>
      </c>
      <c r="W955" s="12">
        <f>VLOOKUP(G955,Dim_Channel!$A$2:$B$5,2,FALSE)</f>
        <v/>
      </c>
      <c r="X955" s="12">
        <f>VLOOKUP(H955,Dim_Promotion!$A$2:$G$11,2,FALSE)</f>
        <v/>
      </c>
    </row>
    <row r="956">
      <c r="A956" s="4" t="inlineStr">
        <is>
          <t>SL0955</t>
        </is>
      </c>
      <c r="B956" t="inlineStr">
        <is>
          <t>O010478</t>
        </is>
      </c>
      <c r="C956" t="n">
        <v>20250621</v>
      </c>
      <c r="D956" s="4" t="inlineStr">
        <is>
          <t>C025</t>
        </is>
      </c>
      <c r="E956" s="4" t="inlineStr">
        <is>
          <t>P021</t>
        </is>
      </c>
      <c r="F956" t="inlineStr">
        <is>
          <t>L</t>
        </is>
      </c>
      <c r="G956" s="4" t="inlineStr">
        <is>
          <t>CH01</t>
        </is>
      </c>
      <c r="H956" s="4" t="inlineStr">
        <is>
          <t>PR00</t>
        </is>
      </c>
      <c r="I956" s="8" t="n">
        <v>54</v>
      </c>
      <c r="J956" s="9" t="n">
        <v>0</v>
      </c>
      <c r="K956" s="10">
        <f>I956*(1-J956)</f>
        <v/>
      </c>
      <c r="L956" s="11" t="n">
        <v>1</v>
      </c>
      <c r="M956" s="10">
        <f>K956*L956</f>
        <v/>
      </c>
      <c r="N956" s="8" t="n">
        <v>29</v>
      </c>
      <c r="O956" s="10">
        <f>N956*L956</f>
        <v/>
      </c>
      <c r="P956" s="10">
        <f>M956-O956</f>
        <v/>
      </c>
      <c r="Q956" s="11" t="inlineStr">
        <is>
          <t>No</t>
        </is>
      </c>
      <c r="R956" s="11" t="n">
        <v>0</v>
      </c>
      <c r="S956" s="10">
        <f>M956-(R956*K956)</f>
        <v/>
      </c>
      <c r="T956" s="12">
        <f>VLOOKUP(E956,Dim_Product!$A$2:$Q$61,3,FALSE)</f>
        <v/>
      </c>
      <c r="U956" s="12">
        <f>VLOOKUP(E956,Dim_Product!$A$2:$Q$61,4,FALSE)</f>
        <v/>
      </c>
      <c r="V956" s="12">
        <f>VLOOKUP(D956,Dim_Customer!$A$2:$I$121,6,FALSE)</f>
        <v/>
      </c>
      <c r="W956" s="12">
        <f>VLOOKUP(G956,Dim_Channel!$A$2:$B$5,2,FALSE)</f>
        <v/>
      </c>
      <c r="X956" s="12">
        <f>VLOOKUP(H956,Dim_Promotion!$A$2:$G$11,2,FALSE)</f>
        <v/>
      </c>
    </row>
    <row r="957">
      <c r="A957" s="4" t="inlineStr">
        <is>
          <t>SL0956</t>
        </is>
      </c>
      <c r="B957" t="inlineStr">
        <is>
          <t>O010478</t>
        </is>
      </c>
      <c r="C957" t="n">
        <v>20251107</v>
      </c>
      <c r="D957" s="4" t="inlineStr">
        <is>
          <t>C016</t>
        </is>
      </c>
      <c r="E957" s="4" t="inlineStr">
        <is>
          <t>P055</t>
        </is>
      </c>
      <c r="F957" t="inlineStr">
        <is>
          <t>M</t>
        </is>
      </c>
      <c r="G957" s="4" t="inlineStr">
        <is>
          <t>CH01</t>
        </is>
      </c>
      <c r="H957" s="4" t="inlineStr">
        <is>
          <t>PR00</t>
        </is>
      </c>
      <c r="I957" s="8" t="n">
        <v>68</v>
      </c>
      <c r="J957" s="9" t="n">
        <v>0</v>
      </c>
      <c r="K957" s="10">
        <f>I957*(1-J957)</f>
        <v/>
      </c>
      <c r="L957" s="11" t="n">
        <v>1</v>
      </c>
      <c r="M957" s="10">
        <f>K957*L957</f>
        <v/>
      </c>
      <c r="N957" s="8" t="n">
        <v>34.8</v>
      </c>
      <c r="O957" s="10">
        <f>N957*L957</f>
        <v/>
      </c>
      <c r="P957" s="10">
        <f>M957-O957</f>
        <v/>
      </c>
      <c r="Q957" s="11" t="inlineStr">
        <is>
          <t>No</t>
        </is>
      </c>
      <c r="R957" s="11" t="n">
        <v>0</v>
      </c>
      <c r="S957" s="10">
        <f>M957-(R957*K957)</f>
        <v/>
      </c>
      <c r="T957" s="12">
        <f>VLOOKUP(E957,Dim_Product!$A$2:$Q$61,3,FALSE)</f>
        <v/>
      </c>
      <c r="U957" s="12">
        <f>VLOOKUP(E957,Dim_Product!$A$2:$Q$61,4,FALSE)</f>
        <v/>
      </c>
      <c r="V957" s="12">
        <f>VLOOKUP(D957,Dim_Customer!$A$2:$I$121,6,FALSE)</f>
        <v/>
      </c>
      <c r="W957" s="12">
        <f>VLOOKUP(G957,Dim_Channel!$A$2:$B$5,2,FALSE)</f>
        <v/>
      </c>
      <c r="X957" s="12">
        <f>VLOOKUP(H957,Dim_Promotion!$A$2:$G$11,2,FALSE)</f>
        <v/>
      </c>
    </row>
    <row r="958">
      <c r="A958" s="4" t="inlineStr">
        <is>
          <t>SL0957</t>
        </is>
      </c>
      <c r="B958" t="inlineStr">
        <is>
          <t>O010479</t>
        </is>
      </c>
      <c r="C958" t="n">
        <v>20251223</v>
      </c>
      <c r="D958" s="4" t="inlineStr">
        <is>
          <t>C072</t>
        </is>
      </c>
      <c r="E958" s="4" t="inlineStr">
        <is>
          <t>P015</t>
        </is>
      </c>
      <c r="F958" t="inlineStr">
        <is>
          <t>L</t>
        </is>
      </c>
      <c r="G958" s="4" t="inlineStr">
        <is>
          <t>CH01</t>
        </is>
      </c>
      <c r="H958" s="4" t="inlineStr">
        <is>
          <t>PR00</t>
        </is>
      </c>
      <c r="I958" s="8" t="n">
        <v>57</v>
      </c>
      <c r="J958" s="9" t="n">
        <v>0</v>
      </c>
      <c r="K958" s="10">
        <f>I958*(1-J958)</f>
        <v/>
      </c>
      <c r="L958" s="11" t="n">
        <v>1</v>
      </c>
      <c r="M958" s="10">
        <f>K958*L958</f>
        <v/>
      </c>
      <c r="N958" s="8" t="n">
        <v>25.53</v>
      </c>
      <c r="O958" s="10">
        <f>N958*L958</f>
        <v/>
      </c>
      <c r="P958" s="10">
        <f>M958-O958</f>
        <v/>
      </c>
      <c r="Q958" s="11" t="inlineStr">
        <is>
          <t>No</t>
        </is>
      </c>
      <c r="R958" s="11" t="n">
        <v>0</v>
      </c>
      <c r="S958" s="10">
        <f>M958-(R958*K958)</f>
        <v/>
      </c>
      <c r="T958" s="12">
        <f>VLOOKUP(E958,Dim_Product!$A$2:$Q$61,3,FALSE)</f>
        <v/>
      </c>
      <c r="U958" s="12">
        <f>VLOOKUP(E958,Dim_Product!$A$2:$Q$61,4,FALSE)</f>
        <v/>
      </c>
      <c r="V958" s="12">
        <f>VLOOKUP(D958,Dim_Customer!$A$2:$I$121,6,FALSE)</f>
        <v/>
      </c>
      <c r="W958" s="12">
        <f>VLOOKUP(G958,Dim_Channel!$A$2:$B$5,2,FALSE)</f>
        <v/>
      </c>
      <c r="X958" s="12">
        <f>VLOOKUP(H958,Dim_Promotion!$A$2:$G$11,2,FALSE)</f>
        <v/>
      </c>
    </row>
    <row r="959">
      <c r="A959" s="4" t="inlineStr">
        <is>
          <t>SL0958</t>
        </is>
      </c>
      <c r="B959" t="inlineStr">
        <is>
          <t>O010479</t>
        </is>
      </c>
      <c r="C959" t="n">
        <v>20251114</v>
      </c>
      <c r="D959" s="4" t="inlineStr">
        <is>
          <t>C023</t>
        </is>
      </c>
      <c r="E959" s="4" t="inlineStr">
        <is>
          <t>P058</t>
        </is>
      </c>
      <c r="F959" t="inlineStr">
        <is>
          <t>S</t>
        </is>
      </c>
      <c r="G959" s="4" t="inlineStr">
        <is>
          <t>CH01</t>
        </is>
      </c>
      <c r="H959" s="4" t="inlineStr">
        <is>
          <t>PR00</t>
        </is>
      </c>
      <c r="I959" s="8" t="n">
        <v>74</v>
      </c>
      <c r="J959" s="9" t="n">
        <v>0</v>
      </c>
      <c r="K959" s="10">
        <f>I959*(1-J959)</f>
        <v/>
      </c>
      <c r="L959" s="11" t="n">
        <v>1</v>
      </c>
      <c r="M959" s="10">
        <f>K959*L959</f>
        <v/>
      </c>
      <c r="N959" s="8" t="n">
        <v>35.72</v>
      </c>
      <c r="O959" s="10">
        <f>N959*L959</f>
        <v/>
      </c>
      <c r="P959" s="10">
        <f>M959-O959</f>
        <v/>
      </c>
      <c r="Q959" s="11" t="inlineStr">
        <is>
          <t>No</t>
        </is>
      </c>
      <c r="R959" s="11" t="n">
        <v>0</v>
      </c>
      <c r="S959" s="10">
        <f>M959-(R959*K959)</f>
        <v/>
      </c>
      <c r="T959" s="12">
        <f>VLOOKUP(E959,Dim_Product!$A$2:$Q$61,3,FALSE)</f>
        <v/>
      </c>
      <c r="U959" s="12">
        <f>VLOOKUP(E959,Dim_Product!$A$2:$Q$61,4,FALSE)</f>
        <v/>
      </c>
      <c r="V959" s="12">
        <f>VLOOKUP(D959,Dim_Customer!$A$2:$I$121,6,FALSE)</f>
        <v/>
      </c>
      <c r="W959" s="12">
        <f>VLOOKUP(G959,Dim_Channel!$A$2:$B$5,2,FALSE)</f>
        <v/>
      </c>
      <c r="X959" s="12">
        <f>VLOOKUP(H959,Dim_Promotion!$A$2:$G$11,2,FALSE)</f>
        <v/>
      </c>
    </row>
    <row r="960">
      <c r="A960" s="4" t="inlineStr">
        <is>
          <t>SL0959</t>
        </is>
      </c>
      <c r="B960" t="inlineStr">
        <is>
          <t>O010480</t>
        </is>
      </c>
      <c r="C960" t="n">
        <v>20250928</v>
      </c>
      <c r="D960" s="4" t="inlineStr">
        <is>
          <t>C025</t>
        </is>
      </c>
      <c r="E960" s="4" t="inlineStr">
        <is>
          <t>P013</t>
        </is>
      </c>
      <c r="F960" t="inlineStr">
        <is>
          <t>S</t>
        </is>
      </c>
      <c r="G960" s="4" t="inlineStr">
        <is>
          <t>CH02</t>
        </is>
      </c>
      <c r="H960" s="4" t="inlineStr">
        <is>
          <t>PR00</t>
        </is>
      </c>
      <c r="I960" s="8" t="n">
        <v>61</v>
      </c>
      <c r="J960" s="9" t="n">
        <v>0</v>
      </c>
      <c r="K960" s="10">
        <f>I960*(1-J960)</f>
        <v/>
      </c>
      <c r="L960" s="11" t="n">
        <v>1</v>
      </c>
      <c r="M960" s="10">
        <f>K960*L960</f>
        <v/>
      </c>
      <c r="N960" s="8" t="n">
        <v>26.58</v>
      </c>
      <c r="O960" s="10">
        <f>N960*L960</f>
        <v/>
      </c>
      <c r="P960" s="10">
        <f>M960-O960</f>
        <v/>
      </c>
      <c r="Q960" s="11" t="inlineStr">
        <is>
          <t>No</t>
        </is>
      </c>
      <c r="R960" s="11" t="n">
        <v>0</v>
      </c>
      <c r="S960" s="10">
        <f>M960-(R960*K960)</f>
        <v/>
      </c>
      <c r="T960" s="12">
        <f>VLOOKUP(E960,Dim_Product!$A$2:$Q$61,3,FALSE)</f>
        <v/>
      </c>
      <c r="U960" s="12">
        <f>VLOOKUP(E960,Dim_Product!$A$2:$Q$61,4,FALSE)</f>
        <v/>
      </c>
      <c r="V960" s="12">
        <f>VLOOKUP(D960,Dim_Customer!$A$2:$I$121,6,FALSE)</f>
        <v/>
      </c>
      <c r="W960" s="12">
        <f>VLOOKUP(G960,Dim_Channel!$A$2:$B$5,2,FALSE)</f>
        <v/>
      </c>
      <c r="X960" s="12">
        <f>VLOOKUP(H960,Dim_Promotion!$A$2:$G$11,2,FALSE)</f>
        <v/>
      </c>
    </row>
    <row r="961">
      <c r="A961" s="4" t="inlineStr">
        <is>
          <t>SL0960</t>
        </is>
      </c>
      <c r="B961" t="inlineStr">
        <is>
          <t>O010480</t>
        </is>
      </c>
      <c r="C961" t="n">
        <v>20251024</v>
      </c>
      <c r="D961" s="4" t="inlineStr">
        <is>
          <t>C007</t>
        </is>
      </c>
      <c r="E961" s="4" t="inlineStr">
        <is>
          <t>P016</t>
        </is>
      </c>
      <c r="F961" t="inlineStr">
        <is>
          <t>M</t>
        </is>
      </c>
      <c r="G961" s="4" t="inlineStr">
        <is>
          <t>CH03</t>
        </is>
      </c>
      <c r="H961" s="4" t="inlineStr">
        <is>
          <t>PR00</t>
        </is>
      </c>
      <c r="I961" s="8" t="n">
        <v>58</v>
      </c>
      <c r="J961" s="9" t="n">
        <v>0</v>
      </c>
      <c r="K961" s="10">
        <f>I961*(1-J961)</f>
        <v/>
      </c>
      <c r="L961" s="11" t="n">
        <v>1</v>
      </c>
      <c r="M961" s="10">
        <f>K961*L961</f>
        <v/>
      </c>
      <c r="N961" s="8" t="n">
        <v>27.06</v>
      </c>
      <c r="O961" s="10">
        <f>N961*L961</f>
        <v/>
      </c>
      <c r="P961" s="10">
        <f>M961-O961</f>
        <v/>
      </c>
      <c r="Q961" s="11" t="inlineStr">
        <is>
          <t>No</t>
        </is>
      </c>
      <c r="R961" s="11" t="n">
        <v>0</v>
      </c>
      <c r="S961" s="10">
        <f>M961-(R961*K961)</f>
        <v/>
      </c>
      <c r="T961" s="12">
        <f>VLOOKUP(E961,Dim_Product!$A$2:$Q$61,3,FALSE)</f>
        <v/>
      </c>
      <c r="U961" s="12">
        <f>VLOOKUP(E961,Dim_Product!$A$2:$Q$61,4,FALSE)</f>
        <v/>
      </c>
      <c r="V961" s="12">
        <f>VLOOKUP(D961,Dim_Customer!$A$2:$I$121,6,FALSE)</f>
        <v/>
      </c>
      <c r="W961" s="12">
        <f>VLOOKUP(G961,Dim_Channel!$A$2:$B$5,2,FALSE)</f>
        <v/>
      </c>
      <c r="X961" s="12">
        <f>VLOOKUP(H961,Dim_Promotion!$A$2:$G$11,2,FALSE)</f>
        <v/>
      </c>
    </row>
    <row r="962">
      <c r="A962" s="4" t="inlineStr">
        <is>
          <t>SL0961</t>
        </is>
      </c>
      <c r="B962" t="inlineStr">
        <is>
          <t>O010481</t>
        </is>
      </c>
      <c r="C962" t="n">
        <v>20250324</v>
      </c>
      <c r="D962" s="4" t="inlineStr">
        <is>
          <t>C082</t>
        </is>
      </c>
      <c r="E962" s="4" t="inlineStr">
        <is>
          <t>P020</t>
        </is>
      </c>
      <c r="F962" t="inlineStr">
        <is>
          <t>S</t>
        </is>
      </c>
      <c r="G962" s="4" t="inlineStr">
        <is>
          <t>CH03</t>
        </is>
      </c>
      <c r="H962" s="4" t="inlineStr">
        <is>
          <t>PR00</t>
        </is>
      </c>
      <c r="I962" s="8" t="n">
        <v>64</v>
      </c>
      <c r="J962" s="9" t="n">
        <v>0</v>
      </c>
      <c r="K962" s="10">
        <f>I962*(1-J962)</f>
        <v/>
      </c>
      <c r="L962" s="11" t="n">
        <v>1</v>
      </c>
      <c r="M962" s="10">
        <f>K962*L962</f>
        <v/>
      </c>
      <c r="N962" s="8" t="n">
        <v>30.61</v>
      </c>
      <c r="O962" s="10">
        <f>N962*L962</f>
        <v/>
      </c>
      <c r="P962" s="10">
        <f>M962-O962</f>
        <v/>
      </c>
      <c r="Q962" s="11" t="inlineStr">
        <is>
          <t>No</t>
        </is>
      </c>
      <c r="R962" s="11" t="n">
        <v>0</v>
      </c>
      <c r="S962" s="10">
        <f>M962-(R962*K962)</f>
        <v/>
      </c>
      <c r="T962" s="12">
        <f>VLOOKUP(E962,Dim_Product!$A$2:$Q$61,3,FALSE)</f>
        <v/>
      </c>
      <c r="U962" s="12">
        <f>VLOOKUP(E962,Dim_Product!$A$2:$Q$61,4,FALSE)</f>
        <v/>
      </c>
      <c r="V962" s="12">
        <f>VLOOKUP(D962,Dim_Customer!$A$2:$I$121,6,FALSE)</f>
        <v/>
      </c>
      <c r="W962" s="12">
        <f>VLOOKUP(G962,Dim_Channel!$A$2:$B$5,2,FALSE)</f>
        <v/>
      </c>
      <c r="X962" s="12">
        <f>VLOOKUP(H962,Dim_Promotion!$A$2:$G$11,2,FALSE)</f>
        <v/>
      </c>
    </row>
    <row r="963">
      <c r="A963" s="4" t="inlineStr">
        <is>
          <t>SL0962</t>
        </is>
      </c>
      <c r="B963" t="inlineStr">
        <is>
          <t>O010481</t>
        </is>
      </c>
      <c r="C963" t="n">
        <v>20250914</v>
      </c>
      <c r="D963" s="4" t="inlineStr">
        <is>
          <t>C047</t>
        </is>
      </c>
      <c r="E963" s="4" t="inlineStr">
        <is>
          <t>P058</t>
        </is>
      </c>
      <c r="F963" t="inlineStr">
        <is>
          <t>M</t>
        </is>
      </c>
      <c r="G963" s="4" t="inlineStr">
        <is>
          <t>CH01</t>
        </is>
      </c>
      <c r="H963" s="4" t="inlineStr">
        <is>
          <t>PR00</t>
        </is>
      </c>
      <c r="I963" s="8" t="n">
        <v>75</v>
      </c>
      <c r="J963" s="9" t="n">
        <v>0</v>
      </c>
      <c r="K963" s="10">
        <f>I963*(1-J963)</f>
        <v/>
      </c>
      <c r="L963" s="11" t="n">
        <v>2</v>
      </c>
      <c r="M963" s="10">
        <f>K963*L963</f>
        <v/>
      </c>
      <c r="N963" s="8" t="n">
        <v>37.14</v>
      </c>
      <c r="O963" s="10">
        <f>N963*L963</f>
        <v/>
      </c>
      <c r="P963" s="10">
        <f>M963-O963</f>
        <v/>
      </c>
      <c r="Q963" s="11" t="inlineStr">
        <is>
          <t>No</t>
        </is>
      </c>
      <c r="R963" s="11" t="n">
        <v>0</v>
      </c>
      <c r="S963" s="10">
        <f>M963-(R963*K963)</f>
        <v/>
      </c>
      <c r="T963" s="12">
        <f>VLOOKUP(E963,Dim_Product!$A$2:$Q$61,3,FALSE)</f>
        <v/>
      </c>
      <c r="U963" s="12">
        <f>VLOOKUP(E963,Dim_Product!$A$2:$Q$61,4,FALSE)</f>
        <v/>
      </c>
      <c r="V963" s="12">
        <f>VLOOKUP(D963,Dim_Customer!$A$2:$I$121,6,FALSE)</f>
        <v/>
      </c>
      <c r="W963" s="12">
        <f>VLOOKUP(G963,Dim_Channel!$A$2:$B$5,2,FALSE)</f>
        <v/>
      </c>
      <c r="X963" s="12">
        <f>VLOOKUP(H963,Dim_Promotion!$A$2:$G$11,2,FALSE)</f>
        <v/>
      </c>
    </row>
    <row r="964">
      <c r="A964" s="4" t="inlineStr">
        <is>
          <t>SL0963</t>
        </is>
      </c>
      <c r="B964" t="inlineStr">
        <is>
          <t>O010482</t>
        </is>
      </c>
      <c r="C964" t="n">
        <v>20250117</v>
      </c>
      <c r="D964" s="4" t="inlineStr">
        <is>
          <t>C118</t>
        </is>
      </c>
      <c r="E964" s="4" t="inlineStr">
        <is>
          <t>P051</t>
        </is>
      </c>
      <c r="F964" t="inlineStr">
        <is>
          <t>L</t>
        </is>
      </c>
      <c r="G964" s="4" t="inlineStr">
        <is>
          <t>CH03</t>
        </is>
      </c>
      <c r="H964" s="4" t="inlineStr">
        <is>
          <t>PR00</t>
        </is>
      </c>
      <c r="I964" s="8" t="n">
        <v>70</v>
      </c>
      <c r="J964" s="9" t="n">
        <v>0</v>
      </c>
      <c r="K964" s="10">
        <f>I964*(1-J964)</f>
        <v/>
      </c>
      <c r="L964" s="11" t="n">
        <v>2</v>
      </c>
      <c r="M964" s="10">
        <f>K964*L964</f>
        <v/>
      </c>
      <c r="N964" s="8" t="n">
        <v>29.42</v>
      </c>
      <c r="O964" s="10">
        <f>N964*L964</f>
        <v/>
      </c>
      <c r="P964" s="10">
        <f>M964-O964</f>
        <v/>
      </c>
      <c r="Q964" s="11" t="inlineStr">
        <is>
          <t>No</t>
        </is>
      </c>
      <c r="R964" s="11" t="n">
        <v>0</v>
      </c>
      <c r="S964" s="10">
        <f>M964-(R964*K964)</f>
        <v/>
      </c>
      <c r="T964" s="12">
        <f>VLOOKUP(E964,Dim_Product!$A$2:$Q$61,3,FALSE)</f>
        <v/>
      </c>
      <c r="U964" s="12">
        <f>VLOOKUP(E964,Dim_Product!$A$2:$Q$61,4,FALSE)</f>
        <v/>
      </c>
      <c r="V964" s="12">
        <f>VLOOKUP(D964,Dim_Customer!$A$2:$I$121,6,FALSE)</f>
        <v/>
      </c>
      <c r="W964" s="12">
        <f>VLOOKUP(G964,Dim_Channel!$A$2:$B$5,2,FALSE)</f>
        <v/>
      </c>
      <c r="X964" s="12">
        <f>VLOOKUP(H964,Dim_Promotion!$A$2:$G$11,2,FALSE)</f>
        <v/>
      </c>
    </row>
    <row r="965">
      <c r="A965" s="4" t="inlineStr">
        <is>
          <t>SL0964</t>
        </is>
      </c>
      <c r="B965" t="inlineStr">
        <is>
          <t>O010482</t>
        </is>
      </c>
      <c r="C965" t="n">
        <v>20251127</v>
      </c>
      <c r="D965" s="4" t="inlineStr">
        <is>
          <t>C089</t>
        </is>
      </c>
      <c r="E965" s="4" t="inlineStr">
        <is>
          <t>P032</t>
        </is>
      </c>
      <c r="F965" t="inlineStr">
        <is>
          <t>M</t>
        </is>
      </c>
      <c r="G965" s="4" t="inlineStr">
        <is>
          <t>CH01</t>
        </is>
      </c>
      <c r="H965" s="4" t="inlineStr">
        <is>
          <t>PR08</t>
        </is>
      </c>
      <c r="I965" s="8" t="n">
        <v>114</v>
      </c>
      <c r="J965" s="9" t="n">
        <v>0.25</v>
      </c>
      <c r="K965" s="10">
        <f>I965*(1-J965)</f>
        <v/>
      </c>
      <c r="L965" s="11" t="n">
        <v>2</v>
      </c>
      <c r="M965" s="10">
        <f>K965*L965</f>
        <v/>
      </c>
      <c r="N965" s="8" t="n">
        <v>57.18</v>
      </c>
      <c r="O965" s="10">
        <f>N965*L965</f>
        <v/>
      </c>
      <c r="P965" s="10">
        <f>M965-O965</f>
        <v/>
      </c>
      <c r="Q965" s="11" t="inlineStr">
        <is>
          <t>No</t>
        </is>
      </c>
      <c r="R965" s="11" t="n">
        <v>0</v>
      </c>
      <c r="S965" s="10">
        <f>M965-(R965*K965)</f>
        <v/>
      </c>
      <c r="T965" s="12">
        <f>VLOOKUP(E965,Dim_Product!$A$2:$Q$61,3,FALSE)</f>
        <v/>
      </c>
      <c r="U965" s="12">
        <f>VLOOKUP(E965,Dim_Product!$A$2:$Q$61,4,FALSE)</f>
        <v/>
      </c>
      <c r="V965" s="12">
        <f>VLOOKUP(D965,Dim_Customer!$A$2:$I$121,6,FALSE)</f>
        <v/>
      </c>
      <c r="W965" s="12">
        <f>VLOOKUP(G965,Dim_Channel!$A$2:$B$5,2,FALSE)</f>
        <v/>
      </c>
      <c r="X965" s="12">
        <f>VLOOKUP(H965,Dim_Promotion!$A$2:$G$11,2,FALSE)</f>
        <v/>
      </c>
    </row>
    <row r="966">
      <c r="A966" s="4" t="inlineStr">
        <is>
          <t>SL0965</t>
        </is>
      </c>
      <c r="B966" t="inlineStr">
        <is>
          <t>O010483</t>
        </is>
      </c>
      <c r="C966" t="n">
        <v>20250711</v>
      </c>
      <c r="D966" s="4" t="inlineStr">
        <is>
          <t>C094</t>
        </is>
      </c>
      <c r="E966" s="4" t="inlineStr">
        <is>
          <t>P049</t>
        </is>
      </c>
      <c r="F966" t="inlineStr">
        <is>
          <t>XL</t>
        </is>
      </c>
      <c r="G966" s="4" t="inlineStr">
        <is>
          <t>CH01</t>
        </is>
      </c>
      <c r="H966" s="4" t="inlineStr">
        <is>
          <t>PR00</t>
        </is>
      </c>
      <c r="I966" s="8" t="n">
        <v>70</v>
      </c>
      <c r="J966" s="9" t="n">
        <v>0</v>
      </c>
      <c r="K966" s="10">
        <f>I966*(1-J966)</f>
        <v/>
      </c>
      <c r="L966" s="11" t="n">
        <v>2</v>
      </c>
      <c r="M966" s="10">
        <f>K966*L966</f>
        <v/>
      </c>
      <c r="N966" s="8" t="n">
        <v>29.62</v>
      </c>
      <c r="O966" s="10">
        <f>N966*L966</f>
        <v/>
      </c>
      <c r="P966" s="10">
        <f>M966-O966</f>
        <v/>
      </c>
      <c r="Q966" s="11" t="inlineStr">
        <is>
          <t>No</t>
        </is>
      </c>
      <c r="R966" s="11" t="n">
        <v>0</v>
      </c>
      <c r="S966" s="10">
        <f>M966-(R966*K966)</f>
        <v/>
      </c>
      <c r="T966" s="12">
        <f>VLOOKUP(E966,Dim_Product!$A$2:$Q$61,3,FALSE)</f>
        <v/>
      </c>
      <c r="U966" s="12">
        <f>VLOOKUP(E966,Dim_Product!$A$2:$Q$61,4,FALSE)</f>
        <v/>
      </c>
      <c r="V966" s="12">
        <f>VLOOKUP(D966,Dim_Customer!$A$2:$I$121,6,FALSE)</f>
        <v/>
      </c>
      <c r="W966" s="12">
        <f>VLOOKUP(G966,Dim_Channel!$A$2:$B$5,2,FALSE)</f>
        <v/>
      </c>
      <c r="X966" s="12">
        <f>VLOOKUP(H966,Dim_Promotion!$A$2:$G$11,2,FALSE)</f>
        <v/>
      </c>
    </row>
    <row r="967">
      <c r="A967" s="4" t="inlineStr">
        <is>
          <t>SL0966</t>
        </is>
      </c>
      <c r="B967" t="inlineStr">
        <is>
          <t>O010483</t>
        </is>
      </c>
      <c r="C967" t="n">
        <v>20250421</v>
      </c>
      <c r="D967" s="4" t="inlineStr">
        <is>
          <t>C059</t>
        </is>
      </c>
      <c r="E967" s="4" t="inlineStr">
        <is>
          <t>P009</t>
        </is>
      </c>
      <c r="F967" t="inlineStr">
        <is>
          <t>L</t>
        </is>
      </c>
      <c r="G967" s="4" t="inlineStr">
        <is>
          <t>CH03</t>
        </is>
      </c>
      <c r="H967" s="4" t="inlineStr">
        <is>
          <t>PR00</t>
        </is>
      </c>
      <c r="I967" s="8" t="n">
        <v>50</v>
      </c>
      <c r="J967" s="9" t="n">
        <v>0</v>
      </c>
      <c r="K967" s="10">
        <f>I967*(1-J967)</f>
        <v/>
      </c>
      <c r="L967" s="11" t="n">
        <v>2</v>
      </c>
      <c r="M967" s="10">
        <f>K967*L967</f>
        <v/>
      </c>
      <c r="N967" s="8" t="n">
        <v>19.18</v>
      </c>
      <c r="O967" s="10">
        <f>N967*L967</f>
        <v/>
      </c>
      <c r="P967" s="10">
        <f>M967-O967</f>
        <v/>
      </c>
      <c r="Q967" s="11" t="inlineStr">
        <is>
          <t>No</t>
        </is>
      </c>
      <c r="R967" s="11" t="n">
        <v>0</v>
      </c>
      <c r="S967" s="10">
        <f>M967-(R967*K967)</f>
        <v/>
      </c>
      <c r="T967" s="12">
        <f>VLOOKUP(E967,Dim_Product!$A$2:$Q$61,3,FALSE)</f>
        <v/>
      </c>
      <c r="U967" s="12">
        <f>VLOOKUP(E967,Dim_Product!$A$2:$Q$61,4,FALSE)</f>
        <v/>
      </c>
      <c r="V967" s="12">
        <f>VLOOKUP(D967,Dim_Customer!$A$2:$I$121,6,FALSE)</f>
        <v/>
      </c>
      <c r="W967" s="12">
        <f>VLOOKUP(G967,Dim_Channel!$A$2:$B$5,2,FALSE)</f>
        <v/>
      </c>
      <c r="X967" s="12">
        <f>VLOOKUP(H967,Dim_Promotion!$A$2:$G$11,2,FALSE)</f>
        <v/>
      </c>
    </row>
    <row r="968">
      <c r="A968" s="4" t="inlineStr">
        <is>
          <t>SL0967</t>
        </is>
      </c>
      <c r="B968" t="inlineStr">
        <is>
          <t>O010484</t>
        </is>
      </c>
      <c r="C968" t="n">
        <v>20250910</v>
      </c>
      <c r="D968" s="4" t="inlineStr">
        <is>
          <t>C031</t>
        </is>
      </c>
      <c r="E968" s="4" t="inlineStr">
        <is>
          <t>P044</t>
        </is>
      </c>
      <c r="F968" t="inlineStr">
        <is>
          <t>S</t>
        </is>
      </c>
      <c r="G968" s="4" t="inlineStr">
        <is>
          <t>CH02</t>
        </is>
      </c>
      <c r="H968" s="4" t="inlineStr">
        <is>
          <t>PR00</t>
        </is>
      </c>
      <c r="I968" s="8" t="n">
        <v>78</v>
      </c>
      <c r="J968" s="9" t="n">
        <v>0</v>
      </c>
      <c r="K968" s="10">
        <f>I968*(1-J968)</f>
        <v/>
      </c>
      <c r="L968" s="11" t="n">
        <v>1</v>
      </c>
      <c r="M968" s="10">
        <f>K968*L968</f>
        <v/>
      </c>
      <c r="N968" s="8" t="n">
        <v>34.37</v>
      </c>
      <c r="O968" s="10">
        <f>N968*L968</f>
        <v/>
      </c>
      <c r="P968" s="10">
        <f>M968-O968</f>
        <v/>
      </c>
      <c r="Q968" s="11" t="inlineStr">
        <is>
          <t>No</t>
        </is>
      </c>
      <c r="R968" s="11" t="n">
        <v>0</v>
      </c>
      <c r="S968" s="10">
        <f>M968-(R968*K968)</f>
        <v/>
      </c>
      <c r="T968" s="12">
        <f>VLOOKUP(E968,Dim_Product!$A$2:$Q$61,3,FALSE)</f>
        <v/>
      </c>
      <c r="U968" s="12">
        <f>VLOOKUP(E968,Dim_Product!$A$2:$Q$61,4,FALSE)</f>
        <v/>
      </c>
      <c r="V968" s="12">
        <f>VLOOKUP(D968,Dim_Customer!$A$2:$I$121,6,FALSE)</f>
        <v/>
      </c>
      <c r="W968" s="12">
        <f>VLOOKUP(G968,Dim_Channel!$A$2:$B$5,2,FALSE)</f>
        <v/>
      </c>
      <c r="X968" s="12">
        <f>VLOOKUP(H968,Dim_Promotion!$A$2:$G$11,2,FALSE)</f>
        <v/>
      </c>
    </row>
    <row r="969">
      <c r="A969" s="4" t="inlineStr">
        <is>
          <t>SL0968</t>
        </is>
      </c>
      <c r="B969" t="inlineStr">
        <is>
          <t>O010484</t>
        </is>
      </c>
      <c r="C969" t="n">
        <v>20250325</v>
      </c>
      <c r="D969" s="4" t="inlineStr">
        <is>
          <t>C088</t>
        </is>
      </c>
      <c r="E969" s="4" t="inlineStr">
        <is>
          <t>P004</t>
        </is>
      </c>
      <c r="F969" t="inlineStr">
        <is>
          <t>XL</t>
        </is>
      </c>
      <c r="G969" s="4" t="inlineStr">
        <is>
          <t>CH02</t>
        </is>
      </c>
      <c r="H969" s="4" t="inlineStr">
        <is>
          <t>PR00</t>
        </is>
      </c>
      <c r="I969" s="8" t="n">
        <v>43</v>
      </c>
      <c r="J969" s="9" t="n">
        <v>0</v>
      </c>
      <c r="K969" s="10">
        <f>I969*(1-J969)</f>
        <v/>
      </c>
      <c r="L969" s="11" t="n">
        <v>1</v>
      </c>
      <c r="M969" s="10">
        <f>K969*L969</f>
        <v/>
      </c>
      <c r="N969" s="8" t="n">
        <v>19.3</v>
      </c>
      <c r="O969" s="10">
        <f>N969*L969</f>
        <v/>
      </c>
      <c r="P969" s="10">
        <f>M969-O969</f>
        <v/>
      </c>
      <c r="Q969" s="11" t="inlineStr">
        <is>
          <t>No</t>
        </is>
      </c>
      <c r="R969" s="11" t="n">
        <v>0</v>
      </c>
      <c r="S969" s="10">
        <f>M969-(R969*K969)</f>
        <v/>
      </c>
      <c r="T969" s="12">
        <f>VLOOKUP(E969,Dim_Product!$A$2:$Q$61,3,FALSE)</f>
        <v/>
      </c>
      <c r="U969" s="12">
        <f>VLOOKUP(E969,Dim_Product!$A$2:$Q$61,4,FALSE)</f>
        <v/>
      </c>
      <c r="V969" s="12">
        <f>VLOOKUP(D969,Dim_Customer!$A$2:$I$121,6,FALSE)</f>
        <v/>
      </c>
      <c r="W969" s="12">
        <f>VLOOKUP(G969,Dim_Channel!$A$2:$B$5,2,FALSE)</f>
        <v/>
      </c>
      <c r="X969" s="12">
        <f>VLOOKUP(H969,Dim_Promotion!$A$2:$G$11,2,FALSE)</f>
        <v/>
      </c>
    </row>
    <row r="970">
      <c r="A970" s="4" t="inlineStr">
        <is>
          <t>SL0969</t>
        </is>
      </c>
      <c r="B970" t="inlineStr">
        <is>
          <t>O010485</t>
        </is>
      </c>
      <c r="C970" t="n">
        <v>20250610</v>
      </c>
      <c r="D970" s="4" t="inlineStr">
        <is>
          <t>C055</t>
        </is>
      </c>
      <c r="E970" s="4" t="inlineStr">
        <is>
          <t>P037</t>
        </is>
      </c>
      <c r="F970" t="inlineStr">
        <is>
          <t>M</t>
        </is>
      </c>
      <c r="G970" s="4" t="inlineStr">
        <is>
          <t>CH04</t>
        </is>
      </c>
      <c r="H970" s="4" t="inlineStr">
        <is>
          <t>PR00</t>
        </is>
      </c>
      <c r="I970" s="8" t="n">
        <v>72</v>
      </c>
      <c r="J970" s="9" t="n">
        <v>0</v>
      </c>
      <c r="K970" s="10">
        <f>I970*(1-J970)</f>
        <v/>
      </c>
      <c r="L970" s="11" t="n">
        <v>1</v>
      </c>
      <c r="M970" s="10">
        <f>K970*L970</f>
        <v/>
      </c>
      <c r="N970" s="8" t="n">
        <v>34.05</v>
      </c>
      <c r="O970" s="10">
        <f>N970*L970</f>
        <v/>
      </c>
      <c r="P970" s="10">
        <f>M970-O970</f>
        <v/>
      </c>
      <c r="Q970" s="11" t="inlineStr">
        <is>
          <t>No</t>
        </is>
      </c>
      <c r="R970" s="11" t="n">
        <v>0</v>
      </c>
      <c r="S970" s="10">
        <f>M970-(R970*K970)</f>
        <v/>
      </c>
      <c r="T970" s="12">
        <f>VLOOKUP(E970,Dim_Product!$A$2:$Q$61,3,FALSE)</f>
        <v/>
      </c>
      <c r="U970" s="12">
        <f>VLOOKUP(E970,Dim_Product!$A$2:$Q$61,4,FALSE)</f>
        <v/>
      </c>
      <c r="V970" s="12">
        <f>VLOOKUP(D970,Dim_Customer!$A$2:$I$121,6,FALSE)</f>
        <v/>
      </c>
      <c r="W970" s="12">
        <f>VLOOKUP(G970,Dim_Channel!$A$2:$B$5,2,FALSE)</f>
        <v/>
      </c>
      <c r="X970" s="12">
        <f>VLOOKUP(H970,Dim_Promotion!$A$2:$G$11,2,FALSE)</f>
        <v/>
      </c>
    </row>
    <row r="971">
      <c r="A971" s="4" t="inlineStr">
        <is>
          <t>SL0970</t>
        </is>
      </c>
      <c r="B971" t="inlineStr">
        <is>
          <t>O010485</t>
        </is>
      </c>
      <c r="C971" t="n">
        <v>20250704</v>
      </c>
      <c r="D971" s="4" t="inlineStr">
        <is>
          <t>C055</t>
        </is>
      </c>
      <c r="E971" s="4" t="inlineStr">
        <is>
          <t>P040</t>
        </is>
      </c>
      <c r="F971" t="inlineStr">
        <is>
          <t>S</t>
        </is>
      </c>
      <c r="G971" s="4" t="inlineStr">
        <is>
          <t>CH04</t>
        </is>
      </c>
      <c r="H971" s="4" t="inlineStr">
        <is>
          <t>PR00</t>
        </is>
      </c>
      <c r="I971" s="8" t="n">
        <v>71</v>
      </c>
      <c r="J971" s="9" t="n">
        <v>0.05</v>
      </c>
      <c r="K971" s="10">
        <f>I971*(1-J971)</f>
        <v/>
      </c>
      <c r="L971" s="11" t="n">
        <v>2</v>
      </c>
      <c r="M971" s="10">
        <f>K971*L971</f>
        <v/>
      </c>
      <c r="N971" s="8" t="n">
        <v>33.5</v>
      </c>
      <c r="O971" s="10">
        <f>N971*L971</f>
        <v/>
      </c>
      <c r="P971" s="10">
        <f>M971-O971</f>
        <v/>
      </c>
      <c r="Q971" s="11" t="inlineStr">
        <is>
          <t>No</t>
        </is>
      </c>
      <c r="R971" s="11" t="n">
        <v>0</v>
      </c>
      <c r="S971" s="10">
        <f>M971-(R971*K971)</f>
        <v/>
      </c>
      <c r="T971" s="12">
        <f>VLOOKUP(E971,Dim_Product!$A$2:$Q$61,3,FALSE)</f>
        <v/>
      </c>
      <c r="U971" s="12">
        <f>VLOOKUP(E971,Dim_Product!$A$2:$Q$61,4,FALSE)</f>
        <v/>
      </c>
      <c r="V971" s="12">
        <f>VLOOKUP(D971,Dim_Customer!$A$2:$I$121,6,FALSE)</f>
        <v/>
      </c>
      <c r="W971" s="12">
        <f>VLOOKUP(G971,Dim_Channel!$A$2:$B$5,2,FALSE)</f>
        <v/>
      </c>
      <c r="X971" s="12">
        <f>VLOOKUP(H971,Dim_Promotion!$A$2:$G$11,2,FALSE)</f>
        <v/>
      </c>
    </row>
    <row r="972">
      <c r="A972" s="4" t="inlineStr">
        <is>
          <t>SL0971</t>
        </is>
      </c>
      <c r="B972" t="inlineStr">
        <is>
          <t>O010486</t>
        </is>
      </c>
      <c r="C972" t="n">
        <v>20250208</v>
      </c>
      <c r="D972" s="4" t="inlineStr">
        <is>
          <t>C093</t>
        </is>
      </c>
      <c r="E972" s="4" t="inlineStr">
        <is>
          <t>P049</t>
        </is>
      </c>
      <c r="F972" t="inlineStr">
        <is>
          <t>S</t>
        </is>
      </c>
      <c r="G972" s="4" t="inlineStr">
        <is>
          <t>CH03</t>
        </is>
      </c>
      <c r="H972" s="4" t="inlineStr">
        <is>
          <t>PR00</t>
        </is>
      </c>
      <c r="I972" s="8" t="n">
        <v>72</v>
      </c>
      <c r="J972" s="9" t="n">
        <v>0</v>
      </c>
      <c r="K972" s="10">
        <f>I972*(1-J972)</f>
        <v/>
      </c>
      <c r="L972" s="11" t="n">
        <v>4</v>
      </c>
      <c r="M972" s="10">
        <f>K972*L972</f>
        <v/>
      </c>
      <c r="N972" s="8" t="n">
        <v>28.48</v>
      </c>
      <c r="O972" s="10">
        <f>N972*L972</f>
        <v/>
      </c>
      <c r="P972" s="10">
        <f>M972-O972</f>
        <v/>
      </c>
      <c r="Q972" s="11" t="inlineStr">
        <is>
          <t>No</t>
        </is>
      </c>
      <c r="R972" s="11" t="n">
        <v>0</v>
      </c>
      <c r="S972" s="10">
        <f>M972-(R972*K972)</f>
        <v/>
      </c>
      <c r="T972" s="12">
        <f>VLOOKUP(E972,Dim_Product!$A$2:$Q$61,3,FALSE)</f>
        <v/>
      </c>
      <c r="U972" s="12">
        <f>VLOOKUP(E972,Dim_Product!$A$2:$Q$61,4,FALSE)</f>
        <v/>
      </c>
      <c r="V972" s="12">
        <f>VLOOKUP(D972,Dim_Customer!$A$2:$I$121,6,FALSE)</f>
        <v/>
      </c>
      <c r="W972" s="12">
        <f>VLOOKUP(G972,Dim_Channel!$A$2:$B$5,2,FALSE)</f>
        <v/>
      </c>
      <c r="X972" s="12">
        <f>VLOOKUP(H972,Dim_Promotion!$A$2:$G$11,2,FALSE)</f>
        <v/>
      </c>
    </row>
    <row r="973">
      <c r="A973" s="4" t="inlineStr">
        <is>
          <t>SL0972</t>
        </is>
      </c>
      <c r="B973" t="inlineStr">
        <is>
          <t>O010486</t>
        </is>
      </c>
      <c r="C973" t="n">
        <v>20251028</v>
      </c>
      <c r="D973" s="4" t="inlineStr">
        <is>
          <t>C058</t>
        </is>
      </c>
      <c r="E973" s="4" t="inlineStr">
        <is>
          <t>P012</t>
        </is>
      </c>
      <c r="F973" t="inlineStr">
        <is>
          <t>S</t>
        </is>
      </c>
      <c r="G973" s="4" t="inlineStr">
        <is>
          <t>CH01</t>
        </is>
      </c>
      <c r="H973" s="4" t="inlineStr">
        <is>
          <t>PR00</t>
        </is>
      </c>
      <c r="I973" s="8" t="n">
        <v>46</v>
      </c>
      <c r="J973" s="9" t="n">
        <v>0</v>
      </c>
      <c r="K973" s="10">
        <f>I973*(1-J973)</f>
        <v/>
      </c>
      <c r="L973" s="11" t="n">
        <v>1</v>
      </c>
      <c r="M973" s="10">
        <f>K973*L973</f>
        <v/>
      </c>
      <c r="N973" s="8" t="n">
        <v>22.22</v>
      </c>
      <c r="O973" s="10">
        <f>N973*L973</f>
        <v/>
      </c>
      <c r="P973" s="10">
        <f>M973-O973</f>
        <v/>
      </c>
      <c r="Q973" s="11" t="inlineStr">
        <is>
          <t>No</t>
        </is>
      </c>
      <c r="R973" s="11" t="n">
        <v>0</v>
      </c>
      <c r="S973" s="10">
        <f>M973-(R973*K973)</f>
        <v/>
      </c>
      <c r="T973" s="12">
        <f>VLOOKUP(E973,Dim_Product!$A$2:$Q$61,3,FALSE)</f>
        <v/>
      </c>
      <c r="U973" s="12">
        <f>VLOOKUP(E973,Dim_Product!$A$2:$Q$61,4,FALSE)</f>
        <v/>
      </c>
      <c r="V973" s="12">
        <f>VLOOKUP(D973,Dim_Customer!$A$2:$I$121,6,FALSE)</f>
        <v/>
      </c>
      <c r="W973" s="12">
        <f>VLOOKUP(G973,Dim_Channel!$A$2:$B$5,2,FALSE)</f>
        <v/>
      </c>
      <c r="X973" s="12">
        <f>VLOOKUP(H973,Dim_Promotion!$A$2:$G$11,2,FALSE)</f>
        <v/>
      </c>
    </row>
    <row r="974">
      <c r="A974" s="4" t="inlineStr">
        <is>
          <t>SL0973</t>
        </is>
      </c>
      <c r="B974" t="inlineStr">
        <is>
          <t>O010487</t>
        </is>
      </c>
      <c r="C974" t="n">
        <v>20251013</v>
      </c>
      <c r="D974" s="4" t="inlineStr">
        <is>
          <t>C103</t>
        </is>
      </c>
      <c r="E974" s="4" t="inlineStr">
        <is>
          <t>P055</t>
        </is>
      </c>
      <c r="F974" t="inlineStr">
        <is>
          <t>XS</t>
        </is>
      </c>
      <c r="G974" s="4" t="inlineStr">
        <is>
          <t>CH03</t>
        </is>
      </c>
      <c r="H974" s="4" t="inlineStr">
        <is>
          <t>PR00</t>
        </is>
      </c>
      <c r="I974" s="8" t="n">
        <v>71</v>
      </c>
      <c r="J974" s="9" t="n">
        <v>0</v>
      </c>
      <c r="K974" s="10">
        <f>I974*(1-J974)</f>
        <v/>
      </c>
      <c r="L974" s="11" t="n">
        <v>1</v>
      </c>
      <c r="M974" s="10">
        <f>K974*L974</f>
        <v/>
      </c>
      <c r="N974" s="8" t="n">
        <v>34.24</v>
      </c>
      <c r="O974" s="10">
        <f>N974*L974</f>
        <v/>
      </c>
      <c r="P974" s="10">
        <f>M974-O974</f>
        <v/>
      </c>
      <c r="Q974" s="11" t="inlineStr">
        <is>
          <t>No</t>
        </is>
      </c>
      <c r="R974" s="11" t="n">
        <v>0</v>
      </c>
      <c r="S974" s="10">
        <f>M974-(R974*K974)</f>
        <v/>
      </c>
      <c r="T974" s="12">
        <f>VLOOKUP(E974,Dim_Product!$A$2:$Q$61,3,FALSE)</f>
        <v/>
      </c>
      <c r="U974" s="12">
        <f>VLOOKUP(E974,Dim_Product!$A$2:$Q$61,4,FALSE)</f>
        <v/>
      </c>
      <c r="V974" s="12">
        <f>VLOOKUP(D974,Dim_Customer!$A$2:$I$121,6,FALSE)</f>
        <v/>
      </c>
      <c r="W974" s="12">
        <f>VLOOKUP(G974,Dim_Channel!$A$2:$B$5,2,FALSE)</f>
        <v/>
      </c>
      <c r="X974" s="12">
        <f>VLOOKUP(H974,Dim_Promotion!$A$2:$G$11,2,FALSE)</f>
        <v/>
      </c>
    </row>
    <row r="975">
      <c r="A975" s="4" t="inlineStr">
        <is>
          <t>SL0974</t>
        </is>
      </c>
      <c r="B975" t="inlineStr">
        <is>
          <t>O010487</t>
        </is>
      </c>
      <c r="C975" t="n">
        <v>20250120</v>
      </c>
      <c r="D975" s="4" t="inlineStr">
        <is>
          <t>C043</t>
        </is>
      </c>
      <c r="E975" s="4" t="inlineStr">
        <is>
          <t>P024</t>
        </is>
      </c>
      <c r="F975" t="inlineStr">
        <is>
          <t>XXL</t>
        </is>
      </c>
      <c r="G975" s="4" t="inlineStr">
        <is>
          <t>CH01</t>
        </is>
      </c>
      <c r="H975" s="4" t="inlineStr">
        <is>
          <t>PR00</t>
        </is>
      </c>
      <c r="I975" s="8" t="n">
        <v>61</v>
      </c>
      <c r="J975" s="9" t="n">
        <v>0</v>
      </c>
      <c r="K975" s="10">
        <f>I975*(1-J975)</f>
        <v/>
      </c>
      <c r="L975" s="11" t="n">
        <v>2</v>
      </c>
      <c r="M975" s="10">
        <f>K975*L975</f>
        <v/>
      </c>
      <c r="N975" s="8" t="n">
        <v>27.77</v>
      </c>
      <c r="O975" s="10">
        <f>N975*L975</f>
        <v/>
      </c>
      <c r="P975" s="10">
        <f>M975-O975</f>
        <v/>
      </c>
      <c r="Q975" s="11" t="inlineStr">
        <is>
          <t>No</t>
        </is>
      </c>
      <c r="R975" s="11" t="n">
        <v>0</v>
      </c>
      <c r="S975" s="10">
        <f>M975-(R975*K975)</f>
        <v/>
      </c>
      <c r="T975" s="12">
        <f>VLOOKUP(E975,Dim_Product!$A$2:$Q$61,3,FALSE)</f>
        <v/>
      </c>
      <c r="U975" s="12">
        <f>VLOOKUP(E975,Dim_Product!$A$2:$Q$61,4,FALSE)</f>
        <v/>
      </c>
      <c r="V975" s="12">
        <f>VLOOKUP(D975,Dim_Customer!$A$2:$I$121,6,FALSE)</f>
        <v/>
      </c>
      <c r="W975" s="12">
        <f>VLOOKUP(G975,Dim_Channel!$A$2:$B$5,2,FALSE)</f>
        <v/>
      </c>
      <c r="X975" s="12">
        <f>VLOOKUP(H975,Dim_Promotion!$A$2:$G$11,2,FALSE)</f>
        <v/>
      </c>
    </row>
    <row r="976">
      <c r="A976" s="4" t="inlineStr">
        <is>
          <t>SL0975</t>
        </is>
      </c>
      <c r="B976" t="inlineStr">
        <is>
          <t>O010488</t>
        </is>
      </c>
      <c r="C976" t="n">
        <v>20251002</v>
      </c>
      <c r="D976" s="4" t="inlineStr">
        <is>
          <t>C039</t>
        </is>
      </c>
      <c r="E976" s="4" t="inlineStr">
        <is>
          <t>P010</t>
        </is>
      </c>
      <c r="F976" t="inlineStr">
        <is>
          <t>L</t>
        </is>
      </c>
      <c r="G976" s="4" t="inlineStr">
        <is>
          <t>CH04</t>
        </is>
      </c>
      <c r="H976" s="4" t="inlineStr">
        <is>
          <t>PR00</t>
        </is>
      </c>
      <c r="I976" s="8" t="n">
        <v>46</v>
      </c>
      <c r="J976" s="9" t="n">
        <v>0</v>
      </c>
      <c r="K976" s="10">
        <f>I976*(1-J976)</f>
        <v/>
      </c>
      <c r="L976" s="11" t="n">
        <v>1</v>
      </c>
      <c r="M976" s="10">
        <f>K976*L976</f>
        <v/>
      </c>
      <c r="N976" s="8" t="n">
        <v>19.77</v>
      </c>
      <c r="O976" s="10">
        <f>N976*L976</f>
        <v/>
      </c>
      <c r="P976" s="10">
        <f>M976-O976</f>
        <v/>
      </c>
      <c r="Q976" s="11" t="inlineStr">
        <is>
          <t>No</t>
        </is>
      </c>
      <c r="R976" s="11" t="n">
        <v>0</v>
      </c>
      <c r="S976" s="10">
        <f>M976-(R976*K976)</f>
        <v/>
      </c>
      <c r="T976" s="12">
        <f>VLOOKUP(E976,Dim_Product!$A$2:$Q$61,3,FALSE)</f>
        <v/>
      </c>
      <c r="U976" s="12">
        <f>VLOOKUP(E976,Dim_Product!$A$2:$Q$61,4,FALSE)</f>
        <v/>
      </c>
      <c r="V976" s="12">
        <f>VLOOKUP(D976,Dim_Customer!$A$2:$I$121,6,FALSE)</f>
        <v/>
      </c>
      <c r="W976" s="12">
        <f>VLOOKUP(G976,Dim_Channel!$A$2:$B$5,2,FALSE)</f>
        <v/>
      </c>
      <c r="X976" s="12">
        <f>VLOOKUP(H976,Dim_Promotion!$A$2:$G$11,2,FALSE)</f>
        <v/>
      </c>
    </row>
    <row r="977">
      <c r="A977" s="4" t="inlineStr">
        <is>
          <t>SL0976</t>
        </is>
      </c>
      <c r="B977" t="inlineStr">
        <is>
          <t>O010488</t>
        </is>
      </c>
      <c r="C977" t="n">
        <v>20251219</v>
      </c>
      <c r="D977" s="4" t="inlineStr">
        <is>
          <t>C004</t>
        </is>
      </c>
      <c r="E977" s="4" t="inlineStr">
        <is>
          <t>P024</t>
        </is>
      </c>
      <c r="F977" t="inlineStr">
        <is>
          <t>L</t>
        </is>
      </c>
      <c r="G977" s="4" t="inlineStr">
        <is>
          <t>CH01</t>
        </is>
      </c>
      <c r="H977" s="4" t="inlineStr">
        <is>
          <t>PR00</t>
        </is>
      </c>
      <c r="I977" s="8" t="n">
        <v>62</v>
      </c>
      <c r="J977" s="9" t="n">
        <v>0</v>
      </c>
      <c r="K977" s="10">
        <f>I977*(1-J977)</f>
        <v/>
      </c>
      <c r="L977" s="11" t="n">
        <v>1</v>
      </c>
      <c r="M977" s="10">
        <f>K977*L977</f>
        <v/>
      </c>
      <c r="N977" s="8" t="n">
        <v>27.23</v>
      </c>
      <c r="O977" s="10">
        <f>N977*L977</f>
        <v/>
      </c>
      <c r="P977" s="10">
        <f>M977-O977</f>
        <v/>
      </c>
      <c r="Q977" s="11" t="inlineStr">
        <is>
          <t>No</t>
        </is>
      </c>
      <c r="R977" s="11" t="n">
        <v>0</v>
      </c>
      <c r="S977" s="10">
        <f>M977-(R977*K977)</f>
        <v/>
      </c>
      <c r="T977" s="12">
        <f>VLOOKUP(E977,Dim_Product!$A$2:$Q$61,3,FALSE)</f>
        <v/>
      </c>
      <c r="U977" s="12">
        <f>VLOOKUP(E977,Dim_Product!$A$2:$Q$61,4,FALSE)</f>
        <v/>
      </c>
      <c r="V977" s="12">
        <f>VLOOKUP(D977,Dim_Customer!$A$2:$I$121,6,FALSE)</f>
        <v/>
      </c>
      <c r="W977" s="12">
        <f>VLOOKUP(G977,Dim_Channel!$A$2:$B$5,2,FALSE)</f>
        <v/>
      </c>
      <c r="X977" s="12">
        <f>VLOOKUP(H977,Dim_Promotion!$A$2:$G$11,2,FALSE)</f>
        <v/>
      </c>
    </row>
    <row r="978">
      <c r="A978" s="4" t="inlineStr">
        <is>
          <t>SL0977</t>
        </is>
      </c>
      <c r="B978" t="inlineStr">
        <is>
          <t>O010489</t>
        </is>
      </c>
      <c r="C978" t="n">
        <v>20250814</v>
      </c>
      <c r="D978" s="4" t="inlineStr">
        <is>
          <t>C009</t>
        </is>
      </c>
      <c r="E978" s="4" t="inlineStr">
        <is>
          <t>P004</t>
        </is>
      </c>
      <c r="F978" t="inlineStr">
        <is>
          <t>XL</t>
        </is>
      </c>
      <c r="G978" s="4" t="inlineStr">
        <is>
          <t>CH02</t>
        </is>
      </c>
      <c r="H978" s="4" t="inlineStr">
        <is>
          <t>PR00</t>
        </is>
      </c>
      <c r="I978" s="8" t="n">
        <v>42</v>
      </c>
      <c r="J978" s="9" t="n">
        <v>0</v>
      </c>
      <c r="K978" s="10">
        <f>I978*(1-J978)</f>
        <v/>
      </c>
      <c r="L978" s="11" t="n">
        <v>2</v>
      </c>
      <c r="M978" s="10">
        <f>K978*L978</f>
        <v/>
      </c>
      <c r="N978" s="8" t="n">
        <v>19.62</v>
      </c>
      <c r="O978" s="10">
        <f>N978*L978</f>
        <v/>
      </c>
      <c r="P978" s="10">
        <f>M978-O978</f>
        <v/>
      </c>
      <c r="Q978" s="11" t="inlineStr">
        <is>
          <t>No</t>
        </is>
      </c>
      <c r="R978" s="11" t="n">
        <v>0</v>
      </c>
      <c r="S978" s="10">
        <f>M978-(R978*K978)</f>
        <v/>
      </c>
      <c r="T978" s="12">
        <f>VLOOKUP(E978,Dim_Product!$A$2:$Q$61,3,FALSE)</f>
        <v/>
      </c>
      <c r="U978" s="12">
        <f>VLOOKUP(E978,Dim_Product!$A$2:$Q$61,4,FALSE)</f>
        <v/>
      </c>
      <c r="V978" s="12">
        <f>VLOOKUP(D978,Dim_Customer!$A$2:$I$121,6,FALSE)</f>
        <v/>
      </c>
      <c r="W978" s="12">
        <f>VLOOKUP(G978,Dim_Channel!$A$2:$B$5,2,FALSE)</f>
        <v/>
      </c>
      <c r="X978" s="12">
        <f>VLOOKUP(H978,Dim_Promotion!$A$2:$G$11,2,FALSE)</f>
        <v/>
      </c>
    </row>
    <row r="979">
      <c r="A979" s="4" t="inlineStr">
        <is>
          <t>SL0978</t>
        </is>
      </c>
      <c r="B979" t="inlineStr">
        <is>
          <t>O010489</t>
        </is>
      </c>
      <c r="C979" t="n">
        <v>20250319</v>
      </c>
      <c r="D979" s="4" t="inlineStr">
        <is>
          <t>C024</t>
        </is>
      </c>
      <c r="E979" s="4" t="inlineStr">
        <is>
          <t>P039</t>
        </is>
      </c>
      <c r="F979" t="inlineStr">
        <is>
          <t>XL</t>
        </is>
      </c>
      <c r="G979" s="4" t="inlineStr">
        <is>
          <t>CH01</t>
        </is>
      </c>
      <c r="H979" s="4" t="inlineStr">
        <is>
          <t>PR00</t>
        </is>
      </c>
      <c r="I979" s="8" t="n">
        <v>76</v>
      </c>
      <c r="J979" s="9" t="n">
        <v>0.05</v>
      </c>
      <c r="K979" s="10">
        <f>I979*(1-J979)</f>
        <v/>
      </c>
      <c r="L979" s="11" t="n">
        <v>1</v>
      </c>
      <c r="M979" s="10">
        <f>K979*L979</f>
        <v/>
      </c>
      <c r="N979" s="8" t="n">
        <v>36.49</v>
      </c>
      <c r="O979" s="10">
        <f>N979*L979</f>
        <v/>
      </c>
      <c r="P979" s="10">
        <f>M979-O979</f>
        <v/>
      </c>
      <c r="Q979" s="11" t="inlineStr">
        <is>
          <t>No</t>
        </is>
      </c>
      <c r="R979" s="11" t="n">
        <v>0</v>
      </c>
      <c r="S979" s="10">
        <f>M979-(R979*K979)</f>
        <v/>
      </c>
      <c r="T979" s="12">
        <f>VLOOKUP(E979,Dim_Product!$A$2:$Q$61,3,FALSE)</f>
        <v/>
      </c>
      <c r="U979" s="12">
        <f>VLOOKUP(E979,Dim_Product!$A$2:$Q$61,4,FALSE)</f>
        <v/>
      </c>
      <c r="V979" s="12">
        <f>VLOOKUP(D979,Dim_Customer!$A$2:$I$121,6,FALSE)</f>
        <v/>
      </c>
      <c r="W979" s="12">
        <f>VLOOKUP(G979,Dim_Channel!$A$2:$B$5,2,FALSE)</f>
        <v/>
      </c>
      <c r="X979" s="12">
        <f>VLOOKUP(H979,Dim_Promotion!$A$2:$G$11,2,FALSE)</f>
        <v/>
      </c>
    </row>
    <row r="980">
      <c r="A980" s="4" t="inlineStr">
        <is>
          <t>SL0979</t>
        </is>
      </c>
      <c r="B980" t="inlineStr">
        <is>
          <t>O010490</t>
        </is>
      </c>
      <c r="C980" t="n">
        <v>20250305</v>
      </c>
      <c r="D980" s="4" t="inlineStr">
        <is>
          <t>C096</t>
        </is>
      </c>
      <c r="E980" s="4" t="inlineStr">
        <is>
          <t>P041</t>
        </is>
      </c>
      <c r="F980" t="inlineStr">
        <is>
          <t>XS</t>
        </is>
      </c>
      <c r="G980" s="4" t="inlineStr">
        <is>
          <t>CH03</t>
        </is>
      </c>
      <c r="H980" s="4" t="inlineStr">
        <is>
          <t>PR00</t>
        </is>
      </c>
      <c r="I980" s="8" t="n">
        <v>78</v>
      </c>
      <c r="J980" s="9" t="n">
        <v>0</v>
      </c>
      <c r="K980" s="10">
        <f>I980*(1-J980)</f>
        <v/>
      </c>
      <c r="L980" s="11" t="n">
        <v>1</v>
      </c>
      <c r="M980" s="10">
        <f>K980*L980</f>
        <v/>
      </c>
      <c r="N980" s="8" t="n">
        <v>37.26</v>
      </c>
      <c r="O980" s="10">
        <f>N980*L980</f>
        <v/>
      </c>
      <c r="P980" s="10">
        <f>M980-O980</f>
        <v/>
      </c>
      <c r="Q980" s="11" t="inlineStr">
        <is>
          <t>No</t>
        </is>
      </c>
      <c r="R980" s="11" t="n">
        <v>0</v>
      </c>
      <c r="S980" s="10">
        <f>M980-(R980*K980)</f>
        <v/>
      </c>
      <c r="T980" s="12">
        <f>VLOOKUP(E980,Dim_Product!$A$2:$Q$61,3,FALSE)</f>
        <v/>
      </c>
      <c r="U980" s="12">
        <f>VLOOKUP(E980,Dim_Product!$A$2:$Q$61,4,FALSE)</f>
        <v/>
      </c>
      <c r="V980" s="12">
        <f>VLOOKUP(D980,Dim_Customer!$A$2:$I$121,6,FALSE)</f>
        <v/>
      </c>
      <c r="W980" s="12">
        <f>VLOOKUP(G980,Dim_Channel!$A$2:$B$5,2,FALSE)</f>
        <v/>
      </c>
      <c r="X980" s="12">
        <f>VLOOKUP(H980,Dim_Promotion!$A$2:$G$11,2,FALSE)</f>
        <v/>
      </c>
    </row>
    <row r="981">
      <c r="A981" s="4" t="inlineStr">
        <is>
          <t>SL0980</t>
        </is>
      </c>
      <c r="B981" t="inlineStr">
        <is>
          <t>O010490</t>
        </is>
      </c>
      <c r="C981" t="n">
        <v>20250330</v>
      </c>
      <c r="D981" s="4" t="inlineStr">
        <is>
          <t>C032</t>
        </is>
      </c>
      <c r="E981" s="4" t="inlineStr">
        <is>
          <t>P010</t>
        </is>
      </c>
      <c r="F981" t="inlineStr">
        <is>
          <t>M</t>
        </is>
      </c>
      <c r="G981" s="4" t="inlineStr">
        <is>
          <t>CH01</t>
        </is>
      </c>
      <c r="H981" s="4" t="inlineStr">
        <is>
          <t>PR00</t>
        </is>
      </c>
      <c r="I981" s="8" t="n">
        <v>50</v>
      </c>
      <c r="J981" s="9" t="n">
        <v>0</v>
      </c>
      <c r="K981" s="10">
        <f>I981*(1-J981)</f>
        <v/>
      </c>
      <c r="L981" s="11" t="n">
        <v>2</v>
      </c>
      <c r="M981" s="10">
        <f>K981*L981</f>
        <v/>
      </c>
      <c r="N981" s="8" t="n">
        <v>19.69</v>
      </c>
      <c r="O981" s="10">
        <f>N981*L981</f>
        <v/>
      </c>
      <c r="P981" s="10">
        <f>M981-O981</f>
        <v/>
      </c>
      <c r="Q981" s="11" t="inlineStr">
        <is>
          <t>No</t>
        </is>
      </c>
      <c r="R981" s="11" t="n">
        <v>0</v>
      </c>
      <c r="S981" s="10">
        <f>M981-(R981*K981)</f>
        <v/>
      </c>
      <c r="T981" s="12">
        <f>VLOOKUP(E981,Dim_Product!$A$2:$Q$61,3,FALSE)</f>
        <v/>
      </c>
      <c r="U981" s="12">
        <f>VLOOKUP(E981,Dim_Product!$A$2:$Q$61,4,FALSE)</f>
        <v/>
      </c>
      <c r="V981" s="12">
        <f>VLOOKUP(D981,Dim_Customer!$A$2:$I$121,6,FALSE)</f>
        <v/>
      </c>
      <c r="W981" s="12">
        <f>VLOOKUP(G981,Dim_Channel!$A$2:$B$5,2,FALSE)</f>
        <v/>
      </c>
      <c r="X981" s="12">
        <f>VLOOKUP(H981,Dim_Promotion!$A$2:$G$11,2,FALSE)</f>
        <v/>
      </c>
    </row>
    <row r="982">
      <c r="A982" s="4" t="inlineStr">
        <is>
          <t>SL0981</t>
        </is>
      </c>
      <c r="B982" t="inlineStr">
        <is>
          <t>O010491</t>
        </is>
      </c>
      <c r="C982" t="n">
        <v>20251105</v>
      </c>
      <c r="D982" s="4" t="inlineStr">
        <is>
          <t>C111</t>
        </is>
      </c>
      <c r="E982" s="4" t="inlineStr">
        <is>
          <t>P045</t>
        </is>
      </c>
      <c r="F982" t="inlineStr">
        <is>
          <t>XL</t>
        </is>
      </c>
      <c r="G982" s="4" t="inlineStr">
        <is>
          <t>CH01</t>
        </is>
      </c>
      <c r="H982" s="4" t="inlineStr">
        <is>
          <t>PR00</t>
        </is>
      </c>
      <c r="I982" s="8" t="n">
        <v>67</v>
      </c>
      <c r="J982" s="9" t="n">
        <v>0</v>
      </c>
      <c r="K982" s="10">
        <f>I982*(1-J982)</f>
        <v/>
      </c>
      <c r="L982" s="11" t="n">
        <v>2</v>
      </c>
      <c r="M982" s="10">
        <f>K982*L982</f>
        <v/>
      </c>
      <c r="N982" s="8" t="n">
        <v>33.06</v>
      </c>
      <c r="O982" s="10">
        <f>N982*L982</f>
        <v/>
      </c>
      <c r="P982" s="10">
        <f>M982-O982</f>
        <v/>
      </c>
      <c r="Q982" s="11" t="inlineStr">
        <is>
          <t>No</t>
        </is>
      </c>
      <c r="R982" s="11" t="n">
        <v>0</v>
      </c>
      <c r="S982" s="10">
        <f>M982-(R982*K982)</f>
        <v/>
      </c>
      <c r="T982" s="12">
        <f>VLOOKUP(E982,Dim_Product!$A$2:$Q$61,3,FALSE)</f>
        <v/>
      </c>
      <c r="U982" s="12">
        <f>VLOOKUP(E982,Dim_Product!$A$2:$Q$61,4,FALSE)</f>
        <v/>
      </c>
      <c r="V982" s="12">
        <f>VLOOKUP(D982,Dim_Customer!$A$2:$I$121,6,FALSE)</f>
        <v/>
      </c>
      <c r="W982" s="12">
        <f>VLOOKUP(G982,Dim_Channel!$A$2:$B$5,2,FALSE)</f>
        <v/>
      </c>
      <c r="X982" s="12">
        <f>VLOOKUP(H982,Dim_Promotion!$A$2:$G$11,2,FALSE)</f>
        <v/>
      </c>
    </row>
    <row r="983">
      <c r="A983" s="4" t="inlineStr">
        <is>
          <t>SL0982</t>
        </is>
      </c>
      <c r="B983" t="inlineStr">
        <is>
          <t>O010491</t>
        </is>
      </c>
      <c r="C983" t="n">
        <v>20250402</v>
      </c>
      <c r="D983" s="4" t="inlineStr">
        <is>
          <t>C097</t>
        </is>
      </c>
      <c r="E983" s="4" t="inlineStr">
        <is>
          <t>P046</t>
        </is>
      </c>
      <c r="F983" t="inlineStr">
        <is>
          <t>M</t>
        </is>
      </c>
      <c r="G983" s="4" t="inlineStr">
        <is>
          <t>CH04</t>
        </is>
      </c>
      <c r="H983" s="4" t="inlineStr">
        <is>
          <t>PR00</t>
        </is>
      </c>
      <c r="I983" s="8" t="n">
        <v>66</v>
      </c>
      <c r="J983" s="9" t="n">
        <v>0</v>
      </c>
      <c r="K983" s="10">
        <f>I983*(1-J983)</f>
        <v/>
      </c>
      <c r="L983" s="11" t="n">
        <v>2</v>
      </c>
      <c r="M983" s="10">
        <f>K983*L983</f>
        <v/>
      </c>
      <c r="N983" s="8" t="n">
        <v>32.59</v>
      </c>
      <c r="O983" s="10">
        <f>N983*L983</f>
        <v/>
      </c>
      <c r="P983" s="10">
        <f>M983-O983</f>
        <v/>
      </c>
      <c r="Q983" s="11" t="inlineStr">
        <is>
          <t>No</t>
        </is>
      </c>
      <c r="R983" s="11" t="n">
        <v>0</v>
      </c>
      <c r="S983" s="10">
        <f>M983-(R983*K983)</f>
        <v/>
      </c>
      <c r="T983" s="12">
        <f>VLOOKUP(E983,Dim_Product!$A$2:$Q$61,3,FALSE)</f>
        <v/>
      </c>
      <c r="U983" s="12">
        <f>VLOOKUP(E983,Dim_Product!$A$2:$Q$61,4,FALSE)</f>
        <v/>
      </c>
      <c r="V983" s="12">
        <f>VLOOKUP(D983,Dim_Customer!$A$2:$I$121,6,FALSE)</f>
        <v/>
      </c>
      <c r="W983" s="12">
        <f>VLOOKUP(G983,Dim_Channel!$A$2:$B$5,2,FALSE)</f>
        <v/>
      </c>
      <c r="X983" s="12">
        <f>VLOOKUP(H983,Dim_Promotion!$A$2:$G$11,2,FALSE)</f>
        <v/>
      </c>
    </row>
    <row r="984">
      <c r="A984" s="4" t="inlineStr">
        <is>
          <t>SL0983</t>
        </is>
      </c>
      <c r="B984" t="inlineStr">
        <is>
          <t>O010492</t>
        </is>
      </c>
      <c r="C984" t="n">
        <v>20251129</v>
      </c>
      <c r="D984" s="4" t="inlineStr">
        <is>
          <t>C053</t>
        </is>
      </c>
      <c r="E984" s="4" t="inlineStr">
        <is>
          <t>P009</t>
        </is>
      </c>
      <c r="F984" t="inlineStr">
        <is>
          <t>M</t>
        </is>
      </c>
      <c r="G984" s="4" t="inlineStr">
        <is>
          <t>CH03</t>
        </is>
      </c>
      <c r="H984" s="4" t="inlineStr">
        <is>
          <t>PR00</t>
        </is>
      </c>
      <c r="I984" s="8" t="n">
        <v>46</v>
      </c>
      <c r="J984" s="9" t="n">
        <v>0</v>
      </c>
      <c r="K984" s="10">
        <f>I984*(1-J984)</f>
        <v/>
      </c>
      <c r="L984" s="11" t="n">
        <v>1</v>
      </c>
      <c r="M984" s="10">
        <f>K984*L984</f>
        <v/>
      </c>
      <c r="N984" s="8" t="n">
        <v>19.26</v>
      </c>
      <c r="O984" s="10">
        <f>N984*L984</f>
        <v/>
      </c>
      <c r="P984" s="10">
        <f>M984-O984</f>
        <v/>
      </c>
      <c r="Q984" s="11" t="inlineStr">
        <is>
          <t>No</t>
        </is>
      </c>
      <c r="R984" s="11" t="n">
        <v>0</v>
      </c>
      <c r="S984" s="10">
        <f>M984-(R984*K984)</f>
        <v/>
      </c>
      <c r="T984" s="12">
        <f>VLOOKUP(E984,Dim_Product!$A$2:$Q$61,3,FALSE)</f>
        <v/>
      </c>
      <c r="U984" s="12">
        <f>VLOOKUP(E984,Dim_Product!$A$2:$Q$61,4,FALSE)</f>
        <v/>
      </c>
      <c r="V984" s="12">
        <f>VLOOKUP(D984,Dim_Customer!$A$2:$I$121,6,FALSE)</f>
        <v/>
      </c>
      <c r="W984" s="12">
        <f>VLOOKUP(G984,Dim_Channel!$A$2:$B$5,2,FALSE)</f>
        <v/>
      </c>
      <c r="X984" s="12">
        <f>VLOOKUP(H984,Dim_Promotion!$A$2:$G$11,2,FALSE)</f>
        <v/>
      </c>
    </row>
    <row r="985">
      <c r="A985" s="4" t="inlineStr">
        <is>
          <t>SL0984</t>
        </is>
      </c>
      <c r="B985" t="inlineStr">
        <is>
          <t>O010492</t>
        </is>
      </c>
      <c r="C985" t="n">
        <v>20251025</v>
      </c>
      <c r="D985" s="4" t="inlineStr">
        <is>
          <t>C083</t>
        </is>
      </c>
      <c r="E985" s="4" t="inlineStr">
        <is>
          <t>P003</t>
        </is>
      </c>
      <c r="F985" t="inlineStr">
        <is>
          <t>M</t>
        </is>
      </c>
      <c r="G985" s="4" t="inlineStr">
        <is>
          <t>CH02</t>
        </is>
      </c>
      <c r="H985" s="4" t="inlineStr">
        <is>
          <t>PR00</t>
        </is>
      </c>
      <c r="I985" s="8" t="n">
        <v>42</v>
      </c>
      <c r="J985" s="9" t="n">
        <v>0</v>
      </c>
      <c r="K985" s="10">
        <f>I985*(1-J985)</f>
        <v/>
      </c>
      <c r="L985" s="11" t="n">
        <v>1</v>
      </c>
      <c r="M985" s="10">
        <f>K985*L985</f>
        <v/>
      </c>
      <c r="N985" s="8" t="n">
        <v>20.24</v>
      </c>
      <c r="O985" s="10">
        <f>N985*L985</f>
        <v/>
      </c>
      <c r="P985" s="10">
        <f>M985-O985</f>
        <v/>
      </c>
      <c r="Q985" s="11" t="inlineStr">
        <is>
          <t>No</t>
        </is>
      </c>
      <c r="R985" s="11" t="n">
        <v>0</v>
      </c>
      <c r="S985" s="10">
        <f>M985-(R985*K985)</f>
        <v/>
      </c>
      <c r="T985" s="12">
        <f>VLOOKUP(E985,Dim_Product!$A$2:$Q$61,3,FALSE)</f>
        <v/>
      </c>
      <c r="U985" s="12">
        <f>VLOOKUP(E985,Dim_Product!$A$2:$Q$61,4,FALSE)</f>
        <v/>
      </c>
      <c r="V985" s="12">
        <f>VLOOKUP(D985,Dim_Customer!$A$2:$I$121,6,FALSE)</f>
        <v/>
      </c>
      <c r="W985" s="12">
        <f>VLOOKUP(G985,Dim_Channel!$A$2:$B$5,2,FALSE)</f>
        <v/>
      </c>
      <c r="X985" s="12">
        <f>VLOOKUP(H985,Dim_Promotion!$A$2:$G$11,2,FALSE)</f>
        <v/>
      </c>
    </row>
    <row r="986">
      <c r="A986" s="4" t="inlineStr">
        <is>
          <t>SL0985</t>
        </is>
      </c>
      <c r="B986" t="inlineStr">
        <is>
          <t>O010493</t>
        </is>
      </c>
      <c r="C986" t="n">
        <v>20250516</v>
      </c>
      <c r="D986" s="4" t="inlineStr">
        <is>
          <t>C066</t>
        </is>
      </c>
      <c r="E986" s="4" t="inlineStr">
        <is>
          <t>P007</t>
        </is>
      </c>
      <c r="F986" t="inlineStr">
        <is>
          <t>L</t>
        </is>
      </c>
      <c r="G986" s="4" t="inlineStr">
        <is>
          <t>CH04</t>
        </is>
      </c>
      <c r="H986" s="4" t="inlineStr">
        <is>
          <t>PR00</t>
        </is>
      </c>
      <c r="I986" s="8" t="n">
        <v>48</v>
      </c>
      <c r="J986" s="9" t="n">
        <v>0</v>
      </c>
      <c r="K986" s="10">
        <f>I986*(1-J986)</f>
        <v/>
      </c>
      <c r="L986" s="11" t="n">
        <v>1</v>
      </c>
      <c r="M986" s="10">
        <f>K986*L986</f>
        <v/>
      </c>
      <c r="N986" s="8" t="n">
        <v>21.91</v>
      </c>
      <c r="O986" s="10">
        <f>N986*L986</f>
        <v/>
      </c>
      <c r="P986" s="10">
        <f>M986-O986</f>
        <v/>
      </c>
      <c r="Q986" s="11" t="inlineStr">
        <is>
          <t>No</t>
        </is>
      </c>
      <c r="R986" s="11" t="n">
        <v>0</v>
      </c>
      <c r="S986" s="10">
        <f>M986-(R986*K986)</f>
        <v/>
      </c>
      <c r="T986" s="12">
        <f>VLOOKUP(E986,Dim_Product!$A$2:$Q$61,3,FALSE)</f>
        <v/>
      </c>
      <c r="U986" s="12">
        <f>VLOOKUP(E986,Dim_Product!$A$2:$Q$61,4,FALSE)</f>
        <v/>
      </c>
      <c r="V986" s="12">
        <f>VLOOKUP(D986,Dim_Customer!$A$2:$I$121,6,FALSE)</f>
        <v/>
      </c>
      <c r="W986" s="12">
        <f>VLOOKUP(G986,Dim_Channel!$A$2:$B$5,2,FALSE)</f>
        <v/>
      </c>
      <c r="X986" s="12">
        <f>VLOOKUP(H986,Dim_Promotion!$A$2:$G$11,2,FALSE)</f>
        <v/>
      </c>
    </row>
    <row r="987">
      <c r="A987" s="4" t="inlineStr">
        <is>
          <t>SL0986</t>
        </is>
      </c>
      <c r="B987" t="inlineStr">
        <is>
          <t>O010493</t>
        </is>
      </c>
      <c r="C987" t="n">
        <v>20250517</v>
      </c>
      <c r="D987" s="4" t="inlineStr">
        <is>
          <t>C030</t>
        </is>
      </c>
      <c r="E987" s="4" t="inlineStr">
        <is>
          <t>P020</t>
        </is>
      </c>
      <c r="F987" t="inlineStr">
        <is>
          <t>L</t>
        </is>
      </c>
      <c r="G987" s="4" t="inlineStr">
        <is>
          <t>CH03</t>
        </is>
      </c>
      <c r="H987" s="4" t="inlineStr">
        <is>
          <t>PR00</t>
        </is>
      </c>
      <c r="I987" s="8" t="n">
        <v>64</v>
      </c>
      <c r="J987" s="9" t="n">
        <v>0</v>
      </c>
      <c r="K987" s="10">
        <f>I987*(1-J987)</f>
        <v/>
      </c>
      <c r="L987" s="11" t="n">
        <v>1</v>
      </c>
      <c r="M987" s="10">
        <f>K987*L987</f>
        <v/>
      </c>
      <c r="N987" s="8" t="n">
        <v>30.61</v>
      </c>
      <c r="O987" s="10">
        <f>N987*L987</f>
        <v/>
      </c>
      <c r="P987" s="10">
        <f>M987-O987</f>
        <v/>
      </c>
      <c r="Q987" s="11" t="inlineStr">
        <is>
          <t>No</t>
        </is>
      </c>
      <c r="R987" s="11" t="n">
        <v>0</v>
      </c>
      <c r="S987" s="10">
        <f>M987-(R987*K987)</f>
        <v/>
      </c>
      <c r="T987" s="12">
        <f>VLOOKUP(E987,Dim_Product!$A$2:$Q$61,3,FALSE)</f>
        <v/>
      </c>
      <c r="U987" s="12">
        <f>VLOOKUP(E987,Dim_Product!$A$2:$Q$61,4,FALSE)</f>
        <v/>
      </c>
      <c r="V987" s="12">
        <f>VLOOKUP(D987,Dim_Customer!$A$2:$I$121,6,FALSE)</f>
        <v/>
      </c>
      <c r="W987" s="12">
        <f>VLOOKUP(G987,Dim_Channel!$A$2:$B$5,2,FALSE)</f>
        <v/>
      </c>
      <c r="X987" s="12">
        <f>VLOOKUP(H987,Dim_Promotion!$A$2:$G$11,2,FALSE)</f>
        <v/>
      </c>
    </row>
    <row r="988">
      <c r="A988" s="4" t="inlineStr">
        <is>
          <t>SL0987</t>
        </is>
      </c>
      <c r="B988" t="inlineStr">
        <is>
          <t>O010494</t>
        </is>
      </c>
      <c r="C988" t="n">
        <v>20250826</v>
      </c>
      <c r="D988" s="4" t="inlineStr">
        <is>
          <t>C018</t>
        </is>
      </c>
      <c r="E988" s="4" t="inlineStr">
        <is>
          <t>P047</t>
        </is>
      </c>
      <c r="F988" t="inlineStr">
        <is>
          <t>S</t>
        </is>
      </c>
      <c r="G988" s="4" t="inlineStr">
        <is>
          <t>CH03</t>
        </is>
      </c>
      <c r="H988" s="4" t="inlineStr">
        <is>
          <t>PR00</t>
        </is>
      </c>
      <c r="I988" s="8" t="n">
        <v>74</v>
      </c>
      <c r="J988" s="9" t="n">
        <v>0</v>
      </c>
      <c r="K988" s="10">
        <f>I988*(1-J988)</f>
        <v/>
      </c>
      <c r="L988" s="11" t="n">
        <v>1</v>
      </c>
      <c r="M988" s="10">
        <f>K988*L988</f>
        <v/>
      </c>
      <c r="N988" s="8" t="n">
        <v>31.86</v>
      </c>
      <c r="O988" s="10">
        <f>N988*L988</f>
        <v/>
      </c>
      <c r="P988" s="10">
        <f>M988-O988</f>
        <v/>
      </c>
      <c r="Q988" s="11" t="inlineStr">
        <is>
          <t>No</t>
        </is>
      </c>
      <c r="R988" s="11" t="n">
        <v>0</v>
      </c>
      <c r="S988" s="10">
        <f>M988-(R988*K988)</f>
        <v/>
      </c>
      <c r="T988" s="12">
        <f>VLOOKUP(E988,Dim_Product!$A$2:$Q$61,3,FALSE)</f>
        <v/>
      </c>
      <c r="U988" s="12">
        <f>VLOOKUP(E988,Dim_Product!$A$2:$Q$61,4,FALSE)</f>
        <v/>
      </c>
      <c r="V988" s="12">
        <f>VLOOKUP(D988,Dim_Customer!$A$2:$I$121,6,FALSE)</f>
        <v/>
      </c>
      <c r="W988" s="12">
        <f>VLOOKUP(G988,Dim_Channel!$A$2:$B$5,2,FALSE)</f>
        <v/>
      </c>
      <c r="X988" s="12">
        <f>VLOOKUP(H988,Dim_Promotion!$A$2:$G$11,2,FALSE)</f>
        <v/>
      </c>
    </row>
    <row r="989">
      <c r="A989" s="4" t="inlineStr">
        <is>
          <t>SL0988</t>
        </is>
      </c>
      <c r="B989" t="inlineStr">
        <is>
          <t>O010494</t>
        </is>
      </c>
      <c r="C989" t="n">
        <v>20250324</v>
      </c>
      <c r="D989" s="4" t="inlineStr">
        <is>
          <t>C093</t>
        </is>
      </c>
      <c r="E989" s="4" t="inlineStr">
        <is>
          <t>P052</t>
        </is>
      </c>
      <c r="F989" t="inlineStr">
        <is>
          <t>M</t>
        </is>
      </c>
      <c r="G989" s="4" t="inlineStr">
        <is>
          <t>CH04</t>
        </is>
      </c>
      <c r="H989" s="4" t="inlineStr">
        <is>
          <t>PR00</t>
        </is>
      </c>
      <c r="I989" s="8" t="n">
        <v>65</v>
      </c>
      <c r="J989" s="9" t="n">
        <v>0</v>
      </c>
      <c r="K989" s="10">
        <f>I989*(1-J989)</f>
        <v/>
      </c>
      <c r="L989" s="11" t="n">
        <v>1</v>
      </c>
      <c r="M989" s="10">
        <f>K989*L989</f>
        <v/>
      </c>
      <c r="N989" s="8" t="n">
        <v>31.11</v>
      </c>
      <c r="O989" s="10">
        <f>N989*L989</f>
        <v/>
      </c>
      <c r="P989" s="10">
        <f>M989-O989</f>
        <v/>
      </c>
      <c r="Q989" s="11" t="inlineStr">
        <is>
          <t>No</t>
        </is>
      </c>
      <c r="R989" s="11" t="n">
        <v>0</v>
      </c>
      <c r="S989" s="10">
        <f>M989-(R989*K989)</f>
        <v/>
      </c>
      <c r="T989" s="12">
        <f>VLOOKUP(E989,Dim_Product!$A$2:$Q$61,3,FALSE)</f>
        <v/>
      </c>
      <c r="U989" s="12">
        <f>VLOOKUP(E989,Dim_Product!$A$2:$Q$61,4,FALSE)</f>
        <v/>
      </c>
      <c r="V989" s="12">
        <f>VLOOKUP(D989,Dim_Customer!$A$2:$I$121,6,FALSE)</f>
        <v/>
      </c>
      <c r="W989" s="12">
        <f>VLOOKUP(G989,Dim_Channel!$A$2:$B$5,2,FALSE)</f>
        <v/>
      </c>
      <c r="X989" s="12">
        <f>VLOOKUP(H989,Dim_Promotion!$A$2:$G$11,2,FALSE)</f>
        <v/>
      </c>
    </row>
    <row r="990">
      <c r="A990" s="4" t="inlineStr">
        <is>
          <t>SL0989</t>
        </is>
      </c>
      <c r="B990" t="inlineStr">
        <is>
          <t>O010495</t>
        </is>
      </c>
      <c r="C990" t="n">
        <v>20251215</v>
      </c>
      <c r="D990" s="4" t="inlineStr">
        <is>
          <t>C069</t>
        </is>
      </c>
      <c r="E990" s="4" t="inlineStr">
        <is>
          <t>P019</t>
        </is>
      </c>
      <c r="F990" t="inlineStr">
        <is>
          <t>XS</t>
        </is>
      </c>
      <c r="G990" s="4" t="inlineStr">
        <is>
          <t>CH01</t>
        </is>
      </c>
      <c r="H990" s="4" t="inlineStr">
        <is>
          <t>PR00</t>
        </is>
      </c>
      <c r="I990" s="8" t="n">
        <v>65</v>
      </c>
      <c r="J990" s="9" t="n">
        <v>0</v>
      </c>
      <c r="K990" s="10">
        <f>I990*(1-J990)</f>
        <v/>
      </c>
      <c r="L990" s="11" t="n">
        <v>1</v>
      </c>
      <c r="M990" s="10">
        <f>K990*L990</f>
        <v/>
      </c>
      <c r="N990" s="8" t="n">
        <v>31.72</v>
      </c>
      <c r="O990" s="10">
        <f>N990*L990</f>
        <v/>
      </c>
      <c r="P990" s="10">
        <f>M990-O990</f>
        <v/>
      </c>
      <c r="Q990" s="11" t="inlineStr">
        <is>
          <t>No</t>
        </is>
      </c>
      <c r="R990" s="11" t="n">
        <v>0</v>
      </c>
      <c r="S990" s="10">
        <f>M990-(R990*K990)</f>
        <v/>
      </c>
      <c r="T990" s="12">
        <f>VLOOKUP(E990,Dim_Product!$A$2:$Q$61,3,FALSE)</f>
        <v/>
      </c>
      <c r="U990" s="12">
        <f>VLOOKUP(E990,Dim_Product!$A$2:$Q$61,4,FALSE)</f>
        <v/>
      </c>
      <c r="V990" s="12">
        <f>VLOOKUP(D990,Dim_Customer!$A$2:$I$121,6,FALSE)</f>
        <v/>
      </c>
      <c r="W990" s="12">
        <f>VLOOKUP(G990,Dim_Channel!$A$2:$B$5,2,FALSE)</f>
        <v/>
      </c>
      <c r="X990" s="12">
        <f>VLOOKUP(H990,Dim_Promotion!$A$2:$G$11,2,FALSE)</f>
        <v/>
      </c>
    </row>
    <row r="991">
      <c r="A991" s="4" t="inlineStr">
        <is>
          <t>SL0990</t>
        </is>
      </c>
      <c r="B991" t="inlineStr">
        <is>
          <t>O010495</t>
        </is>
      </c>
      <c r="C991" t="n">
        <v>20251215</v>
      </c>
      <c r="D991" s="4" t="inlineStr">
        <is>
          <t>C120</t>
        </is>
      </c>
      <c r="E991" s="4" t="inlineStr">
        <is>
          <t>P060</t>
        </is>
      </c>
      <c r="F991" t="inlineStr">
        <is>
          <t>M</t>
        </is>
      </c>
      <c r="G991" s="4" t="inlineStr">
        <is>
          <t>CH02</t>
        </is>
      </c>
      <c r="H991" s="4" t="inlineStr">
        <is>
          <t>PR00</t>
        </is>
      </c>
      <c r="I991" s="8" t="n">
        <v>70</v>
      </c>
      <c r="J991" s="9" t="n">
        <v>0</v>
      </c>
      <c r="K991" s="10">
        <f>I991*(1-J991)</f>
        <v/>
      </c>
      <c r="L991" s="11" t="n">
        <v>4</v>
      </c>
      <c r="M991" s="10">
        <f>K991*L991</f>
        <v/>
      </c>
      <c r="N991" s="8" t="n">
        <v>36.64</v>
      </c>
      <c r="O991" s="10">
        <f>N991*L991</f>
        <v/>
      </c>
      <c r="P991" s="10">
        <f>M991-O991</f>
        <v/>
      </c>
      <c r="Q991" s="11" t="inlineStr">
        <is>
          <t>No</t>
        </is>
      </c>
      <c r="R991" s="11" t="n">
        <v>0</v>
      </c>
      <c r="S991" s="10">
        <f>M991-(R991*K991)</f>
        <v/>
      </c>
      <c r="T991" s="12">
        <f>VLOOKUP(E991,Dim_Product!$A$2:$Q$61,3,FALSE)</f>
        <v/>
      </c>
      <c r="U991" s="12">
        <f>VLOOKUP(E991,Dim_Product!$A$2:$Q$61,4,FALSE)</f>
        <v/>
      </c>
      <c r="V991" s="12">
        <f>VLOOKUP(D991,Dim_Customer!$A$2:$I$121,6,FALSE)</f>
        <v/>
      </c>
      <c r="W991" s="12">
        <f>VLOOKUP(G991,Dim_Channel!$A$2:$B$5,2,FALSE)</f>
        <v/>
      </c>
      <c r="X991" s="12">
        <f>VLOOKUP(H991,Dim_Promotion!$A$2:$G$11,2,FALSE)</f>
        <v/>
      </c>
    </row>
    <row r="992">
      <c r="A992" s="4" t="inlineStr">
        <is>
          <t>SL0991</t>
        </is>
      </c>
      <c r="B992" t="inlineStr">
        <is>
          <t>O010496</t>
        </is>
      </c>
      <c r="C992" t="n">
        <v>20250214</v>
      </c>
      <c r="D992" s="4" t="inlineStr">
        <is>
          <t>C050</t>
        </is>
      </c>
      <c r="E992" s="4" t="inlineStr">
        <is>
          <t>P017</t>
        </is>
      </c>
      <c r="F992" t="inlineStr">
        <is>
          <t>XS</t>
        </is>
      </c>
      <c r="G992" s="4" t="inlineStr">
        <is>
          <t>CH03</t>
        </is>
      </c>
      <c r="H992" s="4" t="inlineStr">
        <is>
          <t>PR00</t>
        </is>
      </c>
      <c r="I992" s="8" t="n">
        <v>66</v>
      </c>
      <c r="J992" s="9" t="n">
        <v>0</v>
      </c>
      <c r="K992" s="10">
        <f>I992*(1-J992)</f>
        <v/>
      </c>
      <c r="L992" s="11" t="n">
        <v>2</v>
      </c>
      <c r="M992" s="10">
        <f>K992*L992</f>
        <v/>
      </c>
      <c r="N992" s="8" t="n">
        <v>31.89</v>
      </c>
      <c r="O992" s="10">
        <f>N992*L992</f>
        <v/>
      </c>
      <c r="P992" s="10">
        <f>M992-O992</f>
        <v/>
      </c>
      <c r="Q992" s="11" t="inlineStr">
        <is>
          <t>No</t>
        </is>
      </c>
      <c r="R992" s="11" t="n">
        <v>0</v>
      </c>
      <c r="S992" s="10">
        <f>M992-(R992*K992)</f>
        <v/>
      </c>
      <c r="T992" s="12">
        <f>VLOOKUP(E992,Dim_Product!$A$2:$Q$61,3,FALSE)</f>
        <v/>
      </c>
      <c r="U992" s="12">
        <f>VLOOKUP(E992,Dim_Product!$A$2:$Q$61,4,FALSE)</f>
        <v/>
      </c>
      <c r="V992" s="12">
        <f>VLOOKUP(D992,Dim_Customer!$A$2:$I$121,6,FALSE)</f>
        <v/>
      </c>
      <c r="W992" s="12">
        <f>VLOOKUP(G992,Dim_Channel!$A$2:$B$5,2,FALSE)</f>
        <v/>
      </c>
      <c r="X992" s="12">
        <f>VLOOKUP(H992,Dim_Promotion!$A$2:$G$11,2,FALSE)</f>
        <v/>
      </c>
    </row>
    <row r="993">
      <c r="A993" s="4" t="inlineStr">
        <is>
          <t>SL0992</t>
        </is>
      </c>
      <c r="B993" t="inlineStr">
        <is>
          <t>O010496</t>
        </is>
      </c>
      <c r="C993" t="n">
        <v>20250426</v>
      </c>
      <c r="D993" s="4" t="inlineStr">
        <is>
          <t>C013</t>
        </is>
      </c>
      <c r="E993" s="4" t="inlineStr">
        <is>
          <t>P055</t>
        </is>
      </c>
      <c r="F993" t="inlineStr">
        <is>
          <t>S</t>
        </is>
      </c>
      <c r="G993" s="4" t="inlineStr">
        <is>
          <t>CH04</t>
        </is>
      </c>
      <c r="H993" s="4" t="inlineStr">
        <is>
          <t>PR00</t>
        </is>
      </c>
      <c r="I993" s="8" t="n">
        <v>72</v>
      </c>
      <c r="J993" s="9" t="n">
        <v>0.08</v>
      </c>
      <c r="K993" s="10">
        <f>I993*(1-J993)</f>
        <v/>
      </c>
      <c r="L993" s="11" t="n">
        <v>1</v>
      </c>
      <c r="M993" s="10">
        <f>K993*L993</f>
        <v/>
      </c>
      <c r="N993" s="8" t="n">
        <v>33.9</v>
      </c>
      <c r="O993" s="10">
        <f>N993*L993</f>
        <v/>
      </c>
      <c r="P993" s="10">
        <f>M993-O993</f>
        <v/>
      </c>
      <c r="Q993" s="11" t="inlineStr">
        <is>
          <t>No</t>
        </is>
      </c>
      <c r="R993" s="11" t="n">
        <v>0</v>
      </c>
      <c r="S993" s="10">
        <f>M993-(R993*K993)</f>
        <v/>
      </c>
      <c r="T993" s="12">
        <f>VLOOKUP(E993,Dim_Product!$A$2:$Q$61,3,FALSE)</f>
        <v/>
      </c>
      <c r="U993" s="12">
        <f>VLOOKUP(E993,Dim_Product!$A$2:$Q$61,4,FALSE)</f>
        <v/>
      </c>
      <c r="V993" s="12">
        <f>VLOOKUP(D993,Dim_Customer!$A$2:$I$121,6,FALSE)</f>
        <v/>
      </c>
      <c r="W993" s="12">
        <f>VLOOKUP(G993,Dim_Channel!$A$2:$B$5,2,FALSE)</f>
        <v/>
      </c>
      <c r="X993" s="12">
        <f>VLOOKUP(H993,Dim_Promotion!$A$2:$G$11,2,FALSE)</f>
        <v/>
      </c>
    </row>
    <row r="994">
      <c r="A994" s="4" t="inlineStr">
        <is>
          <t>SL0993</t>
        </is>
      </c>
      <c r="B994" t="inlineStr">
        <is>
          <t>O010497</t>
        </is>
      </c>
      <c r="C994" t="n">
        <v>20250420</v>
      </c>
      <c r="D994" s="4" t="inlineStr">
        <is>
          <t>C074</t>
        </is>
      </c>
      <c r="E994" s="4" t="inlineStr">
        <is>
          <t>P020</t>
        </is>
      </c>
      <c r="F994" t="inlineStr">
        <is>
          <t>XS</t>
        </is>
      </c>
      <c r="G994" s="4" t="inlineStr">
        <is>
          <t>CH02</t>
        </is>
      </c>
      <c r="H994" s="4" t="inlineStr">
        <is>
          <t>PR00</t>
        </is>
      </c>
      <c r="I994" s="8" t="n">
        <v>64</v>
      </c>
      <c r="J994" s="9" t="n">
        <v>0</v>
      </c>
      <c r="K994" s="10">
        <f>I994*(1-J994)</f>
        <v/>
      </c>
      <c r="L994" s="11" t="n">
        <v>2</v>
      </c>
      <c r="M994" s="10">
        <f>K994*L994</f>
        <v/>
      </c>
      <c r="N994" s="8" t="n">
        <v>30.89</v>
      </c>
      <c r="O994" s="10">
        <f>N994*L994</f>
        <v/>
      </c>
      <c r="P994" s="10">
        <f>M994-O994</f>
        <v/>
      </c>
      <c r="Q994" s="11" t="inlineStr">
        <is>
          <t>No</t>
        </is>
      </c>
      <c r="R994" s="11" t="n">
        <v>0</v>
      </c>
      <c r="S994" s="10">
        <f>M994-(R994*K994)</f>
        <v/>
      </c>
      <c r="T994" s="12">
        <f>VLOOKUP(E994,Dim_Product!$A$2:$Q$61,3,FALSE)</f>
        <v/>
      </c>
      <c r="U994" s="12">
        <f>VLOOKUP(E994,Dim_Product!$A$2:$Q$61,4,FALSE)</f>
        <v/>
      </c>
      <c r="V994" s="12">
        <f>VLOOKUP(D994,Dim_Customer!$A$2:$I$121,6,FALSE)</f>
        <v/>
      </c>
      <c r="W994" s="12">
        <f>VLOOKUP(G994,Dim_Channel!$A$2:$B$5,2,FALSE)</f>
        <v/>
      </c>
      <c r="X994" s="12">
        <f>VLOOKUP(H994,Dim_Promotion!$A$2:$G$11,2,FALSE)</f>
        <v/>
      </c>
    </row>
    <row r="995">
      <c r="A995" s="4" t="inlineStr">
        <is>
          <t>SL0994</t>
        </is>
      </c>
      <c r="B995" t="inlineStr">
        <is>
          <t>O010497</t>
        </is>
      </c>
      <c r="C995" t="n">
        <v>20250806</v>
      </c>
      <c r="D995" s="4" t="inlineStr">
        <is>
          <t>C012</t>
        </is>
      </c>
      <c r="E995" s="4" t="inlineStr">
        <is>
          <t>P033</t>
        </is>
      </c>
      <c r="F995" t="inlineStr">
        <is>
          <t>XXL</t>
        </is>
      </c>
      <c r="G995" s="4" t="inlineStr">
        <is>
          <t>CH03</t>
        </is>
      </c>
      <c r="H995" s="4" t="inlineStr">
        <is>
          <t>PR00</t>
        </is>
      </c>
      <c r="I995" s="8" t="n">
        <v>86</v>
      </c>
      <c r="J995" s="9" t="n">
        <v>0</v>
      </c>
      <c r="K995" s="10">
        <f>I995*(1-J995)</f>
        <v/>
      </c>
      <c r="L995" s="11" t="n">
        <v>2</v>
      </c>
      <c r="M995" s="10">
        <f>K995*L995</f>
        <v/>
      </c>
      <c r="N995" s="8" t="n">
        <v>41.72</v>
      </c>
      <c r="O995" s="10">
        <f>N995*L995</f>
        <v/>
      </c>
      <c r="P995" s="10">
        <f>M995-O995</f>
        <v/>
      </c>
      <c r="Q995" s="11" t="inlineStr">
        <is>
          <t>No</t>
        </is>
      </c>
      <c r="R995" s="11" t="n">
        <v>0</v>
      </c>
      <c r="S995" s="10">
        <f>M995-(R995*K995)</f>
        <v/>
      </c>
      <c r="T995" s="12">
        <f>VLOOKUP(E995,Dim_Product!$A$2:$Q$61,3,FALSE)</f>
        <v/>
      </c>
      <c r="U995" s="12">
        <f>VLOOKUP(E995,Dim_Product!$A$2:$Q$61,4,FALSE)</f>
        <v/>
      </c>
      <c r="V995" s="12">
        <f>VLOOKUP(D995,Dim_Customer!$A$2:$I$121,6,FALSE)</f>
        <v/>
      </c>
      <c r="W995" s="12">
        <f>VLOOKUP(G995,Dim_Channel!$A$2:$B$5,2,FALSE)</f>
        <v/>
      </c>
      <c r="X995" s="12">
        <f>VLOOKUP(H995,Dim_Promotion!$A$2:$G$11,2,FALSE)</f>
        <v/>
      </c>
    </row>
    <row r="996">
      <c r="A996" s="4" t="inlineStr">
        <is>
          <t>SL0995</t>
        </is>
      </c>
      <c r="B996" t="inlineStr">
        <is>
          <t>O010498</t>
        </is>
      </c>
      <c r="C996" t="n">
        <v>20250306</v>
      </c>
      <c r="D996" s="4" t="inlineStr">
        <is>
          <t>C118</t>
        </is>
      </c>
      <c r="E996" s="4" t="inlineStr">
        <is>
          <t>P012</t>
        </is>
      </c>
      <c r="F996" t="inlineStr">
        <is>
          <t>M</t>
        </is>
      </c>
      <c r="G996" s="4" t="inlineStr">
        <is>
          <t>CH02</t>
        </is>
      </c>
      <c r="H996" s="4" t="inlineStr">
        <is>
          <t>PR03</t>
        </is>
      </c>
      <c r="I996" s="8" t="n">
        <v>46</v>
      </c>
      <c r="J996" s="9" t="n">
        <v>0.08</v>
      </c>
      <c r="K996" s="10">
        <f>I996*(1-J996)</f>
        <v/>
      </c>
      <c r="L996" s="11" t="n">
        <v>2</v>
      </c>
      <c r="M996" s="10">
        <f>K996*L996</f>
        <v/>
      </c>
      <c r="N996" s="8" t="n">
        <v>22.15</v>
      </c>
      <c r="O996" s="10">
        <f>N996*L996</f>
        <v/>
      </c>
      <c r="P996" s="10">
        <f>M996-O996</f>
        <v/>
      </c>
      <c r="Q996" s="11" t="inlineStr">
        <is>
          <t>No</t>
        </is>
      </c>
      <c r="R996" s="11" t="n">
        <v>0</v>
      </c>
      <c r="S996" s="10">
        <f>M996-(R996*K996)</f>
        <v/>
      </c>
      <c r="T996" s="12">
        <f>VLOOKUP(E996,Dim_Product!$A$2:$Q$61,3,FALSE)</f>
        <v/>
      </c>
      <c r="U996" s="12">
        <f>VLOOKUP(E996,Dim_Product!$A$2:$Q$61,4,FALSE)</f>
        <v/>
      </c>
      <c r="V996" s="12">
        <f>VLOOKUP(D996,Dim_Customer!$A$2:$I$121,6,FALSE)</f>
        <v/>
      </c>
      <c r="W996" s="12">
        <f>VLOOKUP(G996,Dim_Channel!$A$2:$B$5,2,FALSE)</f>
        <v/>
      </c>
      <c r="X996" s="12">
        <f>VLOOKUP(H996,Dim_Promotion!$A$2:$G$11,2,FALSE)</f>
        <v/>
      </c>
    </row>
    <row r="997">
      <c r="A997" s="4" t="inlineStr">
        <is>
          <t>SL0996</t>
        </is>
      </c>
      <c r="B997" t="inlineStr">
        <is>
          <t>O010498</t>
        </is>
      </c>
      <c r="C997" t="n">
        <v>20251114</v>
      </c>
      <c r="D997" s="4" t="inlineStr">
        <is>
          <t>C092</t>
        </is>
      </c>
      <c r="E997" s="4" t="inlineStr">
        <is>
          <t>P025</t>
        </is>
      </c>
      <c r="F997" t="inlineStr">
        <is>
          <t>XL</t>
        </is>
      </c>
      <c r="G997" s="4" t="inlineStr">
        <is>
          <t>CH04</t>
        </is>
      </c>
      <c r="H997" s="4" t="inlineStr">
        <is>
          <t>PR00</t>
        </is>
      </c>
      <c r="I997" s="8" t="n">
        <v>95</v>
      </c>
      <c r="J997" s="9" t="n">
        <v>0.08</v>
      </c>
      <c r="K997" s="10">
        <f>I997*(1-J997)</f>
        <v/>
      </c>
      <c r="L997" s="11" t="n">
        <v>2</v>
      </c>
      <c r="M997" s="10">
        <f>K997*L997</f>
        <v/>
      </c>
      <c r="N997" s="8" t="n">
        <v>45.43</v>
      </c>
      <c r="O997" s="10">
        <f>N997*L997</f>
        <v/>
      </c>
      <c r="P997" s="10">
        <f>M997-O997</f>
        <v/>
      </c>
      <c r="Q997" s="11" t="inlineStr">
        <is>
          <t>No</t>
        </is>
      </c>
      <c r="R997" s="11" t="n">
        <v>0</v>
      </c>
      <c r="S997" s="10">
        <f>M997-(R997*K997)</f>
        <v/>
      </c>
      <c r="T997" s="12">
        <f>VLOOKUP(E997,Dim_Product!$A$2:$Q$61,3,FALSE)</f>
        <v/>
      </c>
      <c r="U997" s="12">
        <f>VLOOKUP(E997,Dim_Product!$A$2:$Q$61,4,FALSE)</f>
        <v/>
      </c>
      <c r="V997" s="12">
        <f>VLOOKUP(D997,Dim_Customer!$A$2:$I$121,6,FALSE)</f>
        <v/>
      </c>
      <c r="W997" s="12">
        <f>VLOOKUP(G997,Dim_Channel!$A$2:$B$5,2,FALSE)</f>
        <v/>
      </c>
      <c r="X997" s="12">
        <f>VLOOKUP(H997,Dim_Promotion!$A$2:$G$11,2,FALSE)</f>
        <v/>
      </c>
    </row>
    <row r="998">
      <c r="A998" s="4" t="inlineStr">
        <is>
          <t>SL0997</t>
        </is>
      </c>
      <c r="B998" t="inlineStr">
        <is>
          <t>O010499</t>
        </is>
      </c>
      <c r="C998" t="n">
        <v>20250711</v>
      </c>
      <c r="D998" s="4" t="inlineStr">
        <is>
          <t>C003</t>
        </is>
      </c>
      <c r="E998" s="4" t="inlineStr">
        <is>
          <t>P021</t>
        </is>
      </c>
      <c r="F998" t="inlineStr">
        <is>
          <t>L</t>
        </is>
      </c>
      <c r="G998" s="4" t="inlineStr">
        <is>
          <t>CH04</t>
        </is>
      </c>
      <c r="H998" s="4" t="inlineStr">
        <is>
          <t>PR00</t>
        </is>
      </c>
      <c r="I998" s="8" t="n">
        <v>54</v>
      </c>
      <c r="J998" s="9" t="n">
        <v>0</v>
      </c>
      <c r="K998" s="10">
        <f>I998*(1-J998)</f>
        <v/>
      </c>
      <c r="L998" s="11" t="n">
        <v>1</v>
      </c>
      <c r="M998" s="10">
        <f>K998*L998</f>
        <v/>
      </c>
      <c r="N998" s="8" t="n">
        <v>28.03</v>
      </c>
      <c r="O998" s="10">
        <f>N998*L998</f>
        <v/>
      </c>
      <c r="P998" s="10">
        <f>M998-O998</f>
        <v/>
      </c>
      <c r="Q998" s="11" t="inlineStr">
        <is>
          <t>No</t>
        </is>
      </c>
      <c r="R998" s="11" t="n">
        <v>0</v>
      </c>
      <c r="S998" s="10">
        <f>M998-(R998*K998)</f>
        <v/>
      </c>
      <c r="T998" s="12">
        <f>VLOOKUP(E998,Dim_Product!$A$2:$Q$61,3,FALSE)</f>
        <v/>
      </c>
      <c r="U998" s="12">
        <f>VLOOKUP(E998,Dim_Product!$A$2:$Q$61,4,FALSE)</f>
        <v/>
      </c>
      <c r="V998" s="12">
        <f>VLOOKUP(D998,Dim_Customer!$A$2:$I$121,6,FALSE)</f>
        <v/>
      </c>
      <c r="W998" s="12">
        <f>VLOOKUP(G998,Dim_Channel!$A$2:$B$5,2,FALSE)</f>
        <v/>
      </c>
      <c r="X998" s="12">
        <f>VLOOKUP(H998,Dim_Promotion!$A$2:$G$11,2,FALSE)</f>
        <v/>
      </c>
    </row>
    <row r="999">
      <c r="A999" s="4" t="inlineStr">
        <is>
          <t>SL0998</t>
        </is>
      </c>
      <c r="B999" t="inlineStr">
        <is>
          <t>O010499</t>
        </is>
      </c>
      <c r="C999" t="n">
        <v>20251029</v>
      </c>
      <c r="D999" s="4" t="inlineStr">
        <is>
          <t>C030</t>
        </is>
      </c>
      <c r="E999" s="4" t="inlineStr">
        <is>
          <t>P058</t>
        </is>
      </c>
      <c r="F999" t="inlineStr">
        <is>
          <t>L</t>
        </is>
      </c>
      <c r="G999" s="4" t="inlineStr">
        <is>
          <t>CH03</t>
        </is>
      </c>
      <c r="H999" s="4" t="inlineStr">
        <is>
          <t>PR00</t>
        </is>
      </c>
      <c r="I999" s="8" t="n">
        <v>72</v>
      </c>
      <c r="J999" s="9" t="n">
        <v>0</v>
      </c>
      <c r="K999" s="10">
        <f>I999*(1-J999)</f>
        <v/>
      </c>
      <c r="L999" s="11" t="n">
        <v>1</v>
      </c>
      <c r="M999" s="10">
        <f>K999*L999</f>
        <v/>
      </c>
      <c r="N999" s="8" t="n">
        <v>36.03</v>
      </c>
      <c r="O999" s="10">
        <f>N999*L999</f>
        <v/>
      </c>
      <c r="P999" s="10">
        <f>M999-O999</f>
        <v/>
      </c>
      <c r="Q999" s="11" t="inlineStr">
        <is>
          <t>No</t>
        </is>
      </c>
      <c r="R999" s="11" t="n">
        <v>0</v>
      </c>
      <c r="S999" s="10">
        <f>M999-(R999*K999)</f>
        <v/>
      </c>
      <c r="T999" s="12">
        <f>VLOOKUP(E999,Dim_Product!$A$2:$Q$61,3,FALSE)</f>
        <v/>
      </c>
      <c r="U999" s="12">
        <f>VLOOKUP(E999,Dim_Product!$A$2:$Q$61,4,FALSE)</f>
        <v/>
      </c>
      <c r="V999" s="12">
        <f>VLOOKUP(D999,Dim_Customer!$A$2:$I$121,6,FALSE)</f>
        <v/>
      </c>
      <c r="W999" s="12">
        <f>VLOOKUP(G999,Dim_Channel!$A$2:$B$5,2,FALSE)</f>
        <v/>
      </c>
      <c r="X999" s="12">
        <f>VLOOKUP(H999,Dim_Promotion!$A$2:$G$11,2,FALSE)</f>
        <v/>
      </c>
    </row>
    <row r="1000">
      <c r="A1000" s="4" t="inlineStr">
        <is>
          <t>SL0999</t>
        </is>
      </c>
      <c r="B1000" t="inlineStr">
        <is>
          <t>O010500</t>
        </is>
      </c>
      <c r="C1000" t="n">
        <v>20250724</v>
      </c>
      <c r="D1000" s="4" t="inlineStr">
        <is>
          <t>C058</t>
        </is>
      </c>
      <c r="E1000" s="4" t="inlineStr">
        <is>
          <t>P054</t>
        </is>
      </c>
      <c r="F1000" t="inlineStr">
        <is>
          <t>S</t>
        </is>
      </c>
      <c r="G1000" s="4" t="inlineStr">
        <is>
          <t>CH01</t>
        </is>
      </c>
      <c r="H1000" s="4" t="inlineStr">
        <is>
          <t>PR00</t>
        </is>
      </c>
      <c r="I1000" s="8" t="n">
        <v>75</v>
      </c>
      <c r="J1000" s="9" t="n">
        <v>0</v>
      </c>
      <c r="K1000" s="10">
        <f>I1000*(1-J1000)</f>
        <v/>
      </c>
      <c r="L1000" s="11" t="n">
        <v>1</v>
      </c>
      <c r="M1000" s="10">
        <f>K1000*L1000</f>
        <v/>
      </c>
      <c r="N1000" s="8" t="n">
        <v>30.79</v>
      </c>
      <c r="O1000" s="10">
        <f>N1000*L1000</f>
        <v/>
      </c>
      <c r="P1000" s="10">
        <f>M1000-O1000</f>
        <v/>
      </c>
      <c r="Q1000" s="11" t="inlineStr">
        <is>
          <t>No</t>
        </is>
      </c>
      <c r="R1000" s="11" t="n">
        <v>0</v>
      </c>
      <c r="S1000" s="10">
        <f>M1000-(R1000*K1000)</f>
        <v/>
      </c>
      <c r="T1000" s="12">
        <f>VLOOKUP(E1000,Dim_Product!$A$2:$Q$61,3,FALSE)</f>
        <v/>
      </c>
      <c r="U1000" s="12">
        <f>VLOOKUP(E1000,Dim_Product!$A$2:$Q$61,4,FALSE)</f>
        <v/>
      </c>
      <c r="V1000" s="12">
        <f>VLOOKUP(D1000,Dim_Customer!$A$2:$I$121,6,FALSE)</f>
        <v/>
      </c>
      <c r="W1000" s="12">
        <f>VLOOKUP(G1000,Dim_Channel!$A$2:$B$5,2,FALSE)</f>
        <v/>
      </c>
      <c r="X1000" s="12">
        <f>VLOOKUP(H1000,Dim_Promotion!$A$2:$G$11,2,FALSE)</f>
        <v/>
      </c>
    </row>
    <row r="1001">
      <c r="A1001" s="4" t="inlineStr">
        <is>
          <t>SL1000</t>
        </is>
      </c>
      <c r="B1001" t="inlineStr">
        <is>
          <t>O010500</t>
        </is>
      </c>
      <c r="C1001" t="n">
        <v>20250717</v>
      </c>
      <c r="D1001" s="4" t="inlineStr">
        <is>
          <t>C104</t>
        </is>
      </c>
      <c r="E1001" s="4" t="inlineStr">
        <is>
          <t>P011</t>
        </is>
      </c>
      <c r="F1001" t="inlineStr">
        <is>
          <t>M</t>
        </is>
      </c>
      <c r="G1001" s="4" t="inlineStr">
        <is>
          <t>CH01</t>
        </is>
      </c>
      <c r="H1001" s="4" t="inlineStr">
        <is>
          <t>PR00</t>
        </is>
      </c>
      <c r="I1001" s="8" t="n">
        <v>46</v>
      </c>
      <c r="J1001" s="9" t="n">
        <v>0</v>
      </c>
      <c r="K1001" s="10">
        <f>I1001*(1-J1001)</f>
        <v/>
      </c>
      <c r="L1001" s="11" t="n">
        <v>1</v>
      </c>
      <c r="M1001" s="10">
        <f>K1001*L1001</f>
        <v/>
      </c>
      <c r="N1001" s="8" t="n">
        <v>20.43</v>
      </c>
      <c r="O1001" s="10">
        <f>N1001*L1001</f>
        <v/>
      </c>
      <c r="P1001" s="10">
        <f>M1001-O1001</f>
        <v/>
      </c>
      <c r="Q1001" s="11" t="inlineStr">
        <is>
          <t>Yes</t>
        </is>
      </c>
      <c r="R1001" s="11" t="n">
        <v>1</v>
      </c>
      <c r="S1001" s="10">
        <f>M1001-(R1001*K1001)</f>
        <v/>
      </c>
      <c r="T1001" s="12">
        <f>VLOOKUP(E1001,Dim_Product!$A$2:$Q$61,3,FALSE)</f>
        <v/>
      </c>
      <c r="U1001" s="12">
        <f>VLOOKUP(E1001,Dim_Product!$A$2:$Q$61,4,FALSE)</f>
        <v/>
      </c>
      <c r="V1001" s="12">
        <f>VLOOKUP(D1001,Dim_Customer!$A$2:$I$121,6,FALSE)</f>
        <v/>
      </c>
      <c r="W1001" s="12">
        <f>VLOOKUP(G1001,Dim_Channel!$A$2:$B$5,2,FALSE)</f>
        <v/>
      </c>
      <c r="X1001" s="12">
        <f>VLOOKUP(H1001,Dim_Promotion!$A$2:$G$11,2,FALSE)</f>
        <v/>
      </c>
    </row>
    <row r="1002">
      <c r="A1002" s="4" t="inlineStr">
        <is>
          <t>SL1001</t>
        </is>
      </c>
      <c r="B1002" t="inlineStr">
        <is>
          <t>O010501</t>
        </is>
      </c>
      <c r="C1002" t="n">
        <v>20250709</v>
      </c>
      <c r="D1002" s="4" t="inlineStr">
        <is>
          <t>C058</t>
        </is>
      </c>
      <c r="E1002" s="4" t="inlineStr">
        <is>
          <t>P008</t>
        </is>
      </c>
      <c r="F1002" t="inlineStr">
        <is>
          <t>M</t>
        </is>
      </c>
      <c r="G1002" s="4" t="inlineStr">
        <is>
          <t>CH04</t>
        </is>
      </c>
      <c r="H1002" s="4" t="inlineStr">
        <is>
          <t>PR00</t>
        </is>
      </c>
      <c r="I1002" s="8" t="n">
        <v>52</v>
      </c>
      <c r="J1002" s="9" t="n">
        <v>0</v>
      </c>
      <c r="K1002" s="10">
        <f>I1002*(1-J1002)</f>
        <v/>
      </c>
      <c r="L1002" s="11" t="n">
        <v>1</v>
      </c>
      <c r="M1002" s="10">
        <f>K1002*L1002</f>
        <v/>
      </c>
      <c r="N1002" s="8" t="n">
        <v>22.86</v>
      </c>
      <c r="O1002" s="10">
        <f>N1002*L1002</f>
        <v/>
      </c>
      <c r="P1002" s="10">
        <f>M1002-O1002</f>
        <v/>
      </c>
      <c r="Q1002" s="11" t="inlineStr">
        <is>
          <t>No</t>
        </is>
      </c>
      <c r="R1002" s="11" t="n">
        <v>0</v>
      </c>
      <c r="S1002" s="10">
        <f>M1002-(R1002*K1002)</f>
        <v/>
      </c>
      <c r="T1002" s="12">
        <f>VLOOKUP(E1002,Dim_Product!$A$2:$Q$61,3,FALSE)</f>
        <v/>
      </c>
      <c r="U1002" s="12">
        <f>VLOOKUP(E1002,Dim_Product!$A$2:$Q$61,4,FALSE)</f>
        <v/>
      </c>
      <c r="V1002" s="12">
        <f>VLOOKUP(D1002,Dim_Customer!$A$2:$I$121,6,FALSE)</f>
        <v/>
      </c>
      <c r="W1002" s="12">
        <f>VLOOKUP(G1002,Dim_Channel!$A$2:$B$5,2,FALSE)</f>
        <v/>
      </c>
      <c r="X1002" s="12">
        <f>VLOOKUP(H1002,Dim_Promotion!$A$2:$G$11,2,FALSE)</f>
        <v/>
      </c>
    </row>
    <row r="1003">
      <c r="A1003" s="4" t="inlineStr">
        <is>
          <t>SL1002</t>
        </is>
      </c>
      <c r="B1003" t="inlineStr">
        <is>
          <t>O010501</t>
        </is>
      </c>
      <c r="C1003" t="n">
        <v>20250121</v>
      </c>
      <c r="D1003" s="4" t="inlineStr">
        <is>
          <t>C101</t>
        </is>
      </c>
      <c r="E1003" s="4" t="inlineStr">
        <is>
          <t>P057</t>
        </is>
      </c>
      <c r="F1003" t="inlineStr">
        <is>
          <t>L</t>
        </is>
      </c>
      <c r="G1003" s="4" t="inlineStr">
        <is>
          <t>CH04</t>
        </is>
      </c>
      <c r="H1003" s="4" t="inlineStr">
        <is>
          <t>PR00</t>
        </is>
      </c>
      <c r="I1003" s="8" t="n">
        <v>74</v>
      </c>
      <c r="J1003" s="9" t="n">
        <v>0</v>
      </c>
      <c r="K1003" s="10">
        <f>I1003*(1-J1003)</f>
        <v/>
      </c>
      <c r="L1003" s="11" t="n">
        <v>1</v>
      </c>
      <c r="M1003" s="10">
        <f>K1003*L1003</f>
        <v/>
      </c>
      <c r="N1003" s="8" t="n">
        <v>34.46</v>
      </c>
      <c r="O1003" s="10">
        <f>N1003*L1003</f>
        <v/>
      </c>
      <c r="P1003" s="10">
        <f>M1003-O1003</f>
        <v/>
      </c>
      <c r="Q1003" s="11" t="inlineStr">
        <is>
          <t>No</t>
        </is>
      </c>
      <c r="R1003" s="11" t="n">
        <v>0</v>
      </c>
      <c r="S1003" s="10">
        <f>M1003-(R1003*K1003)</f>
        <v/>
      </c>
      <c r="T1003" s="12">
        <f>VLOOKUP(E1003,Dim_Product!$A$2:$Q$61,3,FALSE)</f>
        <v/>
      </c>
      <c r="U1003" s="12">
        <f>VLOOKUP(E1003,Dim_Product!$A$2:$Q$61,4,FALSE)</f>
        <v/>
      </c>
      <c r="V1003" s="12">
        <f>VLOOKUP(D1003,Dim_Customer!$A$2:$I$121,6,FALSE)</f>
        <v/>
      </c>
      <c r="W1003" s="12">
        <f>VLOOKUP(G1003,Dim_Channel!$A$2:$B$5,2,FALSE)</f>
        <v/>
      </c>
      <c r="X1003" s="12">
        <f>VLOOKUP(H1003,Dim_Promotion!$A$2:$G$11,2,FALSE)</f>
        <v/>
      </c>
    </row>
    <row r="1004">
      <c r="A1004" s="4" t="inlineStr">
        <is>
          <t>SL1003</t>
        </is>
      </c>
      <c r="B1004" t="inlineStr">
        <is>
          <t>O010502</t>
        </is>
      </c>
      <c r="C1004" t="n">
        <v>20250426</v>
      </c>
      <c r="D1004" s="4" t="inlineStr">
        <is>
          <t>C023</t>
        </is>
      </c>
      <c r="E1004" s="4" t="inlineStr">
        <is>
          <t>P032</t>
        </is>
      </c>
      <c r="F1004" t="inlineStr">
        <is>
          <t>S</t>
        </is>
      </c>
      <c r="G1004" s="4" t="inlineStr">
        <is>
          <t>CH02</t>
        </is>
      </c>
      <c r="H1004" s="4" t="inlineStr">
        <is>
          <t>PR00</t>
        </is>
      </c>
      <c r="I1004" s="8" t="n">
        <v>112</v>
      </c>
      <c r="J1004" s="9" t="n">
        <v>0</v>
      </c>
      <c r="K1004" s="10">
        <f>I1004*(1-J1004)</f>
        <v/>
      </c>
      <c r="L1004" s="11" t="n">
        <v>1</v>
      </c>
      <c r="M1004" s="10">
        <f>K1004*L1004</f>
        <v/>
      </c>
      <c r="N1004" s="8" t="n">
        <v>55.46</v>
      </c>
      <c r="O1004" s="10">
        <f>N1004*L1004</f>
        <v/>
      </c>
      <c r="P1004" s="10">
        <f>M1004-O1004</f>
        <v/>
      </c>
      <c r="Q1004" s="11" t="inlineStr">
        <is>
          <t>No</t>
        </is>
      </c>
      <c r="R1004" s="11" t="n">
        <v>0</v>
      </c>
      <c r="S1004" s="10">
        <f>M1004-(R1004*K1004)</f>
        <v/>
      </c>
      <c r="T1004" s="12">
        <f>VLOOKUP(E1004,Dim_Product!$A$2:$Q$61,3,FALSE)</f>
        <v/>
      </c>
      <c r="U1004" s="12">
        <f>VLOOKUP(E1004,Dim_Product!$A$2:$Q$61,4,FALSE)</f>
        <v/>
      </c>
      <c r="V1004" s="12">
        <f>VLOOKUP(D1004,Dim_Customer!$A$2:$I$121,6,FALSE)</f>
        <v/>
      </c>
      <c r="W1004" s="12">
        <f>VLOOKUP(G1004,Dim_Channel!$A$2:$B$5,2,FALSE)</f>
        <v/>
      </c>
      <c r="X1004" s="12">
        <f>VLOOKUP(H1004,Dim_Promotion!$A$2:$G$11,2,FALSE)</f>
        <v/>
      </c>
    </row>
    <row r="1005">
      <c r="A1005" s="4" t="inlineStr">
        <is>
          <t>SL1004</t>
        </is>
      </c>
      <c r="B1005" t="inlineStr">
        <is>
          <t>O010502</t>
        </is>
      </c>
      <c r="C1005" t="n">
        <v>20251117</v>
      </c>
      <c r="D1005" s="4" t="inlineStr">
        <is>
          <t>C065</t>
        </is>
      </c>
      <c r="E1005" s="4" t="inlineStr">
        <is>
          <t>P053</t>
        </is>
      </c>
      <c r="F1005" t="inlineStr">
        <is>
          <t>S</t>
        </is>
      </c>
      <c r="G1005" s="4" t="inlineStr">
        <is>
          <t>CH01</t>
        </is>
      </c>
      <c r="H1005" s="4" t="inlineStr">
        <is>
          <t>PR00</t>
        </is>
      </c>
      <c r="I1005" s="8" t="n">
        <v>76</v>
      </c>
      <c r="J1005" s="9" t="n">
        <v>0</v>
      </c>
      <c r="K1005" s="10">
        <f>I1005*(1-J1005)</f>
        <v/>
      </c>
      <c r="L1005" s="11" t="n">
        <v>2</v>
      </c>
      <c r="M1005" s="10">
        <f>K1005*L1005</f>
        <v/>
      </c>
      <c r="N1005" s="8" t="n">
        <v>34.49</v>
      </c>
      <c r="O1005" s="10">
        <f>N1005*L1005</f>
        <v/>
      </c>
      <c r="P1005" s="10">
        <f>M1005-O1005</f>
        <v/>
      </c>
      <c r="Q1005" s="11" t="inlineStr">
        <is>
          <t>No</t>
        </is>
      </c>
      <c r="R1005" s="11" t="n">
        <v>0</v>
      </c>
      <c r="S1005" s="10">
        <f>M1005-(R1005*K1005)</f>
        <v/>
      </c>
      <c r="T1005" s="12">
        <f>VLOOKUP(E1005,Dim_Product!$A$2:$Q$61,3,FALSE)</f>
        <v/>
      </c>
      <c r="U1005" s="12">
        <f>VLOOKUP(E1005,Dim_Product!$A$2:$Q$61,4,FALSE)</f>
        <v/>
      </c>
      <c r="V1005" s="12">
        <f>VLOOKUP(D1005,Dim_Customer!$A$2:$I$121,6,FALSE)</f>
        <v/>
      </c>
      <c r="W1005" s="12">
        <f>VLOOKUP(G1005,Dim_Channel!$A$2:$B$5,2,FALSE)</f>
        <v/>
      </c>
      <c r="X1005" s="12">
        <f>VLOOKUP(H1005,Dim_Promotion!$A$2:$G$11,2,FALSE)</f>
        <v/>
      </c>
    </row>
    <row r="1006">
      <c r="A1006" s="4" t="inlineStr">
        <is>
          <t>SL1005</t>
        </is>
      </c>
      <c r="B1006" t="inlineStr">
        <is>
          <t>O010503</t>
        </is>
      </c>
      <c r="C1006" t="n">
        <v>20250406</v>
      </c>
      <c r="D1006" s="4" t="inlineStr">
        <is>
          <t>C091</t>
        </is>
      </c>
      <c r="E1006" s="4" t="inlineStr">
        <is>
          <t>P006</t>
        </is>
      </c>
      <c r="F1006" t="inlineStr">
        <is>
          <t>L</t>
        </is>
      </c>
      <c r="G1006" s="4" t="inlineStr">
        <is>
          <t>CH03</t>
        </is>
      </c>
      <c r="H1006" s="4" t="inlineStr">
        <is>
          <t>PR00</t>
        </is>
      </c>
      <c r="I1006" s="8" t="n">
        <v>47</v>
      </c>
      <c r="J1006" s="9" t="n">
        <v>0</v>
      </c>
      <c r="K1006" s="10">
        <f>I1006*(1-J1006)</f>
        <v/>
      </c>
      <c r="L1006" s="11" t="n">
        <v>1</v>
      </c>
      <c r="M1006" s="10">
        <f>K1006*L1006</f>
        <v/>
      </c>
      <c r="N1006" s="8" t="n">
        <v>20.94</v>
      </c>
      <c r="O1006" s="10">
        <f>N1006*L1006</f>
        <v/>
      </c>
      <c r="P1006" s="10">
        <f>M1006-O1006</f>
        <v/>
      </c>
      <c r="Q1006" s="11" t="inlineStr">
        <is>
          <t>No</t>
        </is>
      </c>
      <c r="R1006" s="11" t="n">
        <v>0</v>
      </c>
      <c r="S1006" s="10">
        <f>M1006-(R1006*K1006)</f>
        <v/>
      </c>
      <c r="T1006" s="12">
        <f>VLOOKUP(E1006,Dim_Product!$A$2:$Q$61,3,FALSE)</f>
        <v/>
      </c>
      <c r="U1006" s="12">
        <f>VLOOKUP(E1006,Dim_Product!$A$2:$Q$61,4,FALSE)</f>
        <v/>
      </c>
      <c r="V1006" s="12">
        <f>VLOOKUP(D1006,Dim_Customer!$A$2:$I$121,6,FALSE)</f>
        <v/>
      </c>
      <c r="W1006" s="12">
        <f>VLOOKUP(G1006,Dim_Channel!$A$2:$B$5,2,FALSE)</f>
        <v/>
      </c>
      <c r="X1006" s="12">
        <f>VLOOKUP(H1006,Dim_Promotion!$A$2:$G$11,2,FALSE)</f>
        <v/>
      </c>
    </row>
    <row r="1007">
      <c r="A1007" s="4" t="inlineStr">
        <is>
          <t>SL1006</t>
        </is>
      </c>
      <c r="B1007" t="inlineStr">
        <is>
          <t>O010503</t>
        </is>
      </c>
      <c r="C1007" t="n">
        <v>20250725</v>
      </c>
      <c r="D1007" s="4" t="inlineStr">
        <is>
          <t>C051</t>
        </is>
      </c>
      <c r="E1007" s="4" t="inlineStr">
        <is>
          <t>P053</t>
        </is>
      </c>
      <c r="F1007" t="inlineStr">
        <is>
          <t>M</t>
        </is>
      </c>
      <c r="G1007" s="4" t="inlineStr">
        <is>
          <t>CH01</t>
        </is>
      </c>
      <c r="H1007" s="4" t="inlineStr">
        <is>
          <t>PR00</t>
        </is>
      </c>
      <c r="I1007" s="8" t="n">
        <v>75</v>
      </c>
      <c r="J1007" s="9" t="n">
        <v>0</v>
      </c>
      <c r="K1007" s="10">
        <f>I1007*(1-J1007)</f>
        <v/>
      </c>
      <c r="L1007" s="11" t="n">
        <v>2</v>
      </c>
      <c r="M1007" s="10">
        <f>K1007*L1007</f>
        <v/>
      </c>
      <c r="N1007" s="8" t="n">
        <v>34.39</v>
      </c>
      <c r="O1007" s="10">
        <f>N1007*L1007</f>
        <v/>
      </c>
      <c r="P1007" s="10">
        <f>M1007-O1007</f>
        <v/>
      </c>
      <c r="Q1007" s="11" t="inlineStr">
        <is>
          <t>No</t>
        </is>
      </c>
      <c r="R1007" s="11" t="n">
        <v>0</v>
      </c>
      <c r="S1007" s="10">
        <f>M1007-(R1007*K1007)</f>
        <v/>
      </c>
      <c r="T1007" s="12">
        <f>VLOOKUP(E1007,Dim_Product!$A$2:$Q$61,3,FALSE)</f>
        <v/>
      </c>
      <c r="U1007" s="12">
        <f>VLOOKUP(E1007,Dim_Product!$A$2:$Q$61,4,FALSE)</f>
        <v/>
      </c>
      <c r="V1007" s="12">
        <f>VLOOKUP(D1007,Dim_Customer!$A$2:$I$121,6,FALSE)</f>
        <v/>
      </c>
      <c r="W1007" s="12">
        <f>VLOOKUP(G1007,Dim_Channel!$A$2:$B$5,2,FALSE)</f>
        <v/>
      </c>
      <c r="X1007" s="12">
        <f>VLOOKUP(H1007,Dim_Promotion!$A$2:$G$11,2,FALSE)</f>
        <v/>
      </c>
    </row>
    <row r="1008">
      <c r="A1008" s="4" t="inlineStr">
        <is>
          <t>SL1007</t>
        </is>
      </c>
      <c r="B1008" t="inlineStr">
        <is>
          <t>O010504</t>
        </is>
      </c>
      <c r="C1008" t="n">
        <v>20250716</v>
      </c>
      <c r="D1008" s="4" t="inlineStr">
        <is>
          <t>C017</t>
        </is>
      </c>
      <c r="E1008" s="4" t="inlineStr">
        <is>
          <t>P047</t>
        </is>
      </c>
      <c r="F1008" t="inlineStr">
        <is>
          <t>M</t>
        </is>
      </c>
      <c r="G1008" s="4" t="inlineStr">
        <is>
          <t>CH02</t>
        </is>
      </c>
      <c r="H1008" s="4" t="inlineStr">
        <is>
          <t>PR00</t>
        </is>
      </c>
      <c r="I1008" s="8" t="n">
        <v>74</v>
      </c>
      <c r="J1008" s="9" t="n">
        <v>0</v>
      </c>
      <c r="K1008" s="10">
        <f>I1008*(1-J1008)</f>
        <v/>
      </c>
      <c r="L1008" s="11" t="n">
        <v>2</v>
      </c>
      <c r="M1008" s="10">
        <f>K1008*L1008</f>
        <v/>
      </c>
      <c r="N1008" s="8" t="n">
        <v>31.09</v>
      </c>
      <c r="O1008" s="10">
        <f>N1008*L1008</f>
        <v/>
      </c>
      <c r="P1008" s="10">
        <f>M1008-O1008</f>
        <v/>
      </c>
      <c r="Q1008" s="11" t="inlineStr">
        <is>
          <t>No</t>
        </is>
      </c>
      <c r="R1008" s="11" t="n">
        <v>0</v>
      </c>
      <c r="S1008" s="10">
        <f>M1008-(R1008*K1008)</f>
        <v/>
      </c>
      <c r="T1008" s="12">
        <f>VLOOKUP(E1008,Dim_Product!$A$2:$Q$61,3,FALSE)</f>
        <v/>
      </c>
      <c r="U1008" s="12">
        <f>VLOOKUP(E1008,Dim_Product!$A$2:$Q$61,4,FALSE)</f>
        <v/>
      </c>
      <c r="V1008" s="12">
        <f>VLOOKUP(D1008,Dim_Customer!$A$2:$I$121,6,FALSE)</f>
        <v/>
      </c>
      <c r="W1008" s="12">
        <f>VLOOKUP(G1008,Dim_Channel!$A$2:$B$5,2,FALSE)</f>
        <v/>
      </c>
      <c r="X1008" s="12">
        <f>VLOOKUP(H1008,Dim_Promotion!$A$2:$G$11,2,FALSE)</f>
        <v/>
      </c>
    </row>
    <row r="1009">
      <c r="A1009" s="4" t="inlineStr">
        <is>
          <t>SL1008</t>
        </is>
      </c>
      <c r="B1009" t="inlineStr">
        <is>
          <t>O010504</t>
        </is>
      </c>
      <c r="C1009" t="n">
        <v>20250116</v>
      </c>
      <c r="D1009" s="4" t="inlineStr">
        <is>
          <t>C026</t>
        </is>
      </c>
      <c r="E1009" s="4" t="inlineStr">
        <is>
          <t>P044</t>
        </is>
      </c>
      <c r="F1009" t="inlineStr">
        <is>
          <t>L</t>
        </is>
      </c>
      <c r="G1009" s="4" t="inlineStr">
        <is>
          <t>CH03</t>
        </is>
      </c>
      <c r="H1009" s="4" t="inlineStr">
        <is>
          <t>PR00</t>
        </is>
      </c>
      <c r="I1009" s="8" t="n">
        <v>80</v>
      </c>
      <c r="J1009" s="9" t="n">
        <v>0</v>
      </c>
      <c r="K1009" s="10">
        <f>I1009*(1-J1009)</f>
        <v/>
      </c>
      <c r="L1009" s="11" t="n">
        <v>2</v>
      </c>
      <c r="M1009" s="10">
        <f>K1009*L1009</f>
        <v/>
      </c>
      <c r="N1009" s="8" t="n">
        <v>35.87</v>
      </c>
      <c r="O1009" s="10">
        <f>N1009*L1009</f>
        <v/>
      </c>
      <c r="P1009" s="10">
        <f>M1009-O1009</f>
        <v/>
      </c>
      <c r="Q1009" s="11" t="inlineStr">
        <is>
          <t>No</t>
        </is>
      </c>
      <c r="R1009" s="11" t="n">
        <v>0</v>
      </c>
      <c r="S1009" s="10">
        <f>M1009-(R1009*K1009)</f>
        <v/>
      </c>
      <c r="T1009" s="12">
        <f>VLOOKUP(E1009,Dim_Product!$A$2:$Q$61,3,FALSE)</f>
        <v/>
      </c>
      <c r="U1009" s="12">
        <f>VLOOKUP(E1009,Dim_Product!$A$2:$Q$61,4,FALSE)</f>
        <v/>
      </c>
      <c r="V1009" s="12">
        <f>VLOOKUP(D1009,Dim_Customer!$A$2:$I$121,6,FALSE)</f>
        <v/>
      </c>
      <c r="W1009" s="12">
        <f>VLOOKUP(G1009,Dim_Channel!$A$2:$B$5,2,FALSE)</f>
        <v/>
      </c>
      <c r="X1009" s="12">
        <f>VLOOKUP(H1009,Dim_Promotion!$A$2:$G$11,2,FALSE)</f>
        <v/>
      </c>
    </row>
    <row r="1010">
      <c r="A1010" s="4" t="inlineStr">
        <is>
          <t>SL1009</t>
        </is>
      </c>
      <c r="B1010" t="inlineStr">
        <is>
          <t>O010505</t>
        </is>
      </c>
      <c r="C1010" t="n">
        <v>20250508</v>
      </c>
      <c r="D1010" s="4" t="inlineStr">
        <is>
          <t>C019</t>
        </is>
      </c>
      <c r="E1010" s="4" t="inlineStr">
        <is>
          <t>P002</t>
        </is>
      </c>
      <c r="F1010" t="inlineStr">
        <is>
          <t>M</t>
        </is>
      </c>
      <c r="G1010" s="4" t="inlineStr">
        <is>
          <t>CH01</t>
        </is>
      </c>
      <c r="H1010" s="4" t="inlineStr">
        <is>
          <t>PR00</t>
        </is>
      </c>
      <c r="I1010" s="8" t="n">
        <v>40</v>
      </c>
      <c r="J1010" s="9" t="n">
        <v>0</v>
      </c>
      <c r="K1010" s="10">
        <f>I1010*(1-J1010)</f>
        <v/>
      </c>
      <c r="L1010" s="11" t="n">
        <v>1</v>
      </c>
      <c r="M1010" s="10">
        <f>K1010*L1010</f>
        <v/>
      </c>
      <c r="N1010" s="8" t="n">
        <v>17.08</v>
      </c>
      <c r="O1010" s="10">
        <f>N1010*L1010</f>
        <v/>
      </c>
      <c r="P1010" s="10">
        <f>M1010-O1010</f>
        <v/>
      </c>
      <c r="Q1010" s="11" t="inlineStr">
        <is>
          <t>Yes</t>
        </is>
      </c>
      <c r="R1010" s="11" t="n">
        <v>1</v>
      </c>
      <c r="S1010" s="10">
        <f>M1010-(R1010*K1010)</f>
        <v/>
      </c>
      <c r="T1010" s="12">
        <f>VLOOKUP(E1010,Dim_Product!$A$2:$Q$61,3,FALSE)</f>
        <v/>
      </c>
      <c r="U1010" s="12">
        <f>VLOOKUP(E1010,Dim_Product!$A$2:$Q$61,4,FALSE)</f>
        <v/>
      </c>
      <c r="V1010" s="12">
        <f>VLOOKUP(D1010,Dim_Customer!$A$2:$I$121,6,FALSE)</f>
        <v/>
      </c>
      <c r="W1010" s="12">
        <f>VLOOKUP(G1010,Dim_Channel!$A$2:$B$5,2,FALSE)</f>
        <v/>
      </c>
      <c r="X1010" s="12">
        <f>VLOOKUP(H1010,Dim_Promotion!$A$2:$G$11,2,FALSE)</f>
        <v/>
      </c>
    </row>
    <row r="1011">
      <c r="A1011" s="4" t="inlineStr">
        <is>
          <t>SL1010</t>
        </is>
      </c>
      <c r="B1011" t="inlineStr">
        <is>
          <t>O010505</t>
        </is>
      </c>
      <c r="C1011" t="n">
        <v>20251230</v>
      </c>
      <c r="D1011" s="4" t="inlineStr">
        <is>
          <t>C013</t>
        </is>
      </c>
      <c r="E1011" s="4" t="inlineStr">
        <is>
          <t>P016</t>
        </is>
      </c>
      <c r="F1011" t="inlineStr">
        <is>
          <t>M</t>
        </is>
      </c>
      <c r="G1011" s="4" t="inlineStr">
        <is>
          <t>CH02</t>
        </is>
      </c>
      <c r="H1011" s="4" t="inlineStr">
        <is>
          <t>PR00</t>
        </is>
      </c>
      <c r="I1011" s="8" t="n">
        <v>59</v>
      </c>
      <c r="J1011" s="9" t="n">
        <v>0</v>
      </c>
      <c r="K1011" s="10">
        <f>I1011*(1-J1011)</f>
        <v/>
      </c>
      <c r="L1011" s="11" t="n">
        <v>1</v>
      </c>
      <c r="M1011" s="10">
        <f>K1011*L1011</f>
        <v/>
      </c>
      <c r="N1011" s="8" t="n">
        <v>26.94</v>
      </c>
      <c r="O1011" s="10">
        <f>N1011*L1011</f>
        <v/>
      </c>
      <c r="P1011" s="10">
        <f>M1011-O1011</f>
        <v/>
      </c>
      <c r="Q1011" s="11" t="inlineStr">
        <is>
          <t>No</t>
        </is>
      </c>
      <c r="R1011" s="11" t="n">
        <v>0</v>
      </c>
      <c r="S1011" s="10">
        <f>M1011-(R1011*K1011)</f>
        <v/>
      </c>
      <c r="T1011" s="12">
        <f>VLOOKUP(E1011,Dim_Product!$A$2:$Q$61,3,FALSE)</f>
        <v/>
      </c>
      <c r="U1011" s="12">
        <f>VLOOKUP(E1011,Dim_Product!$A$2:$Q$61,4,FALSE)</f>
        <v/>
      </c>
      <c r="V1011" s="12">
        <f>VLOOKUP(D1011,Dim_Customer!$A$2:$I$121,6,FALSE)</f>
        <v/>
      </c>
      <c r="W1011" s="12">
        <f>VLOOKUP(G1011,Dim_Channel!$A$2:$B$5,2,FALSE)</f>
        <v/>
      </c>
      <c r="X1011" s="12">
        <f>VLOOKUP(H1011,Dim_Promotion!$A$2:$G$11,2,FALSE)</f>
        <v/>
      </c>
    </row>
    <row r="1012">
      <c r="A1012" s="4" t="inlineStr">
        <is>
          <t>SL1011</t>
        </is>
      </c>
      <c r="B1012" t="inlineStr">
        <is>
          <t>O010506</t>
        </is>
      </c>
      <c r="C1012" t="n">
        <v>20250802</v>
      </c>
      <c r="D1012" s="4" t="inlineStr">
        <is>
          <t>C120</t>
        </is>
      </c>
      <c r="E1012" s="4" t="inlineStr">
        <is>
          <t>P004</t>
        </is>
      </c>
      <c r="F1012" t="inlineStr">
        <is>
          <t>M</t>
        </is>
      </c>
      <c r="G1012" s="4" t="inlineStr">
        <is>
          <t>CH01</t>
        </is>
      </c>
      <c r="H1012" s="4" t="inlineStr">
        <is>
          <t>PR00</t>
        </is>
      </c>
      <c r="I1012" s="8" t="n">
        <v>44</v>
      </c>
      <c r="J1012" s="9" t="n">
        <v>0</v>
      </c>
      <c r="K1012" s="10">
        <f>I1012*(1-J1012)</f>
        <v/>
      </c>
      <c r="L1012" s="11" t="n">
        <v>1</v>
      </c>
      <c r="M1012" s="10">
        <f>K1012*L1012</f>
        <v/>
      </c>
      <c r="N1012" s="8" t="n">
        <v>18.65</v>
      </c>
      <c r="O1012" s="10">
        <f>N1012*L1012</f>
        <v/>
      </c>
      <c r="P1012" s="10">
        <f>M1012-O1012</f>
        <v/>
      </c>
      <c r="Q1012" s="11" t="inlineStr">
        <is>
          <t>No</t>
        </is>
      </c>
      <c r="R1012" s="11" t="n">
        <v>0</v>
      </c>
      <c r="S1012" s="10">
        <f>M1012-(R1012*K1012)</f>
        <v/>
      </c>
      <c r="T1012" s="12">
        <f>VLOOKUP(E1012,Dim_Product!$A$2:$Q$61,3,FALSE)</f>
        <v/>
      </c>
      <c r="U1012" s="12">
        <f>VLOOKUP(E1012,Dim_Product!$A$2:$Q$61,4,FALSE)</f>
        <v/>
      </c>
      <c r="V1012" s="12">
        <f>VLOOKUP(D1012,Dim_Customer!$A$2:$I$121,6,FALSE)</f>
        <v/>
      </c>
      <c r="W1012" s="12">
        <f>VLOOKUP(G1012,Dim_Channel!$A$2:$B$5,2,FALSE)</f>
        <v/>
      </c>
      <c r="X1012" s="12">
        <f>VLOOKUP(H1012,Dim_Promotion!$A$2:$G$11,2,FALSE)</f>
        <v/>
      </c>
    </row>
    <row r="1013">
      <c r="A1013" s="4" t="inlineStr">
        <is>
          <t>SL1012</t>
        </is>
      </c>
      <c r="B1013" t="inlineStr">
        <is>
          <t>O010506</t>
        </is>
      </c>
      <c r="C1013" t="n">
        <v>20250701</v>
      </c>
      <c r="D1013" s="4" t="inlineStr">
        <is>
          <t>C058</t>
        </is>
      </c>
      <c r="E1013" s="4" t="inlineStr">
        <is>
          <t>P016</t>
        </is>
      </c>
      <c r="F1013" t="inlineStr">
        <is>
          <t>L</t>
        </is>
      </c>
      <c r="G1013" s="4" t="inlineStr">
        <is>
          <t>CH01</t>
        </is>
      </c>
      <c r="H1013" s="4" t="inlineStr">
        <is>
          <t>PR00</t>
        </is>
      </c>
      <c r="I1013" s="8" t="n">
        <v>60</v>
      </c>
      <c r="J1013" s="9" t="n">
        <v>0</v>
      </c>
      <c r="K1013" s="10">
        <f>I1013*(1-J1013)</f>
        <v/>
      </c>
      <c r="L1013" s="11" t="n">
        <v>1</v>
      </c>
      <c r="M1013" s="10">
        <f>K1013*L1013</f>
        <v/>
      </c>
      <c r="N1013" s="8" t="n">
        <v>27.72</v>
      </c>
      <c r="O1013" s="10">
        <f>N1013*L1013</f>
        <v/>
      </c>
      <c r="P1013" s="10">
        <f>M1013-O1013</f>
        <v/>
      </c>
      <c r="Q1013" s="11" t="inlineStr">
        <is>
          <t>No</t>
        </is>
      </c>
      <c r="R1013" s="11" t="n">
        <v>0</v>
      </c>
      <c r="S1013" s="10">
        <f>M1013-(R1013*K1013)</f>
        <v/>
      </c>
      <c r="T1013" s="12">
        <f>VLOOKUP(E1013,Dim_Product!$A$2:$Q$61,3,FALSE)</f>
        <v/>
      </c>
      <c r="U1013" s="12">
        <f>VLOOKUP(E1013,Dim_Product!$A$2:$Q$61,4,FALSE)</f>
        <v/>
      </c>
      <c r="V1013" s="12">
        <f>VLOOKUP(D1013,Dim_Customer!$A$2:$I$121,6,FALSE)</f>
        <v/>
      </c>
      <c r="W1013" s="12">
        <f>VLOOKUP(G1013,Dim_Channel!$A$2:$B$5,2,FALSE)</f>
        <v/>
      </c>
      <c r="X1013" s="12">
        <f>VLOOKUP(H1013,Dim_Promotion!$A$2:$G$11,2,FALSE)</f>
        <v/>
      </c>
    </row>
    <row r="1014">
      <c r="A1014" s="4" t="inlineStr">
        <is>
          <t>SL1013</t>
        </is>
      </c>
      <c r="B1014" t="inlineStr">
        <is>
          <t>O010507</t>
        </is>
      </c>
      <c r="C1014" t="n">
        <v>20250803</v>
      </c>
      <c r="D1014" s="4" t="inlineStr">
        <is>
          <t>C020</t>
        </is>
      </c>
      <c r="E1014" s="4" t="inlineStr">
        <is>
          <t>P056</t>
        </is>
      </c>
      <c r="F1014" t="inlineStr">
        <is>
          <t>M</t>
        </is>
      </c>
      <c r="G1014" s="4" t="inlineStr">
        <is>
          <t>CH02</t>
        </is>
      </c>
      <c r="H1014" s="4" t="inlineStr">
        <is>
          <t>PR00</t>
        </is>
      </c>
      <c r="I1014" s="8" t="n">
        <v>68</v>
      </c>
      <c r="J1014" s="9" t="n">
        <v>0</v>
      </c>
      <c r="K1014" s="10">
        <f>I1014*(1-J1014)</f>
        <v/>
      </c>
      <c r="L1014" s="11" t="n">
        <v>1</v>
      </c>
      <c r="M1014" s="10">
        <f>K1014*L1014</f>
        <v/>
      </c>
      <c r="N1014" s="8" t="n">
        <v>33.85</v>
      </c>
      <c r="O1014" s="10">
        <f>N1014*L1014</f>
        <v/>
      </c>
      <c r="P1014" s="10">
        <f>M1014-O1014</f>
        <v/>
      </c>
      <c r="Q1014" s="11" t="inlineStr">
        <is>
          <t>No</t>
        </is>
      </c>
      <c r="R1014" s="11" t="n">
        <v>0</v>
      </c>
      <c r="S1014" s="10">
        <f>M1014-(R1014*K1014)</f>
        <v/>
      </c>
      <c r="T1014" s="12">
        <f>VLOOKUP(E1014,Dim_Product!$A$2:$Q$61,3,FALSE)</f>
        <v/>
      </c>
      <c r="U1014" s="12">
        <f>VLOOKUP(E1014,Dim_Product!$A$2:$Q$61,4,FALSE)</f>
        <v/>
      </c>
      <c r="V1014" s="12">
        <f>VLOOKUP(D1014,Dim_Customer!$A$2:$I$121,6,FALSE)</f>
        <v/>
      </c>
      <c r="W1014" s="12">
        <f>VLOOKUP(G1014,Dim_Channel!$A$2:$B$5,2,FALSE)</f>
        <v/>
      </c>
      <c r="X1014" s="12">
        <f>VLOOKUP(H1014,Dim_Promotion!$A$2:$G$11,2,FALSE)</f>
        <v/>
      </c>
    </row>
    <row r="1015">
      <c r="A1015" s="4" t="inlineStr">
        <is>
          <t>SL1014</t>
        </is>
      </c>
      <c r="B1015" t="inlineStr">
        <is>
          <t>O010507</t>
        </is>
      </c>
      <c r="C1015" t="n">
        <v>20250809</v>
      </c>
      <c r="D1015" s="4" t="inlineStr">
        <is>
          <t>C051</t>
        </is>
      </c>
      <c r="E1015" s="4" t="inlineStr">
        <is>
          <t>P012</t>
        </is>
      </c>
      <c r="F1015" t="inlineStr">
        <is>
          <t>S</t>
        </is>
      </c>
      <c r="G1015" s="4" t="inlineStr">
        <is>
          <t>CH01</t>
        </is>
      </c>
      <c r="H1015" s="4" t="inlineStr">
        <is>
          <t>PR00</t>
        </is>
      </c>
      <c r="I1015" s="8" t="n">
        <v>44</v>
      </c>
      <c r="J1015" s="9" t="n">
        <v>0</v>
      </c>
      <c r="K1015" s="10">
        <f>I1015*(1-J1015)</f>
        <v/>
      </c>
      <c r="L1015" s="11" t="n">
        <v>1</v>
      </c>
      <c r="M1015" s="10">
        <f>K1015*L1015</f>
        <v/>
      </c>
      <c r="N1015" s="8" t="n">
        <v>22.31</v>
      </c>
      <c r="O1015" s="10">
        <f>N1015*L1015</f>
        <v/>
      </c>
      <c r="P1015" s="10">
        <f>M1015-O1015</f>
        <v/>
      </c>
      <c r="Q1015" s="11" t="inlineStr">
        <is>
          <t>No</t>
        </is>
      </c>
      <c r="R1015" s="11" t="n">
        <v>0</v>
      </c>
      <c r="S1015" s="10">
        <f>M1015-(R1015*K1015)</f>
        <v/>
      </c>
      <c r="T1015" s="12">
        <f>VLOOKUP(E1015,Dim_Product!$A$2:$Q$61,3,FALSE)</f>
        <v/>
      </c>
      <c r="U1015" s="12">
        <f>VLOOKUP(E1015,Dim_Product!$A$2:$Q$61,4,FALSE)</f>
        <v/>
      </c>
      <c r="V1015" s="12">
        <f>VLOOKUP(D1015,Dim_Customer!$A$2:$I$121,6,FALSE)</f>
        <v/>
      </c>
      <c r="W1015" s="12">
        <f>VLOOKUP(G1015,Dim_Channel!$A$2:$B$5,2,FALSE)</f>
        <v/>
      </c>
      <c r="X1015" s="12">
        <f>VLOOKUP(H1015,Dim_Promotion!$A$2:$G$11,2,FALSE)</f>
        <v/>
      </c>
    </row>
    <row r="1016">
      <c r="A1016" s="4" t="inlineStr">
        <is>
          <t>SL1015</t>
        </is>
      </c>
      <c r="B1016" t="inlineStr">
        <is>
          <t>O010508</t>
        </is>
      </c>
      <c r="C1016" t="n">
        <v>20250403</v>
      </c>
      <c r="D1016" s="4" t="inlineStr">
        <is>
          <t>C021</t>
        </is>
      </c>
      <c r="E1016" s="4" t="inlineStr">
        <is>
          <t>P051</t>
        </is>
      </c>
      <c r="F1016" t="inlineStr">
        <is>
          <t>M</t>
        </is>
      </c>
      <c r="G1016" s="4" t="inlineStr">
        <is>
          <t>CH01</t>
        </is>
      </c>
      <c r="H1016" s="4" t="inlineStr">
        <is>
          <t>PR00</t>
        </is>
      </c>
      <c r="I1016" s="8" t="n">
        <v>71</v>
      </c>
      <c r="J1016" s="9" t="n">
        <v>0</v>
      </c>
      <c r="K1016" s="10">
        <f>I1016*(1-J1016)</f>
        <v/>
      </c>
      <c r="L1016" s="11" t="n">
        <v>1</v>
      </c>
      <c r="M1016" s="10">
        <f>K1016*L1016</f>
        <v/>
      </c>
      <c r="N1016" s="8" t="n">
        <v>29.58</v>
      </c>
      <c r="O1016" s="10">
        <f>N1016*L1016</f>
        <v/>
      </c>
      <c r="P1016" s="10">
        <f>M1016-O1016</f>
        <v/>
      </c>
      <c r="Q1016" s="11" t="inlineStr">
        <is>
          <t>No</t>
        </is>
      </c>
      <c r="R1016" s="11" t="n">
        <v>0</v>
      </c>
      <c r="S1016" s="10">
        <f>M1016-(R1016*K1016)</f>
        <v/>
      </c>
      <c r="T1016" s="12">
        <f>VLOOKUP(E1016,Dim_Product!$A$2:$Q$61,3,FALSE)</f>
        <v/>
      </c>
      <c r="U1016" s="12">
        <f>VLOOKUP(E1016,Dim_Product!$A$2:$Q$61,4,FALSE)</f>
        <v/>
      </c>
      <c r="V1016" s="12">
        <f>VLOOKUP(D1016,Dim_Customer!$A$2:$I$121,6,FALSE)</f>
        <v/>
      </c>
      <c r="W1016" s="12">
        <f>VLOOKUP(G1016,Dim_Channel!$A$2:$B$5,2,FALSE)</f>
        <v/>
      </c>
      <c r="X1016" s="12">
        <f>VLOOKUP(H1016,Dim_Promotion!$A$2:$G$11,2,FALSE)</f>
        <v/>
      </c>
    </row>
    <row r="1017">
      <c r="A1017" s="4" t="inlineStr">
        <is>
          <t>SL1016</t>
        </is>
      </c>
      <c r="B1017" t="inlineStr">
        <is>
          <t>O010508</t>
        </is>
      </c>
      <c r="C1017" t="n">
        <v>20250524</v>
      </c>
      <c r="D1017" s="4" t="inlineStr">
        <is>
          <t>C048</t>
        </is>
      </c>
      <c r="E1017" s="4" t="inlineStr">
        <is>
          <t>P014</t>
        </is>
      </c>
      <c r="F1017" t="inlineStr">
        <is>
          <t>XL</t>
        </is>
      </c>
      <c r="G1017" s="4" t="inlineStr">
        <is>
          <t>CH04</t>
        </is>
      </c>
      <c r="H1017" s="4" t="inlineStr">
        <is>
          <t>PR00</t>
        </is>
      </c>
      <c r="I1017" s="8" t="n">
        <v>62</v>
      </c>
      <c r="J1017" s="9" t="n">
        <v>0</v>
      </c>
      <c r="K1017" s="10">
        <f>I1017*(1-J1017)</f>
        <v/>
      </c>
      <c r="L1017" s="11" t="n">
        <v>1</v>
      </c>
      <c r="M1017" s="10">
        <f>K1017*L1017</f>
        <v/>
      </c>
      <c r="N1017" s="8" t="n">
        <v>27.56</v>
      </c>
      <c r="O1017" s="10">
        <f>N1017*L1017</f>
        <v/>
      </c>
      <c r="P1017" s="10">
        <f>M1017-O1017</f>
        <v/>
      </c>
      <c r="Q1017" s="11" t="inlineStr">
        <is>
          <t>No</t>
        </is>
      </c>
      <c r="R1017" s="11" t="n">
        <v>0</v>
      </c>
      <c r="S1017" s="10">
        <f>M1017-(R1017*K1017)</f>
        <v/>
      </c>
      <c r="T1017" s="12">
        <f>VLOOKUP(E1017,Dim_Product!$A$2:$Q$61,3,FALSE)</f>
        <v/>
      </c>
      <c r="U1017" s="12">
        <f>VLOOKUP(E1017,Dim_Product!$A$2:$Q$61,4,FALSE)</f>
        <v/>
      </c>
      <c r="V1017" s="12">
        <f>VLOOKUP(D1017,Dim_Customer!$A$2:$I$121,6,FALSE)</f>
        <v/>
      </c>
      <c r="W1017" s="12">
        <f>VLOOKUP(G1017,Dim_Channel!$A$2:$B$5,2,FALSE)</f>
        <v/>
      </c>
      <c r="X1017" s="12">
        <f>VLOOKUP(H1017,Dim_Promotion!$A$2:$G$11,2,FALSE)</f>
        <v/>
      </c>
    </row>
    <row r="1018">
      <c r="A1018" s="4" t="inlineStr">
        <is>
          <t>SL1017</t>
        </is>
      </c>
      <c r="B1018" t="inlineStr">
        <is>
          <t>O010509</t>
        </is>
      </c>
      <c r="C1018" t="n">
        <v>20250709</v>
      </c>
      <c r="D1018" s="4" t="inlineStr">
        <is>
          <t>C104</t>
        </is>
      </c>
      <c r="E1018" s="4" t="inlineStr">
        <is>
          <t>P012</t>
        </is>
      </c>
      <c r="F1018" t="inlineStr">
        <is>
          <t>M</t>
        </is>
      </c>
      <c r="G1018" s="4" t="inlineStr">
        <is>
          <t>CH02</t>
        </is>
      </c>
      <c r="H1018" s="4" t="inlineStr">
        <is>
          <t>PR00</t>
        </is>
      </c>
      <c r="I1018" s="8" t="n">
        <v>45</v>
      </c>
      <c r="J1018" s="9" t="n">
        <v>0</v>
      </c>
      <c r="K1018" s="10">
        <f>I1018*(1-J1018)</f>
        <v/>
      </c>
      <c r="L1018" s="11" t="n">
        <v>3</v>
      </c>
      <c r="M1018" s="10">
        <f>K1018*L1018</f>
        <v/>
      </c>
      <c r="N1018" s="8" t="n">
        <v>22.87</v>
      </c>
      <c r="O1018" s="10">
        <f>N1018*L1018</f>
        <v/>
      </c>
      <c r="P1018" s="10">
        <f>M1018-O1018</f>
        <v/>
      </c>
      <c r="Q1018" s="11" t="inlineStr">
        <is>
          <t>No</t>
        </is>
      </c>
      <c r="R1018" s="11" t="n">
        <v>0</v>
      </c>
      <c r="S1018" s="10">
        <f>M1018-(R1018*K1018)</f>
        <v/>
      </c>
      <c r="T1018" s="12">
        <f>VLOOKUP(E1018,Dim_Product!$A$2:$Q$61,3,FALSE)</f>
        <v/>
      </c>
      <c r="U1018" s="12">
        <f>VLOOKUP(E1018,Dim_Product!$A$2:$Q$61,4,FALSE)</f>
        <v/>
      </c>
      <c r="V1018" s="12">
        <f>VLOOKUP(D1018,Dim_Customer!$A$2:$I$121,6,FALSE)</f>
        <v/>
      </c>
      <c r="W1018" s="12">
        <f>VLOOKUP(G1018,Dim_Channel!$A$2:$B$5,2,FALSE)</f>
        <v/>
      </c>
      <c r="X1018" s="12">
        <f>VLOOKUP(H1018,Dim_Promotion!$A$2:$G$11,2,FALSE)</f>
        <v/>
      </c>
    </row>
    <row r="1019">
      <c r="A1019" s="4" t="inlineStr">
        <is>
          <t>SL1018</t>
        </is>
      </c>
      <c r="B1019" t="inlineStr">
        <is>
          <t>O010509</t>
        </is>
      </c>
      <c r="C1019" t="n">
        <v>20250826</v>
      </c>
      <c r="D1019" s="4" t="inlineStr">
        <is>
          <t>C111</t>
        </is>
      </c>
      <c r="E1019" s="4" t="inlineStr">
        <is>
          <t>P026</t>
        </is>
      </c>
      <c r="F1019" t="inlineStr">
        <is>
          <t>S</t>
        </is>
      </c>
      <c r="G1019" s="4" t="inlineStr">
        <is>
          <t>CH02</t>
        </is>
      </c>
      <c r="H1019" s="4" t="inlineStr">
        <is>
          <t>PR00</t>
        </is>
      </c>
      <c r="I1019" s="8" t="n">
        <v>94</v>
      </c>
      <c r="J1019" s="9" t="n">
        <v>0</v>
      </c>
      <c r="K1019" s="10">
        <f>I1019*(1-J1019)</f>
        <v/>
      </c>
      <c r="L1019" s="11" t="n">
        <v>1</v>
      </c>
      <c r="M1019" s="10">
        <f>K1019*L1019</f>
        <v/>
      </c>
      <c r="N1019" s="8" t="n">
        <v>44.99</v>
      </c>
      <c r="O1019" s="10">
        <f>N1019*L1019</f>
        <v/>
      </c>
      <c r="P1019" s="10">
        <f>M1019-O1019</f>
        <v/>
      </c>
      <c r="Q1019" s="11" t="inlineStr">
        <is>
          <t>No</t>
        </is>
      </c>
      <c r="R1019" s="11" t="n">
        <v>0</v>
      </c>
      <c r="S1019" s="10">
        <f>M1019-(R1019*K1019)</f>
        <v/>
      </c>
      <c r="T1019" s="12">
        <f>VLOOKUP(E1019,Dim_Product!$A$2:$Q$61,3,FALSE)</f>
        <v/>
      </c>
      <c r="U1019" s="12">
        <f>VLOOKUP(E1019,Dim_Product!$A$2:$Q$61,4,FALSE)</f>
        <v/>
      </c>
      <c r="V1019" s="12">
        <f>VLOOKUP(D1019,Dim_Customer!$A$2:$I$121,6,FALSE)</f>
        <v/>
      </c>
      <c r="W1019" s="12">
        <f>VLOOKUP(G1019,Dim_Channel!$A$2:$B$5,2,FALSE)</f>
        <v/>
      </c>
      <c r="X1019" s="12">
        <f>VLOOKUP(H1019,Dim_Promotion!$A$2:$G$11,2,FALSE)</f>
        <v/>
      </c>
    </row>
    <row r="1020">
      <c r="A1020" s="4" t="inlineStr">
        <is>
          <t>SL1019</t>
        </is>
      </c>
      <c r="B1020" t="inlineStr">
        <is>
          <t>O010510</t>
        </is>
      </c>
      <c r="C1020" t="n">
        <v>20250316</v>
      </c>
      <c r="D1020" s="4" t="inlineStr">
        <is>
          <t>C119</t>
        </is>
      </c>
      <c r="E1020" s="4" t="inlineStr">
        <is>
          <t>P055</t>
        </is>
      </c>
      <c r="F1020" t="inlineStr">
        <is>
          <t>S</t>
        </is>
      </c>
      <c r="G1020" s="4" t="inlineStr">
        <is>
          <t>CH03</t>
        </is>
      </c>
      <c r="H1020" s="4" t="inlineStr">
        <is>
          <t>PR00</t>
        </is>
      </c>
      <c r="I1020" s="8" t="n">
        <v>68</v>
      </c>
      <c r="J1020" s="9" t="n">
        <v>0</v>
      </c>
      <c r="K1020" s="10">
        <f>I1020*(1-J1020)</f>
        <v/>
      </c>
      <c r="L1020" s="11" t="n">
        <v>1</v>
      </c>
      <c r="M1020" s="10">
        <f>K1020*L1020</f>
        <v/>
      </c>
      <c r="N1020" s="8" t="n">
        <v>34.08</v>
      </c>
      <c r="O1020" s="10">
        <f>N1020*L1020</f>
        <v/>
      </c>
      <c r="P1020" s="10">
        <f>M1020-O1020</f>
        <v/>
      </c>
      <c r="Q1020" s="11" t="inlineStr">
        <is>
          <t>No</t>
        </is>
      </c>
      <c r="R1020" s="11" t="n">
        <v>0</v>
      </c>
      <c r="S1020" s="10">
        <f>M1020-(R1020*K1020)</f>
        <v/>
      </c>
      <c r="T1020" s="12">
        <f>VLOOKUP(E1020,Dim_Product!$A$2:$Q$61,3,FALSE)</f>
        <v/>
      </c>
      <c r="U1020" s="12">
        <f>VLOOKUP(E1020,Dim_Product!$A$2:$Q$61,4,FALSE)</f>
        <v/>
      </c>
      <c r="V1020" s="12">
        <f>VLOOKUP(D1020,Dim_Customer!$A$2:$I$121,6,FALSE)</f>
        <v/>
      </c>
      <c r="W1020" s="12">
        <f>VLOOKUP(G1020,Dim_Channel!$A$2:$B$5,2,FALSE)</f>
        <v/>
      </c>
      <c r="X1020" s="12">
        <f>VLOOKUP(H1020,Dim_Promotion!$A$2:$G$11,2,FALSE)</f>
        <v/>
      </c>
    </row>
    <row r="1021">
      <c r="A1021" s="4" t="inlineStr">
        <is>
          <t>SL1020</t>
        </is>
      </c>
      <c r="B1021" t="inlineStr">
        <is>
          <t>O010510</t>
        </is>
      </c>
      <c r="C1021" t="n">
        <v>20250716</v>
      </c>
      <c r="D1021" s="4" t="inlineStr">
        <is>
          <t>C119</t>
        </is>
      </c>
      <c r="E1021" s="4" t="inlineStr">
        <is>
          <t>P016</t>
        </is>
      </c>
      <c r="F1021" t="inlineStr">
        <is>
          <t>M</t>
        </is>
      </c>
      <c r="G1021" s="4" t="inlineStr">
        <is>
          <t>CH02</t>
        </is>
      </c>
      <c r="H1021" s="4" t="inlineStr">
        <is>
          <t>PR00</t>
        </is>
      </c>
      <c r="I1021" s="8" t="n">
        <v>59</v>
      </c>
      <c r="J1021" s="9" t="n">
        <v>0</v>
      </c>
      <c r="K1021" s="10">
        <f>I1021*(1-J1021)</f>
        <v/>
      </c>
      <c r="L1021" s="11" t="n">
        <v>2</v>
      </c>
      <c r="M1021" s="10">
        <f>K1021*L1021</f>
        <v/>
      </c>
      <c r="N1021" s="8" t="n">
        <v>26.62</v>
      </c>
      <c r="O1021" s="10">
        <f>N1021*L1021</f>
        <v/>
      </c>
      <c r="P1021" s="10">
        <f>M1021-O1021</f>
        <v/>
      </c>
      <c r="Q1021" s="11" t="inlineStr">
        <is>
          <t>No</t>
        </is>
      </c>
      <c r="R1021" s="11" t="n">
        <v>0</v>
      </c>
      <c r="S1021" s="10">
        <f>M1021-(R1021*K1021)</f>
        <v/>
      </c>
      <c r="T1021" s="12">
        <f>VLOOKUP(E1021,Dim_Product!$A$2:$Q$61,3,FALSE)</f>
        <v/>
      </c>
      <c r="U1021" s="12">
        <f>VLOOKUP(E1021,Dim_Product!$A$2:$Q$61,4,FALSE)</f>
        <v/>
      </c>
      <c r="V1021" s="12">
        <f>VLOOKUP(D1021,Dim_Customer!$A$2:$I$121,6,FALSE)</f>
        <v/>
      </c>
      <c r="W1021" s="12">
        <f>VLOOKUP(G1021,Dim_Channel!$A$2:$B$5,2,FALSE)</f>
        <v/>
      </c>
      <c r="X1021" s="12">
        <f>VLOOKUP(H1021,Dim_Promotion!$A$2:$G$11,2,FALSE)</f>
        <v/>
      </c>
    </row>
    <row r="1022">
      <c r="A1022" s="4" t="inlineStr">
        <is>
          <t>SL1021</t>
        </is>
      </c>
      <c r="B1022" t="inlineStr">
        <is>
          <t>O010511</t>
        </is>
      </c>
      <c r="C1022" t="n">
        <v>20251005</v>
      </c>
      <c r="D1022" s="4" t="inlineStr">
        <is>
          <t>C070</t>
        </is>
      </c>
      <c r="E1022" s="4" t="inlineStr">
        <is>
          <t>P056</t>
        </is>
      </c>
      <c r="F1022" t="inlineStr">
        <is>
          <t>M</t>
        </is>
      </c>
      <c r="G1022" s="4" t="inlineStr">
        <is>
          <t>CH01</t>
        </is>
      </c>
      <c r="H1022" s="4" t="inlineStr">
        <is>
          <t>PR00</t>
        </is>
      </c>
      <c r="I1022" s="8" t="n">
        <v>66</v>
      </c>
      <c r="J1022" s="9" t="n">
        <v>0</v>
      </c>
      <c r="K1022" s="10">
        <f>I1022*(1-J1022)</f>
        <v/>
      </c>
      <c r="L1022" s="11" t="n">
        <v>1</v>
      </c>
      <c r="M1022" s="10">
        <f>K1022*L1022</f>
        <v/>
      </c>
      <c r="N1022" s="8" t="n">
        <v>34.29</v>
      </c>
      <c r="O1022" s="10">
        <f>N1022*L1022</f>
        <v/>
      </c>
      <c r="P1022" s="10">
        <f>M1022-O1022</f>
        <v/>
      </c>
      <c r="Q1022" s="11" t="inlineStr">
        <is>
          <t>No</t>
        </is>
      </c>
      <c r="R1022" s="11" t="n">
        <v>0</v>
      </c>
      <c r="S1022" s="10">
        <f>M1022-(R1022*K1022)</f>
        <v/>
      </c>
      <c r="T1022" s="12">
        <f>VLOOKUP(E1022,Dim_Product!$A$2:$Q$61,3,FALSE)</f>
        <v/>
      </c>
      <c r="U1022" s="12">
        <f>VLOOKUP(E1022,Dim_Product!$A$2:$Q$61,4,FALSE)</f>
        <v/>
      </c>
      <c r="V1022" s="12">
        <f>VLOOKUP(D1022,Dim_Customer!$A$2:$I$121,6,FALSE)</f>
        <v/>
      </c>
      <c r="W1022" s="12">
        <f>VLOOKUP(G1022,Dim_Channel!$A$2:$B$5,2,FALSE)</f>
        <v/>
      </c>
      <c r="X1022" s="12">
        <f>VLOOKUP(H1022,Dim_Promotion!$A$2:$G$11,2,FALSE)</f>
        <v/>
      </c>
    </row>
    <row r="1023">
      <c r="A1023" s="4" t="inlineStr">
        <is>
          <t>SL1022</t>
        </is>
      </c>
      <c r="B1023" t="inlineStr">
        <is>
          <t>O010511</t>
        </is>
      </c>
      <c r="C1023" t="n">
        <v>20250927</v>
      </c>
      <c r="D1023" s="4" t="inlineStr">
        <is>
          <t>C090</t>
        </is>
      </c>
      <c r="E1023" s="4" t="inlineStr">
        <is>
          <t>P020</t>
        </is>
      </c>
      <c r="F1023" t="inlineStr">
        <is>
          <t>XS</t>
        </is>
      </c>
      <c r="G1023" s="4" t="inlineStr">
        <is>
          <t>CH04</t>
        </is>
      </c>
      <c r="H1023" s="4" t="inlineStr">
        <is>
          <t>PR00</t>
        </is>
      </c>
      <c r="I1023" s="8" t="n">
        <v>62</v>
      </c>
      <c r="J1023" s="9" t="n">
        <v>0.05</v>
      </c>
      <c r="K1023" s="10">
        <f>I1023*(1-J1023)</f>
        <v/>
      </c>
      <c r="L1023" s="11" t="n">
        <v>1</v>
      </c>
      <c r="M1023" s="10">
        <f>K1023*L1023</f>
        <v/>
      </c>
      <c r="N1023" s="8" t="n">
        <v>30.88</v>
      </c>
      <c r="O1023" s="10">
        <f>N1023*L1023</f>
        <v/>
      </c>
      <c r="P1023" s="10">
        <f>M1023-O1023</f>
        <v/>
      </c>
      <c r="Q1023" s="11" t="inlineStr">
        <is>
          <t>No</t>
        </is>
      </c>
      <c r="R1023" s="11" t="n">
        <v>0</v>
      </c>
      <c r="S1023" s="10">
        <f>M1023-(R1023*K1023)</f>
        <v/>
      </c>
      <c r="T1023" s="12">
        <f>VLOOKUP(E1023,Dim_Product!$A$2:$Q$61,3,FALSE)</f>
        <v/>
      </c>
      <c r="U1023" s="12">
        <f>VLOOKUP(E1023,Dim_Product!$A$2:$Q$61,4,FALSE)</f>
        <v/>
      </c>
      <c r="V1023" s="12">
        <f>VLOOKUP(D1023,Dim_Customer!$A$2:$I$121,6,FALSE)</f>
        <v/>
      </c>
      <c r="W1023" s="12">
        <f>VLOOKUP(G1023,Dim_Channel!$A$2:$B$5,2,FALSE)</f>
        <v/>
      </c>
      <c r="X1023" s="12">
        <f>VLOOKUP(H1023,Dim_Promotion!$A$2:$G$11,2,FALSE)</f>
        <v/>
      </c>
    </row>
    <row r="1024">
      <c r="A1024" s="4" t="inlineStr">
        <is>
          <t>SL1023</t>
        </is>
      </c>
      <c r="B1024" t="inlineStr">
        <is>
          <t>O010512</t>
        </is>
      </c>
      <c r="C1024" t="n">
        <v>20250313</v>
      </c>
      <c r="D1024" s="4" t="inlineStr">
        <is>
          <t>C106</t>
        </is>
      </c>
      <c r="E1024" s="4" t="inlineStr">
        <is>
          <t>P060</t>
        </is>
      </c>
      <c r="F1024" t="inlineStr">
        <is>
          <t>L</t>
        </is>
      </c>
      <c r="G1024" s="4" t="inlineStr">
        <is>
          <t>CH04</t>
        </is>
      </c>
      <c r="H1024" s="4" t="inlineStr">
        <is>
          <t>PR00</t>
        </is>
      </c>
      <c r="I1024" s="8" t="n">
        <v>72</v>
      </c>
      <c r="J1024" s="9" t="n">
        <v>0</v>
      </c>
      <c r="K1024" s="10">
        <f>I1024*(1-J1024)</f>
        <v/>
      </c>
      <c r="L1024" s="11" t="n">
        <v>1</v>
      </c>
      <c r="M1024" s="10">
        <f>K1024*L1024</f>
        <v/>
      </c>
      <c r="N1024" s="8" t="n">
        <v>36.28</v>
      </c>
      <c r="O1024" s="10">
        <f>N1024*L1024</f>
        <v/>
      </c>
      <c r="P1024" s="10">
        <f>M1024-O1024</f>
        <v/>
      </c>
      <c r="Q1024" s="11" t="inlineStr">
        <is>
          <t>No</t>
        </is>
      </c>
      <c r="R1024" s="11" t="n">
        <v>0</v>
      </c>
      <c r="S1024" s="10">
        <f>M1024-(R1024*K1024)</f>
        <v/>
      </c>
      <c r="T1024" s="12">
        <f>VLOOKUP(E1024,Dim_Product!$A$2:$Q$61,3,FALSE)</f>
        <v/>
      </c>
      <c r="U1024" s="12">
        <f>VLOOKUP(E1024,Dim_Product!$A$2:$Q$61,4,FALSE)</f>
        <v/>
      </c>
      <c r="V1024" s="12">
        <f>VLOOKUP(D1024,Dim_Customer!$A$2:$I$121,6,FALSE)</f>
        <v/>
      </c>
      <c r="W1024" s="12">
        <f>VLOOKUP(G1024,Dim_Channel!$A$2:$B$5,2,FALSE)</f>
        <v/>
      </c>
      <c r="X1024" s="12">
        <f>VLOOKUP(H1024,Dim_Promotion!$A$2:$G$11,2,FALSE)</f>
        <v/>
      </c>
    </row>
    <row r="1025">
      <c r="A1025" s="4" t="inlineStr">
        <is>
          <t>SL1024</t>
        </is>
      </c>
      <c r="B1025" t="inlineStr">
        <is>
          <t>O010512</t>
        </is>
      </c>
      <c r="C1025" t="n">
        <v>20250325</v>
      </c>
      <c r="D1025" s="4" t="inlineStr">
        <is>
          <t>C090</t>
        </is>
      </c>
      <c r="E1025" s="4" t="inlineStr">
        <is>
          <t>P030</t>
        </is>
      </c>
      <c r="F1025" t="inlineStr">
        <is>
          <t>S</t>
        </is>
      </c>
      <c r="G1025" s="4" t="inlineStr">
        <is>
          <t>CH02</t>
        </is>
      </c>
      <c r="H1025" s="4" t="inlineStr">
        <is>
          <t>PR00</t>
        </is>
      </c>
      <c r="I1025" s="8" t="n">
        <v>108</v>
      </c>
      <c r="J1025" s="9" t="n">
        <v>0</v>
      </c>
      <c r="K1025" s="10">
        <f>I1025*(1-J1025)</f>
        <v/>
      </c>
      <c r="L1025" s="11" t="n">
        <v>1</v>
      </c>
      <c r="M1025" s="10">
        <f>K1025*L1025</f>
        <v/>
      </c>
      <c r="N1025" s="8" t="n">
        <v>57.21</v>
      </c>
      <c r="O1025" s="10">
        <f>N1025*L1025</f>
        <v/>
      </c>
      <c r="P1025" s="10">
        <f>M1025-O1025</f>
        <v/>
      </c>
      <c r="Q1025" s="11" t="inlineStr">
        <is>
          <t>No</t>
        </is>
      </c>
      <c r="R1025" s="11" t="n">
        <v>0</v>
      </c>
      <c r="S1025" s="10">
        <f>M1025-(R1025*K1025)</f>
        <v/>
      </c>
      <c r="T1025" s="12">
        <f>VLOOKUP(E1025,Dim_Product!$A$2:$Q$61,3,FALSE)</f>
        <v/>
      </c>
      <c r="U1025" s="12">
        <f>VLOOKUP(E1025,Dim_Product!$A$2:$Q$61,4,FALSE)</f>
        <v/>
      </c>
      <c r="V1025" s="12">
        <f>VLOOKUP(D1025,Dim_Customer!$A$2:$I$121,6,FALSE)</f>
        <v/>
      </c>
      <c r="W1025" s="12">
        <f>VLOOKUP(G1025,Dim_Channel!$A$2:$B$5,2,FALSE)</f>
        <v/>
      </c>
      <c r="X1025" s="12">
        <f>VLOOKUP(H1025,Dim_Promotion!$A$2:$G$11,2,FALSE)</f>
        <v/>
      </c>
    </row>
    <row r="1026">
      <c r="A1026" s="4" t="inlineStr">
        <is>
          <t>SL1025</t>
        </is>
      </c>
      <c r="B1026" t="inlineStr">
        <is>
          <t>O010513</t>
        </is>
      </c>
      <c r="C1026" t="n">
        <v>20250617</v>
      </c>
      <c r="D1026" s="4" t="inlineStr">
        <is>
          <t>C040</t>
        </is>
      </c>
      <c r="E1026" s="4" t="inlineStr">
        <is>
          <t>P016</t>
        </is>
      </c>
      <c r="F1026" t="inlineStr">
        <is>
          <t>M</t>
        </is>
      </c>
      <c r="G1026" s="4" t="inlineStr">
        <is>
          <t>CH04</t>
        </is>
      </c>
      <c r="H1026" s="4" t="inlineStr">
        <is>
          <t>PR00</t>
        </is>
      </c>
      <c r="I1026" s="8" t="n">
        <v>58</v>
      </c>
      <c r="J1026" s="9" t="n">
        <v>0</v>
      </c>
      <c r="K1026" s="10">
        <f>I1026*(1-J1026)</f>
        <v/>
      </c>
      <c r="L1026" s="11" t="n">
        <v>1</v>
      </c>
      <c r="M1026" s="10">
        <f>K1026*L1026</f>
        <v/>
      </c>
      <c r="N1026" s="8" t="n">
        <v>26.8</v>
      </c>
      <c r="O1026" s="10">
        <f>N1026*L1026</f>
        <v/>
      </c>
      <c r="P1026" s="10">
        <f>M1026-O1026</f>
        <v/>
      </c>
      <c r="Q1026" s="11" t="inlineStr">
        <is>
          <t>No</t>
        </is>
      </c>
      <c r="R1026" s="11" t="n">
        <v>0</v>
      </c>
      <c r="S1026" s="10">
        <f>M1026-(R1026*K1026)</f>
        <v/>
      </c>
      <c r="T1026" s="12">
        <f>VLOOKUP(E1026,Dim_Product!$A$2:$Q$61,3,FALSE)</f>
        <v/>
      </c>
      <c r="U1026" s="12">
        <f>VLOOKUP(E1026,Dim_Product!$A$2:$Q$61,4,FALSE)</f>
        <v/>
      </c>
      <c r="V1026" s="12">
        <f>VLOOKUP(D1026,Dim_Customer!$A$2:$I$121,6,FALSE)</f>
        <v/>
      </c>
      <c r="W1026" s="12">
        <f>VLOOKUP(G1026,Dim_Channel!$A$2:$B$5,2,FALSE)</f>
        <v/>
      </c>
      <c r="X1026" s="12">
        <f>VLOOKUP(H1026,Dim_Promotion!$A$2:$G$11,2,FALSE)</f>
        <v/>
      </c>
    </row>
    <row r="1027">
      <c r="A1027" s="4" t="inlineStr">
        <is>
          <t>SL1026</t>
        </is>
      </c>
      <c r="B1027" t="inlineStr">
        <is>
          <t>O010513</t>
        </is>
      </c>
      <c r="C1027" t="n">
        <v>20251002</v>
      </c>
      <c r="D1027" s="4" t="inlineStr">
        <is>
          <t>C011</t>
        </is>
      </c>
      <c r="E1027" s="4" t="inlineStr">
        <is>
          <t>P007</t>
        </is>
      </c>
      <c r="F1027" t="inlineStr">
        <is>
          <t>M</t>
        </is>
      </c>
      <c r="G1027" s="4" t="inlineStr">
        <is>
          <t>CH03</t>
        </is>
      </c>
      <c r="H1027" s="4" t="inlineStr">
        <is>
          <t>PR00</t>
        </is>
      </c>
      <c r="I1027" s="8" t="n">
        <v>50</v>
      </c>
      <c r="J1027" s="9" t="n">
        <v>0</v>
      </c>
      <c r="K1027" s="10">
        <f>I1027*(1-J1027)</f>
        <v/>
      </c>
      <c r="L1027" s="11" t="n">
        <v>1</v>
      </c>
      <c r="M1027" s="10">
        <f>K1027*L1027</f>
        <v/>
      </c>
      <c r="N1027" s="8" t="n">
        <v>22.13</v>
      </c>
      <c r="O1027" s="10">
        <f>N1027*L1027</f>
        <v/>
      </c>
      <c r="P1027" s="10">
        <f>M1027-O1027</f>
        <v/>
      </c>
      <c r="Q1027" s="11" t="inlineStr">
        <is>
          <t>No</t>
        </is>
      </c>
      <c r="R1027" s="11" t="n">
        <v>0</v>
      </c>
      <c r="S1027" s="10">
        <f>M1027-(R1027*K1027)</f>
        <v/>
      </c>
      <c r="T1027" s="12">
        <f>VLOOKUP(E1027,Dim_Product!$A$2:$Q$61,3,FALSE)</f>
        <v/>
      </c>
      <c r="U1027" s="12">
        <f>VLOOKUP(E1027,Dim_Product!$A$2:$Q$61,4,FALSE)</f>
        <v/>
      </c>
      <c r="V1027" s="12">
        <f>VLOOKUP(D1027,Dim_Customer!$A$2:$I$121,6,FALSE)</f>
        <v/>
      </c>
      <c r="W1027" s="12">
        <f>VLOOKUP(G1027,Dim_Channel!$A$2:$B$5,2,FALSE)</f>
        <v/>
      </c>
      <c r="X1027" s="12">
        <f>VLOOKUP(H1027,Dim_Promotion!$A$2:$G$11,2,FALSE)</f>
        <v/>
      </c>
    </row>
    <row r="1028">
      <c r="A1028" s="4" t="inlineStr">
        <is>
          <t>SL1027</t>
        </is>
      </c>
      <c r="B1028" t="inlineStr">
        <is>
          <t>O010514</t>
        </is>
      </c>
      <c r="C1028" t="n">
        <v>20250922</v>
      </c>
      <c r="D1028" s="4" t="inlineStr">
        <is>
          <t>C071</t>
        </is>
      </c>
      <c r="E1028" s="4" t="inlineStr">
        <is>
          <t>P043</t>
        </is>
      </c>
      <c r="F1028" t="inlineStr">
        <is>
          <t>M</t>
        </is>
      </c>
      <c r="G1028" s="4" t="inlineStr">
        <is>
          <t>CH04</t>
        </is>
      </c>
      <c r="H1028" s="4" t="inlineStr">
        <is>
          <t>PR00</t>
        </is>
      </c>
      <c r="I1028" s="8" t="n">
        <v>81</v>
      </c>
      <c r="J1028" s="9" t="n">
        <v>0</v>
      </c>
      <c r="K1028" s="10">
        <f>I1028*(1-J1028)</f>
        <v/>
      </c>
      <c r="L1028" s="11" t="n">
        <v>1</v>
      </c>
      <c r="M1028" s="10">
        <f>K1028*L1028</f>
        <v/>
      </c>
      <c r="N1028" s="8" t="n">
        <v>37.39</v>
      </c>
      <c r="O1028" s="10">
        <f>N1028*L1028</f>
        <v/>
      </c>
      <c r="P1028" s="10">
        <f>M1028-O1028</f>
        <v/>
      </c>
      <c r="Q1028" s="11" t="inlineStr">
        <is>
          <t>Yes</t>
        </is>
      </c>
      <c r="R1028" s="11" t="n">
        <v>1</v>
      </c>
      <c r="S1028" s="10">
        <f>M1028-(R1028*K1028)</f>
        <v/>
      </c>
      <c r="T1028" s="12">
        <f>VLOOKUP(E1028,Dim_Product!$A$2:$Q$61,3,FALSE)</f>
        <v/>
      </c>
      <c r="U1028" s="12">
        <f>VLOOKUP(E1028,Dim_Product!$A$2:$Q$61,4,FALSE)</f>
        <v/>
      </c>
      <c r="V1028" s="12">
        <f>VLOOKUP(D1028,Dim_Customer!$A$2:$I$121,6,FALSE)</f>
        <v/>
      </c>
      <c r="W1028" s="12">
        <f>VLOOKUP(G1028,Dim_Channel!$A$2:$B$5,2,FALSE)</f>
        <v/>
      </c>
      <c r="X1028" s="12">
        <f>VLOOKUP(H1028,Dim_Promotion!$A$2:$G$11,2,FALSE)</f>
        <v/>
      </c>
    </row>
    <row r="1029">
      <c r="A1029" s="4" t="inlineStr">
        <is>
          <t>SL1028</t>
        </is>
      </c>
      <c r="B1029" t="inlineStr">
        <is>
          <t>O010514</t>
        </is>
      </c>
      <c r="C1029" t="n">
        <v>20250627</v>
      </c>
      <c r="D1029" s="4" t="inlineStr">
        <is>
          <t>C064</t>
        </is>
      </c>
      <c r="E1029" s="4" t="inlineStr">
        <is>
          <t>P046</t>
        </is>
      </c>
      <c r="F1029" t="inlineStr">
        <is>
          <t>S</t>
        </is>
      </c>
      <c r="G1029" s="4" t="inlineStr">
        <is>
          <t>CH03</t>
        </is>
      </c>
      <c r="H1029" s="4" t="inlineStr">
        <is>
          <t>PR05</t>
        </is>
      </c>
      <c r="I1029" s="8" t="n">
        <v>67</v>
      </c>
      <c r="J1029" s="9" t="n">
        <v>0.2</v>
      </c>
      <c r="K1029" s="10">
        <f>I1029*(1-J1029)</f>
        <v/>
      </c>
      <c r="L1029" s="11" t="n">
        <v>1</v>
      </c>
      <c r="M1029" s="10">
        <f>K1029*L1029</f>
        <v/>
      </c>
      <c r="N1029" s="8" t="n">
        <v>34.24</v>
      </c>
      <c r="O1029" s="10">
        <f>N1029*L1029</f>
        <v/>
      </c>
      <c r="P1029" s="10">
        <f>M1029-O1029</f>
        <v/>
      </c>
      <c r="Q1029" s="11" t="inlineStr">
        <is>
          <t>No</t>
        </is>
      </c>
      <c r="R1029" s="11" t="n">
        <v>0</v>
      </c>
      <c r="S1029" s="10">
        <f>M1029-(R1029*K1029)</f>
        <v/>
      </c>
      <c r="T1029" s="12">
        <f>VLOOKUP(E1029,Dim_Product!$A$2:$Q$61,3,FALSE)</f>
        <v/>
      </c>
      <c r="U1029" s="12">
        <f>VLOOKUP(E1029,Dim_Product!$A$2:$Q$61,4,FALSE)</f>
        <v/>
      </c>
      <c r="V1029" s="12">
        <f>VLOOKUP(D1029,Dim_Customer!$A$2:$I$121,6,FALSE)</f>
        <v/>
      </c>
      <c r="W1029" s="12">
        <f>VLOOKUP(G1029,Dim_Channel!$A$2:$B$5,2,FALSE)</f>
        <v/>
      </c>
      <c r="X1029" s="12">
        <f>VLOOKUP(H1029,Dim_Promotion!$A$2:$G$11,2,FALSE)</f>
        <v/>
      </c>
    </row>
    <row r="1030">
      <c r="A1030" s="4" t="inlineStr">
        <is>
          <t>SL1029</t>
        </is>
      </c>
      <c r="B1030" t="inlineStr">
        <is>
          <t>O010515</t>
        </is>
      </c>
      <c r="C1030" t="n">
        <v>20251106</v>
      </c>
      <c r="D1030" s="4" t="inlineStr">
        <is>
          <t>C001</t>
        </is>
      </c>
      <c r="E1030" s="4" t="inlineStr">
        <is>
          <t>P051</t>
        </is>
      </c>
      <c r="F1030" t="inlineStr">
        <is>
          <t>M</t>
        </is>
      </c>
      <c r="G1030" s="4" t="inlineStr">
        <is>
          <t>CH01</t>
        </is>
      </c>
      <c r="H1030" s="4" t="inlineStr">
        <is>
          <t>PR00</t>
        </is>
      </c>
      <c r="I1030" s="8" t="n">
        <v>68</v>
      </c>
      <c r="J1030" s="9" t="n">
        <v>0</v>
      </c>
      <c r="K1030" s="10">
        <f>I1030*(1-J1030)</f>
        <v/>
      </c>
      <c r="L1030" s="11" t="n">
        <v>2</v>
      </c>
      <c r="M1030" s="10">
        <f>K1030*L1030</f>
        <v/>
      </c>
      <c r="N1030" s="8" t="n">
        <v>28.84</v>
      </c>
      <c r="O1030" s="10">
        <f>N1030*L1030</f>
        <v/>
      </c>
      <c r="P1030" s="10">
        <f>M1030-O1030</f>
        <v/>
      </c>
      <c r="Q1030" s="11" t="inlineStr">
        <is>
          <t>No</t>
        </is>
      </c>
      <c r="R1030" s="11" t="n">
        <v>0</v>
      </c>
      <c r="S1030" s="10">
        <f>M1030-(R1030*K1030)</f>
        <v/>
      </c>
      <c r="T1030" s="12">
        <f>VLOOKUP(E1030,Dim_Product!$A$2:$Q$61,3,FALSE)</f>
        <v/>
      </c>
      <c r="U1030" s="12">
        <f>VLOOKUP(E1030,Dim_Product!$A$2:$Q$61,4,FALSE)</f>
        <v/>
      </c>
      <c r="V1030" s="12">
        <f>VLOOKUP(D1030,Dim_Customer!$A$2:$I$121,6,FALSE)</f>
        <v/>
      </c>
      <c r="W1030" s="12">
        <f>VLOOKUP(G1030,Dim_Channel!$A$2:$B$5,2,FALSE)</f>
        <v/>
      </c>
      <c r="X1030" s="12">
        <f>VLOOKUP(H1030,Dim_Promotion!$A$2:$G$11,2,FALSE)</f>
        <v/>
      </c>
    </row>
    <row r="1031">
      <c r="A1031" s="4" t="inlineStr">
        <is>
          <t>SL1030</t>
        </is>
      </c>
      <c r="B1031" t="inlineStr">
        <is>
          <t>O010515</t>
        </is>
      </c>
      <c r="C1031" t="n">
        <v>20251230</v>
      </c>
      <c r="D1031" s="4" t="inlineStr">
        <is>
          <t>C026</t>
        </is>
      </c>
      <c r="E1031" s="4" t="inlineStr">
        <is>
          <t>P042</t>
        </is>
      </c>
      <c r="F1031" t="inlineStr">
        <is>
          <t>L</t>
        </is>
      </c>
      <c r="G1031" s="4" t="inlineStr">
        <is>
          <t>CH02</t>
        </is>
      </c>
      <c r="H1031" s="4" t="inlineStr">
        <is>
          <t>PR00</t>
        </is>
      </c>
      <c r="I1031" s="8" t="n">
        <v>78</v>
      </c>
      <c r="J1031" s="9" t="n">
        <v>0</v>
      </c>
      <c r="K1031" s="10">
        <f>I1031*(1-J1031)</f>
        <v/>
      </c>
      <c r="L1031" s="11" t="n">
        <v>1</v>
      </c>
      <c r="M1031" s="10">
        <f>K1031*L1031</f>
        <v/>
      </c>
      <c r="N1031" s="8" t="n">
        <v>36.27</v>
      </c>
      <c r="O1031" s="10">
        <f>N1031*L1031</f>
        <v/>
      </c>
      <c r="P1031" s="10">
        <f>M1031-O1031</f>
        <v/>
      </c>
      <c r="Q1031" s="11" t="inlineStr">
        <is>
          <t>No</t>
        </is>
      </c>
      <c r="R1031" s="11" t="n">
        <v>0</v>
      </c>
      <c r="S1031" s="10">
        <f>M1031-(R1031*K1031)</f>
        <v/>
      </c>
      <c r="T1031" s="12">
        <f>VLOOKUP(E1031,Dim_Product!$A$2:$Q$61,3,FALSE)</f>
        <v/>
      </c>
      <c r="U1031" s="12">
        <f>VLOOKUP(E1031,Dim_Product!$A$2:$Q$61,4,FALSE)</f>
        <v/>
      </c>
      <c r="V1031" s="12">
        <f>VLOOKUP(D1031,Dim_Customer!$A$2:$I$121,6,FALSE)</f>
        <v/>
      </c>
      <c r="W1031" s="12">
        <f>VLOOKUP(G1031,Dim_Channel!$A$2:$B$5,2,FALSE)</f>
        <v/>
      </c>
      <c r="X1031" s="12">
        <f>VLOOKUP(H1031,Dim_Promotion!$A$2:$G$11,2,FALSE)</f>
        <v/>
      </c>
    </row>
    <row r="1032">
      <c r="A1032" s="4" t="inlineStr">
        <is>
          <t>SL1031</t>
        </is>
      </c>
      <c r="B1032" t="inlineStr">
        <is>
          <t>O010516</t>
        </is>
      </c>
      <c r="C1032" t="n">
        <v>20251117</v>
      </c>
      <c r="D1032" s="4" t="inlineStr">
        <is>
          <t>C026</t>
        </is>
      </c>
      <c r="E1032" s="4" t="inlineStr">
        <is>
          <t>P012</t>
        </is>
      </c>
      <c r="F1032" t="inlineStr">
        <is>
          <t>L</t>
        </is>
      </c>
      <c r="G1032" s="4" t="inlineStr">
        <is>
          <t>CH03</t>
        </is>
      </c>
      <c r="H1032" s="4" t="inlineStr">
        <is>
          <t>PR00</t>
        </is>
      </c>
      <c r="I1032" s="8" t="n">
        <v>46</v>
      </c>
      <c r="J1032" s="9" t="n">
        <v>0</v>
      </c>
      <c r="K1032" s="10">
        <f>I1032*(1-J1032)</f>
        <v/>
      </c>
      <c r="L1032" s="11" t="n">
        <v>1</v>
      </c>
      <c r="M1032" s="10">
        <f>K1032*L1032</f>
        <v/>
      </c>
      <c r="N1032" s="8" t="n">
        <v>22.26</v>
      </c>
      <c r="O1032" s="10">
        <f>N1032*L1032</f>
        <v/>
      </c>
      <c r="P1032" s="10">
        <f>M1032-O1032</f>
        <v/>
      </c>
      <c r="Q1032" s="11" t="inlineStr">
        <is>
          <t>No</t>
        </is>
      </c>
      <c r="R1032" s="11" t="n">
        <v>0</v>
      </c>
      <c r="S1032" s="10">
        <f>M1032-(R1032*K1032)</f>
        <v/>
      </c>
      <c r="T1032" s="12">
        <f>VLOOKUP(E1032,Dim_Product!$A$2:$Q$61,3,FALSE)</f>
        <v/>
      </c>
      <c r="U1032" s="12">
        <f>VLOOKUP(E1032,Dim_Product!$A$2:$Q$61,4,FALSE)</f>
        <v/>
      </c>
      <c r="V1032" s="12">
        <f>VLOOKUP(D1032,Dim_Customer!$A$2:$I$121,6,FALSE)</f>
        <v/>
      </c>
      <c r="W1032" s="12">
        <f>VLOOKUP(G1032,Dim_Channel!$A$2:$B$5,2,FALSE)</f>
        <v/>
      </c>
      <c r="X1032" s="12">
        <f>VLOOKUP(H1032,Dim_Promotion!$A$2:$G$11,2,FALSE)</f>
        <v/>
      </c>
    </row>
    <row r="1033">
      <c r="A1033" s="4" t="inlineStr">
        <is>
          <t>SL1032</t>
        </is>
      </c>
      <c r="B1033" t="inlineStr">
        <is>
          <t>O010516</t>
        </is>
      </c>
      <c r="C1033" t="n">
        <v>20251207</v>
      </c>
      <c r="D1033" s="4" t="inlineStr">
        <is>
          <t>C056</t>
        </is>
      </c>
      <c r="E1033" s="4" t="inlineStr">
        <is>
          <t>P034</t>
        </is>
      </c>
      <c r="F1033" t="inlineStr">
        <is>
          <t>XXL</t>
        </is>
      </c>
      <c r="G1033" s="4" t="inlineStr">
        <is>
          <t>CH02</t>
        </is>
      </c>
      <c r="H1033" s="4" t="inlineStr">
        <is>
          <t>PR00</t>
        </is>
      </c>
      <c r="I1033" s="8" t="n">
        <v>88</v>
      </c>
      <c r="J1033" s="9" t="n">
        <v>0</v>
      </c>
      <c r="K1033" s="10">
        <f>I1033*(1-J1033)</f>
        <v/>
      </c>
      <c r="L1033" s="11" t="n">
        <v>1</v>
      </c>
      <c r="M1033" s="10">
        <f>K1033*L1033</f>
        <v/>
      </c>
      <c r="N1033" s="8" t="n">
        <v>44.78</v>
      </c>
      <c r="O1033" s="10">
        <f>N1033*L1033</f>
        <v/>
      </c>
      <c r="P1033" s="10">
        <f>M1033-O1033</f>
        <v/>
      </c>
      <c r="Q1033" s="11" t="inlineStr">
        <is>
          <t>No</t>
        </is>
      </c>
      <c r="R1033" s="11" t="n">
        <v>0</v>
      </c>
      <c r="S1033" s="10">
        <f>M1033-(R1033*K1033)</f>
        <v/>
      </c>
      <c r="T1033" s="12">
        <f>VLOOKUP(E1033,Dim_Product!$A$2:$Q$61,3,FALSE)</f>
        <v/>
      </c>
      <c r="U1033" s="12">
        <f>VLOOKUP(E1033,Dim_Product!$A$2:$Q$61,4,FALSE)</f>
        <v/>
      </c>
      <c r="V1033" s="12">
        <f>VLOOKUP(D1033,Dim_Customer!$A$2:$I$121,6,FALSE)</f>
        <v/>
      </c>
      <c r="W1033" s="12">
        <f>VLOOKUP(G1033,Dim_Channel!$A$2:$B$5,2,FALSE)</f>
        <v/>
      </c>
      <c r="X1033" s="12">
        <f>VLOOKUP(H1033,Dim_Promotion!$A$2:$G$11,2,FALSE)</f>
        <v/>
      </c>
    </row>
    <row r="1034">
      <c r="A1034" s="4" t="inlineStr">
        <is>
          <t>SL1033</t>
        </is>
      </c>
      <c r="B1034" t="inlineStr">
        <is>
          <t>O010517</t>
        </is>
      </c>
      <c r="C1034" t="n">
        <v>20250729</v>
      </c>
      <c r="D1034" s="4" t="inlineStr">
        <is>
          <t>C054</t>
        </is>
      </c>
      <c r="E1034" s="4" t="inlineStr">
        <is>
          <t>P035</t>
        </is>
      </c>
      <c r="F1034" t="inlineStr">
        <is>
          <t>M</t>
        </is>
      </c>
      <c r="G1034" s="4" t="inlineStr">
        <is>
          <t>CH02</t>
        </is>
      </c>
      <c r="H1034" s="4" t="inlineStr">
        <is>
          <t>PR00</t>
        </is>
      </c>
      <c r="I1034" s="8" t="n">
        <v>88</v>
      </c>
      <c r="J1034" s="9" t="n">
        <v>0</v>
      </c>
      <c r="K1034" s="10">
        <f>I1034*(1-J1034)</f>
        <v/>
      </c>
      <c r="L1034" s="11" t="n">
        <v>2</v>
      </c>
      <c r="M1034" s="10">
        <f>K1034*L1034</f>
        <v/>
      </c>
      <c r="N1034" s="8" t="n">
        <v>44.34</v>
      </c>
      <c r="O1034" s="10">
        <f>N1034*L1034</f>
        <v/>
      </c>
      <c r="P1034" s="10">
        <f>M1034-O1034</f>
        <v/>
      </c>
      <c r="Q1034" s="11" t="inlineStr">
        <is>
          <t>No</t>
        </is>
      </c>
      <c r="R1034" s="11" t="n">
        <v>0</v>
      </c>
      <c r="S1034" s="10">
        <f>M1034-(R1034*K1034)</f>
        <v/>
      </c>
      <c r="T1034" s="12">
        <f>VLOOKUP(E1034,Dim_Product!$A$2:$Q$61,3,FALSE)</f>
        <v/>
      </c>
      <c r="U1034" s="12">
        <f>VLOOKUP(E1034,Dim_Product!$A$2:$Q$61,4,FALSE)</f>
        <v/>
      </c>
      <c r="V1034" s="12">
        <f>VLOOKUP(D1034,Dim_Customer!$A$2:$I$121,6,FALSE)</f>
        <v/>
      </c>
      <c r="W1034" s="12">
        <f>VLOOKUP(G1034,Dim_Channel!$A$2:$B$5,2,FALSE)</f>
        <v/>
      </c>
      <c r="X1034" s="12">
        <f>VLOOKUP(H1034,Dim_Promotion!$A$2:$G$11,2,FALSE)</f>
        <v/>
      </c>
    </row>
    <row r="1035">
      <c r="A1035" s="4" t="inlineStr">
        <is>
          <t>SL1034</t>
        </is>
      </c>
      <c r="B1035" t="inlineStr">
        <is>
          <t>O010517</t>
        </is>
      </c>
      <c r="C1035" t="n">
        <v>20250919</v>
      </c>
      <c r="D1035" s="4" t="inlineStr">
        <is>
          <t>C033</t>
        </is>
      </c>
      <c r="E1035" s="4" t="inlineStr">
        <is>
          <t>P022</t>
        </is>
      </c>
      <c r="F1035" t="inlineStr">
        <is>
          <t>M</t>
        </is>
      </c>
      <c r="G1035" s="4" t="inlineStr">
        <is>
          <t>CH02</t>
        </is>
      </c>
      <c r="H1035" s="4" t="inlineStr">
        <is>
          <t>PR00</t>
        </is>
      </c>
      <c r="I1035" s="8" t="n">
        <v>60</v>
      </c>
      <c r="J1035" s="9" t="n">
        <v>0</v>
      </c>
      <c r="K1035" s="10">
        <f>I1035*(1-J1035)</f>
        <v/>
      </c>
      <c r="L1035" s="11" t="n">
        <v>1</v>
      </c>
      <c r="M1035" s="10">
        <f>K1035*L1035</f>
        <v/>
      </c>
      <c r="N1035" s="8" t="n">
        <v>26.15</v>
      </c>
      <c r="O1035" s="10">
        <f>N1035*L1035</f>
        <v/>
      </c>
      <c r="P1035" s="10">
        <f>M1035-O1035</f>
        <v/>
      </c>
      <c r="Q1035" s="11" t="inlineStr">
        <is>
          <t>No</t>
        </is>
      </c>
      <c r="R1035" s="11" t="n">
        <v>0</v>
      </c>
      <c r="S1035" s="10">
        <f>M1035-(R1035*K1035)</f>
        <v/>
      </c>
      <c r="T1035" s="12">
        <f>VLOOKUP(E1035,Dim_Product!$A$2:$Q$61,3,FALSE)</f>
        <v/>
      </c>
      <c r="U1035" s="12">
        <f>VLOOKUP(E1035,Dim_Product!$A$2:$Q$61,4,FALSE)</f>
        <v/>
      </c>
      <c r="V1035" s="12">
        <f>VLOOKUP(D1035,Dim_Customer!$A$2:$I$121,6,FALSE)</f>
        <v/>
      </c>
      <c r="W1035" s="12">
        <f>VLOOKUP(G1035,Dim_Channel!$A$2:$B$5,2,FALSE)</f>
        <v/>
      </c>
      <c r="X1035" s="12">
        <f>VLOOKUP(H1035,Dim_Promotion!$A$2:$G$11,2,FALSE)</f>
        <v/>
      </c>
    </row>
    <row r="1036">
      <c r="A1036" s="4" t="inlineStr">
        <is>
          <t>SL1035</t>
        </is>
      </c>
      <c r="B1036" t="inlineStr">
        <is>
          <t>O010518</t>
        </is>
      </c>
      <c r="C1036" t="n">
        <v>20251109</v>
      </c>
      <c r="D1036" s="4" t="inlineStr">
        <is>
          <t>C069</t>
        </is>
      </c>
      <c r="E1036" s="4" t="inlineStr">
        <is>
          <t>P024</t>
        </is>
      </c>
      <c r="F1036" t="inlineStr">
        <is>
          <t>XXL</t>
        </is>
      </c>
      <c r="G1036" s="4" t="inlineStr">
        <is>
          <t>CH03</t>
        </is>
      </c>
      <c r="H1036" s="4" t="inlineStr">
        <is>
          <t>PR00</t>
        </is>
      </c>
      <c r="I1036" s="8" t="n">
        <v>60</v>
      </c>
      <c r="J1036" s="9" t="n">
        <v>0</v>
      </c>
      <c r="K1036" s="10">
        <f>I1036*(1-J1036)</f>
        <v/>
      </c>
      <c r="L1036" s="11" t="n">
        <v>2</v>
      </c>
      <c r="M1036" s="10">
        <f>K1036*L1036</f>
        <v/>
      </c>
      <c r="N1036" s="8" t="n">
        <v>27.53</v>
      </c>
      <c r="O1036" s="10">
        <f>N1036*L1036</f>
        <v/>
      </c>
      <c r="P1036" s="10">
        <f>M1036-O1036</f>
        <v/>
      </c>
      <c r="Q1036" s="11" t="inlineStr">
        <is>
          <t>No</t>
        </is>
      </c>
      <c r="R1036" s="11" t="n">
        <v>0</v>
      </c>
      <c r="S1036" s="10">
        <f>M1036-(R1036*K1036)</f>
        <v/>
      </c>
      <c r="T1036" s="12">
        <f>VLOOKUP(E1036,Dim_Product!$A$2:$Q$61,3,FALSE)</f>
        <v/>
      </c>
      <c r="U1036" s="12">
        <f>VLOOKUP(E1036,Dim_Product!$A$2:$Q$61,4,FALSE)</f>
        <v/>
      </c>
      <c r="V1036" s="12">
        <f>VLOOKUP(D1036,Dim_Customer!$A$2:$I$121,6,FALSE)</f>
        <v/>
      </c>
      <c r="W1036" s="12">
        <f>VLOOKUP(G1036,Dim_Channel!$A$2:$B$5,2,FALSE)</f>
        <v/>
      </c>
      <c r="X1036" s="12">
        <f>VLOOKUP(H1036,Dim_Promotion!$A$2:$G$11,2,FALSE)</f>
        <v/>
      </c>
    </row>
    <row r="1037">
      <c r="A1037" s="4" t="inlineStr">
        <is>
          <t>SL1036</t>
        </is>
      </c>
      <c r="B1037" t="inlineStr">
        <is>
          <t>O010518</t>
        </is>
      </c>
      <c r="C1037" t="n">
        <v>20250818</v>
      </c>
      <c r="D1037" s="4" t="inlineStr">
        <is>
          <t>C085</t>
        </is>
      </c>
      <c r="E1037" s="4" t="inlineStr">
        <is>
          <t>P022</t>
        </is>
      </c>
      <c r="F1037" t="inlineStr">
        <is>
          <t>M</t>
        </is>
      </c>
      <c r="G1037" s="4" t="inlineStr">
        <is>
          <t>CH03</t>
        </is>
      </c>
      <c r="H1037" s="4" t="inlineStr">
        <is>
          <t>PR00</t>
        </is>
      </c>
      <c r="I1037" s="8" t="n">
        <v>61</v>
      </c>
      <c r="J1037" s="9" t="n">
        <v>0</v>
      </c>
      <c r="K1037" s="10">
        <f>I1037*(1-J1037)</f>
        <v/>
      </c>
      <c r="L1037" s="11" t="n">
        <v>1</v>
      </c>
      <c r="M1037" s="10">
        <f>K1037*L1037</f>
        <v/>
      </c>
      <c r="N1037" s="8" t="n">
        <v>26.49</v>
      </c>
      <c r="O1037" s="10">
        <f>N1037*L1037</f>
        <v/>
      </c>
      <c r="P1037" s="10">
        <f>M1037-O1037</f>
        <v/>
      </c>
      <c r="Q1037" s="11" t="inlineStr">
        <is>
          <t>No</t>
        </is>
      </c>
      <c r="R1037" s="11" t="n">
        <v>0</v>
      </c>
      <c r="S1037" s="10">
        <f>M1037-(R1037*K1037)</f>
        <v/>
      </c>
      <c r="T1037" s="12">
        <f>VLOOKUP(E1037,Dim_Product!$A$2:$Q$61,3,FALSE)</f>
        <v/>
      </c>
      <c r="U1037" s="12">
        <f>VLOOKUP(E1037,Dim_Product!$A$2:$Q$61,4,FALSE)</f>
        <v/>
      </c>
      <c r="V1037" s="12">
        <f>VLOOKUP(D1037,Dim_Customer!$A$2:$I$121,6,FALSE)</f>
        <v/>
      </c>
      <c r="W1037" s="12">
        <f>VLOOKUP(G1037,Dim_Channel!$A$2:$B$5,2,FALSE)</f>
        <v/>
      </c>
      <c r="X1037" s="12">
        <f>VLOOKUP(H1037,Dim_Promotion!$A$2:$G$11,2,FALSE)</f>
        <v/>
      </c>
    </row>
    <row r="1038">
      <c r="A1038" s="4" t="inlineStr">
        <is>
          <t>SL1037</t>
        </is>
      </c>
      <c r="B1038" t="inlineStr">
        <is>
          <t>O010519</t>
        </is>
      </c>
      <c r="C1038" t="n">
        <v>20250105</v>
      </c>
      <c r="D1038" s="4" t="inlineStr">
        <is>
          <t>C120</t>
        </is>
      </c>
      <c r="E1038" s="4" t="inlineStr">
        <is>
          <t>P044</t>
        </is>
      </c>
      <c r="F1038" t="inlineStr">
        <is>
          <t>M</t>
        </is>
      </c>
      <c r="G1038" s="4" t="inlineStr">
        <is>
          <t>CH02</t>
        </is>
      </c>
      <c r="H1038" s="4" t="inlineStr">
        <is>
          <t>PR00</t>
        </is>
      </c>
      <c r="I1038" s="8" t="n">
        <v>79</v>
      </c>
      <c r="J1038" s="9" t="n">
        <v>0</v>
      </c>
      <c r="K1038" s="10">
        <f>I1038*(1-J1038)</f>
        <v/>
      </c>
      <c r="L1038" s="11" t="n">
        <v>1</v>
      </c>
      <c r="M1038" s="10">
        <f>K1038*L1038</f>
        <v/>
      </c>
      <c r="N1038" s="8" t="n">
        <v>34.64</v>
      </c>
      <c r="O1038" s="10">
        <f>N1038*L1038</f>
        <v/>
      </c>
      <c r="P1038" s="10">
        <f>M1038-O1038</f>
        <v/>
      </c>
      <c r="Q1038" s="11" t="inlineStr">
        <is>
          <t>No</t>
        </is>
      </c>
      <c r="R1038" s="11" t="n">
        <v>0</v>
      </c>
      <c r="S1038" s="10">
        <f>M1038-(R1038*K1038)</f>
        <v/>
      </c>
      <c r="T1038" s="12">
        <f>VLOOKUP(E1038,Dim_Product!$A$2:$Q$61,3,FALSE)</f>
        <v/>
      </c>
      <c r="U1038" s="12">
        <f>VLOOKUP(E1038,Dim_Product!$A$2:$Q$61,4,FALSE)</f>
        <v/>
      </c>
      <c r="V1038" s="12">
        <f>VLOOKUP(D1038,Dim_Customer!$A$2:$I$121,6,FALSE)</f>
        <v/>
      </c>
      <c r="W1038" s="12">
        <f>VLOOKUP(G1038,Dim_Channel!$A$2:$B$5,2,FALSE)</f>
        <v/>
      </c>
      <c r="X1038" s="12">
        <f>VLOOKUP(H1038,Dim_Promotion!$A$2:$G$11,2,FALSE)</f>
        <v/>
      </c>
    </row>
    <row r="1039">
      <c r="A1039" s="4" t="inlineStr">
        <is>
          <t>SL1038</t>
        </is>
      </c>
      <c r="B1039" t="inlineStr">
        <is>
          <t>O010519</t>
        </is>
      </c>
      <c r="C1039" t="n">
        <v>20251210</v>
      </c>
      <c r="D1039" s="4" t="inlineStr">
        <is>
          <t>C070</t>
        </is>
      </c>
      <c r="E1039" s="4" t="inlineStr">
        <is>
          <t>P041</t>
        </is>
      </c>
      <c r="F1039" t="inlineStr">
        <is>
          <t>XS</t>
        </is>
      </c>
      <c r="G1039" s="4" t="inlineStr">
        <is>
          <t>CH01</t>
        </is>
      </c>
      <c r="H1039" s="4" t="inlineStr">
        <is>
          <t>PR00</t>
        </is>
      </c>
      <c r="I1039" s="8" t="n">
        <v>78</v>
      </c>
      <c r="J1039" s="9" t="n">
        <v>0</v>
      </c>
      <c r="K1039" s="10">
        <f>I1039*(1-J1039)</f>
        <v/>
      </c>
      <c r="L1039" s="11" t="n">
        <v>1</v>
      </c>
      <c r="M1039" s="10">
        <f>K1039*L1039</f>
        <v/>
      </c>
      <c r="N1039" s="8" t="n">
        <v>39</v>
      </c>
      <c r="O1039" s="10">
        <f>N1039*L1039</f>
        <v/>
      </c>
      <c r="P1039" s="10">
        <f>M1039-O1039</f>
        <v/>
      </c>
      <c r="Q1039" s="11" t="inlineStr">
        <is>
          <t>No</t>
        </is>
      </c>
      <c r="R1039" s="11" t="n">
        <v>0</v>
      </c>
      <c r="S1039" s="10">
        <f>M1039-(R1039*K1039)</f>
        <v/>
      </c>
      <c r="T1039" s="12">
        <f>VLOOKUP(E1039,Dim_Product!$A$2:$Q$61,3,FALSE)</f>
        <v/>
      </c>
      <c r="U1039" s="12">
        <f>VLOOKUP(E1039,Dim_Product!$A$2:$Q$61,4,FALSE)</f>
        <v/>
      </c>
      <c r="V1039" s="12">
        <f>VLOOKUP(D1039,Dim_Customer!$A$2:$I$121,6,FALSE)</f>
        <v/>
      </c>
      <c r="W1039" s="12">
        <f>VLOOKUP(G1039,Dim_Channel!$A$2:$B$5,2,FALSE)</f>
        <v/>
      </c>
      <c r="X1039" s="12">
        <f>VLOOKUP(H1039,Dim_Promotion!$A$2:$G$11,2,FALSE)</f>
        <v/>
      </c>
    </row>
    <row r="1040">
      <c r="A1040" s="4" t="inlineStr">
        <is>
          <t>SL1039</t>
        </is>
      </c>
      <c r="B1040" t="inlineStr">
        <is>
          <t>O010520</t>
        </is>
      </c>
      <c r="C1040" t="n">
        <v>20250406</v>
      </c>
      <c r="D1040" s="4" t="inlineStr">
        <is>
          <t>C015</t>
        </is>
      </c>
      <c r="E1040" s="4" t="inlineStr">
        <is>
          <t>P045</t>
        </is>
      </c>
      <c r="F1040" t="inlineStr">
        <is>
          <t>M</t>
        </is>
      </c>
      <c r="G1040" s="4" t="inlineStr">
        <is>
          <t>CH03</t>
        </is>
      </c>
      <c r="H1040" s="4" t="inlineStr">
        <is>
          <t>PR00</t>
        </is>
      </c>
      <c r="I1040" s="8" t="n">
        <v>68</v>
      </c>
      <c r="J1040" s="9" t="n">
        <v>0</v>
      </c>
      <c r="K1040" s="10">
        <f>I1040*(1-J1040)</f>
        <v/>
      </c>
      <c r="L1040" s="11" t="n">
        <v>1</v>
      </c>
      <c r="M1040" s="10">
        <f>K1040*L1040</f>
        <v/>
      </c>
      <c r="N1040" s="8" t="n">
        <v>33.66</v>
      </c>
      <c r="O1040" s="10">
        <f>N1040*L1040</f>
        <v/>
      </c>
      <c r="P1040" s="10">
        <f>M1040-O1040</f>
        <v/>
      </c>
      <c r="Q1040" s="11" t="inlineStr">
        <is>
          <t>No</t>
        </is>
      </c>
      <c r="R1040" s="11" t="n">
        <v>0</v>
      </c>
      <c r="S1040" s="10">
        <f>M1040-(R1040*K1040)</f>
        <v/>
      </c>
      <c r="T1040" s="12">
        <f>VLOOKUP(E1040,Dim_Product!$A$2:$Q$61,3,FALSE)</f>
        <v/>
      </c>
      <c r="U1040" s="12">
        <f>VLOOKUP(E1040,Dim_Product!$A$2:$Q$61,4,FALSE)</f>
        <v/>
      </c>
      <c r="V1040" s="12">
        <f>VLOOKUP(D1040,Dim_Customer!$A$2:$I$121,6,FALSE)</f>
        <v/>
      </c>
      <c r="W1040" s="12">
        <f>VLOOKUP(G1040,Dim_Channel!$A$2:$B$5,2,FALSE)</f>
        <v/>
      </c>
      <c r="X1040" s="12">
        <f>VLOOKUP(H1040,Dim_Promotion!$A$2:$G$11,2,FALSE)</f>
        <v/>
      </c>
    </row>
    <row r="1041">
      <c r="A1041" s="4" t="inlineStr">
        <is>
          <t>SL1040</t>
        </is>
      </c>
      <c r="B1041" t="inlineStr">
        <is>
          <t>O010520</t>
        </is>
      </c>
      <c r="C1041" t="n">
        <v>20250226</v>
      </c>
      <c r="D1041" s="4" t="inlineStr">
        <is>
          <t>C012</t>
        </is>
      </c>
      <c r="E1041" s="4" t="inlineStr">
        <is>
          <t>P020</t>
        </is>
      </c>
      <c r="F1041" t="inlineStr">
        <is>
          <t>S</t>
        </is>
      </c>
      <c r="G1041" s="4" t="inlineStr">
        <is>
          <t>CH04</t>
        </is>
      </c>
      <c r="H1041" s="4" t="inlineStr">
        <is>
          <t>PR00</t>
        </is>
      </c>
      <c r="I1041" s="8" t="n">
        <v>66</v>
      </c>
      <c r="J1041" s="9" t="n">
        <v>0</v>
      </c>
      <c r="K1041" s="10">
        <f>I1041*(1-J1041)</f>
        <v/>
      </c>
      <c r="L1041" s="11" t="n">
        <v>2</v>
      </c>
      <c r="M1041" s="10">
        <f>K1041*L1041</f>
        <v/>
      </c>
      <c r="N1041" s="8" t="n">
        <v>30.83</v>
      </c>
      <c r="O1041" s="10">
        <f>N1041*L1041</f>
        <v/>
      </c>
      <c r="P1041" s="10">
        <f>M1041-O1041</f>
        <v/>
      </c>
      <c r="Q1041" s="11" t="inlineStr">
        <is>
          <t>No</t>
        </is>
      </c>
      <c r="R1041" s="11" t="n">
        <v>0</v>
      </c>
      <c r="S1041" s="10">
        <f>M1041-(R1041*K1041)</f>
        <v/>
      </c>
      <c r="T1041" s="12">
        <f>VLOOKUP(E1041,Dim_Product!$A$2:$Q$61,3,FALSE)</f>
        <v/>
      </c>
      <c r="U1041" s="12">
        <f>VLOOKUP(E1041,Dim_Product!$A$2:$Q$61,4,FALSE)</f>
        <v/>
      </c>
      <c r="V1041" s="12">
        <f>VLOOKUP(D1041,Dim_Customer!$A$2:$I$121,6,FALSE)</f>
        <v/>
      </c>
      <c r="W1041" s="12">
        <f>VLOOKUP(G1041,Dim_Channel!$A$2:$B$5,2,FALSE)</f>
        <v/>
      </c>
      <c r="X1041" s="12">
        <f>VLOOKUP(H1041,Dim_Promotion!$A$2:$G$11,2,FALSE)</f>
        <v/>
      </c>
    </row>
    <row r="1042">
      <c r="A1042" s="4" t="inlineStr">
        <is>
          <t>SL1041</t>
        </is>
      </c>
      <c r="B1042" t="inlineStr">
        <is>
          <t>O010521</t>
        </is>
      </c>
      <c r="C1042" t="n">
        <v>20250105</v>
      </c>
      <c r="D1042" s="4" t="inlineStr">
        <is>
          <t>C044</t>
        </is>
      </c>
      <c r="E1042" s="4" t="inlineStr">
        <is>
          <t>P031</t>
        </is>
      </c>
      <c r="F1042" t="inlineStr">
        <is>
          <t>L</t>
        </is>
      </c>
      <c r="G1042" s="4" t="inlineStr">
        <is>
          <t>CH02</t>
        </is>
      </c>
      <c r="H1042" s="4" t="inlineStr">
        <is>
          <t>PR00</t>
        </is>
      </c>
      <c r="I1042" s="8" t="n">
        <v>113</v>
      </c>
      <c r="J1042" s="9" t="n">
        <v>0</v>
      </c>
      <c r="K1042" s="10">
        <f>I1042*(1-J1042)</f>
        <v/>
      </c>
      <c r="L1042" s="11" t="n">
        <v>2</v>
      </c>
      <c r="M1042" s="10">
        <f>K1042*L1042</f>
        <v/>
      </c>
      <c r="N1042" s="8" t="n">
        <v>55.33</v>
      </c>
      <c r="O1042" s="10">
        <f>N1042*L1042</f>
        <v/>
      </c>
      <c r="P1042" s="10">
        <f>M1042-O1042</f>
        <v/>
      </c>
      <c r="Q1042" s="11" t="inlineStr">
        <is>
          <t>No</t>
        </is>
      </c>
      <c r="R1042" s="11" t="n">
        <v>0</v>
      </c>
      <c r="S1042" s="10">
        <f>M1042-(R1042*K1042)</f>
        <v/>
      </c>
      <c r="T1042" s="12">
        <f>VLOOKUP(E1042,Dim_Product!$A$2:$Q$61,3,FALSE)</f>
        <v/>
      </c>
      <c r="U1042" s="12">
        <f>VLOOKUP(E1042,Dim_Product!$A$2:$Q$61,4,FALSE)</f>
        <v/>
      </c>
      <c r="V1042" s="12">
        <f>VLOOKUP(D1042,Dim_Customer!$A$2:$I$121,6,FALSE)</f>
        <v/>
      </c>
      <c r="W1042" s="12">
        <f>VLOOKUP(G1042,Dim_Channel!$A$2:$B$5,2,FALSE)</f>
        <v/>
      </c>
      <c r="X1042" s="12">
        <f>VLOOKUP(H1042,Dim_Promotion!$A$2:$G$11,2,FALSE)</f>
        <v/>
      </c>
    </row>
    <row r="1043">
      <c r="A1043" s="4" t="inlineStr">
        <is>
          <t>SL1042</t>
        </is>
      </c>
      <c r="B1043" t="inlineStr">
        <is>
          <t>O010521</t>
        </is>
      </c>
      <c r="C1043" t="n">
        <v>20251013</v>
      </c>
      <c r="D1043" s="4" t="inlineStr">
        <is>
          <t>C028</t>
        </is>
      </c>
      <c r="E1043" s="4" t="inlineStr">
        <is>
          <t>P009</t>
        </is>
      </c>
      <c r="F1043" t="inlineStr">
        <is>
          <t>M</t>
        </is>
      </c>
      <c r="G1043" s="4" t="inlineStr">
        <is>
          <t>CH02</t>
        </is>
      </c>
      <c r="H1043" s="4" t="inlineStr">
        <is>
          <t>PR00</t>
        </is>
      </c>
      <c r="I1043" s="8" t="n">
        <v>48</v>
      </c>
      <c r="J1043" s="9" t="n">
        <v>0</v>
      </c>
      <c r="K1043" s="10">
        <f>I1043*(1-J1043)</f>
        <v/>
      </c>
      <c r="L1043" s="11" t="n">
        <v>2</v>
      </c>
      <c r="M1043" s="10">
        <f>K1043*L1043</f>
        <v/>
      </c>
      <c r="N1043" s="8" t="n">
        <v>19.68</v>
      </c>
      <c r="O1043" s="10">
        <f>N1043*L1043</f>
        <v/>
      </c>
      <c r="P1043" s="10">
        <f>M1043-O1043</f>
        <v/>
      </c>
      <c r="Q1043" s="11" t="inlineStr">
        <is>
          <t>No</t>
        </is>
      </c>
      <c r="R1043" s="11" t="n">
        <v>0</v>
      </c>
      <c r="S1043" s="10">
        <f>M1043-(R1043*K1043)</f>
        <v/>
      </c>
      <c r="T1043" s="12">
        <f>VLOOKUP(E1043,Dim_Product!$A$2:$Q$61,3,FALSE)</f>
        <v/>
      </c>
      <c r="U1043" s="12">
        <f>VLOOKUP(E1043,Dim_Product!$A$2:$Q$61,4,FALSE)</f>
        <v/>
      </c>
      <c r="V1043" s="12">
        <f>VLOOKUP(D1043,Dim_Customer!$A$2:$I$121,6,FALSE)</f>
        <v/>
      </c>
      <c r="W1043" s="12">
        <f>VLOOKUP(G1043,Dim_Channel!$A$2:$B$5,2,FALSE)</f>
        <v/>
      </c>
      <c r="X1043" s="12">
        <f>VLOOKUP(H1043,Dim_Promotion!$A$2:$G$11,2,FALSE)</f>
        <v/>
      </c>
    </row>
    <row r="1044">
      <c r="A1044" s="4" t="inlineStr">
        <is>
          <t>SL1043</t>
        </is>
      </c>
      <c r="B1044" t="inlineStr">
        <is>
          <t>O010522</t>
        </is>
      </c>
      <c r="C1044" t="n">
        <v>20250815</v>
      </c>
      <c r="D1044" s="4" t="inlineStr">
        <is>
          <t>C050</t>
        </is>
      </c>
      <c r="E1044" s="4" t="inlineStr">
        <is>
          <t>P018</t>
        </is>
      </c>
      <c r="F1044" t="inlineStr">
        <is>
          <t>L</t>
        </is>
      </c>
      <c r="G1044" s="4" t="inlineStr">
        <is>
          <t>CH01</t>
        </is>
      </c>
      <c r="H1044" s="4" t="inlineStr">
        <is>
          <t>PR00</t>
        </is>
      </c>
      <c r="I1044" s="8" t="n">
        <v>62</v>
      </c>
      <c r="J1044" s="9" t="n">
        <v>0</v>
      </c>
      <c r="K1044" s="10">
        <f>I1044*(1-J1044)</f>
        <v/>
      </c>
      <c r="L1044" s="11" t="n">
        <v>4</v>
      </c>
      <c r="M1044" s="10">
        <f>K1044*L1044</f>
        <v/>
      </c>
      <c r="N1044" s="8" t="n">
        <v>32.12</v>
      </c>
      <c r="O1044" s="10">
        <f>N1044*L1044</f>
        <v/>
      </c>
      <c r="P1044" s="10">
        <f>M1044-O1044</f>
        <v/>
      </c>
      <c r="Q1044" s="11" t="inlineStr">
        <is>
          <t>No</t>
        </is>
      </c>
      <c r="R1044" s="11" t="n">
        <v>0</v>
      </c>
      <c r="S1044" s="10">
        <f>M1044-(R1044*K1044)</f>
        <v/>
      </c>
      <c r="T1044" s="12">
        <f>VLOOKUP(E1044,Dim_Product!$A$2:$Q$61,3,FALSE)</f>
        <v/>
      </c>
      <c r="U1044" s="12">
        <f>VLOOKUP(E1044,Dim_Product!$A$2:$Q$61,4,FALSE)</f>
        <v/>
      </c>
      <c r="V1044" s="12">
        <f>VLOOKUP(D1044,Dim_Customer!$A$2:$I$121,6,FALSE)</f>
        <v/>
      </c>
      <c r="W1044" s="12">
        <f>VLOOKUP(G1044,Dim_Channel!$A$2:$B$5,2,FALSE)</f>
        <v/>
      </c>
      <c r="X1044" s="12">
        <f>VLOOKUP(H1044,Dim_Promotion!$A$2:$G$11,2,FALSE)</f>
        <v/>
      </c>
    </row>
    <row r="1045">
      <c r="A1045" s="4" t="inlineStr">
        <is>
          <t>SL1044</t>
        </is>
      </c>
      <c r="B1045" t="inlineStr">
        <is>
          <t>O010522</t>
        </is>
      </c>
      <c r="C1045" t="n">
        <v>20250627</v>
      </c>
      <c r="D1045" s="4" t="inlineStr">
        <is>
          <t>C001</t>
        </is>
      </c>
      <c r="E1045" s="4" t="inlineStr">
        <is>
          <t>P005</t>
        </is>
      </c>
      <c r="F1045" t="inlineStr">
        <is>
          <t>L</t>
        </is>
      </c>
      <c r="G1045" s="4" t="inlineStr">
        <is>
          <t>CH04</t>
        </is>
      </c>
      <c r="H1045" s="4" t="inlineStr">
        <is>
          <t>PR00</t>
        </is>
      </c>
      <c r="I1045" s="8" t="n">
        <v>53</v>
      </c>
      <c r="J1045" s="9" t="n">
        <v>0</v>
      </c>
      <c r="K1045" s="10">
        <f>I1045*(1-J1045)</f>
        <v/>
      </c>
      <c r="L1045" s="11" t="n">
        <v>1</v>
      </c>
      <c r="M1045" s="10">
        <f>K1045*L1045</f>
        <v/>
      </c>
      <c r="N1045" s="8" t="n">
        <v>20.26</v>
      </c>
      <c r="O1045" s="10">
        <f>N1045*L1045</f>
        <v/>
      </c>
      <c r="P1045" s="10">
        <f>M1045-O1045</f>
        <v/>
      </c>
      <c r="Q1045" s="11" t="inlineStr">
        <is>
          <t>No</t>
        </is>
      </c>
      <c r="R1045" s="11" t="n">
        <v>0</v>
      </c>
      <c r="S1045" s="10">
        <f>M1045-(R1045*K1045)</f>
        <v/>
      </c>
      <c r="T1045" s="12">
        <f>VLOOKUP(E1045,Dim_Product!$A$2:$Q$61,3,FALSE)</f>
        <v/>
      </c>
      <c r="U1045" s="12">
        <f>VLOOKUP(E1045,Dim_Product!$A$2:$Q$61,4,FALSE)</f>
        <v/>
      </c>
      <c r="V1045" s="12">
        <f>VLOOKUP(D1045,Dim_Customer!$A$2:$I$121,6,FALSE)</f>
        <v/>
      </c>
      <c r="W1045" s="12">
        <f>VLOOKUP(G1045,Dim_Channel!$A$2:$B$5,2,FALSE)</f>
        <v/>
      </c>
      <c r="X1045" s="12">
        <f>VLOOKUP(H1045,Dim_Promotion!$A$2:$G$11,2,FALSE)</f>
        <v/>
      </c>
    </row>
    <row r="1046">
      <c r="A1046" s="4" t="inlineStr">
        <is>
          <t>SL1045</t>
        </is>
      </c>
      <c r="B1046" t="inlineStr">
        <is>
          <t>O010523</t>
        </is>
      </c>
      <c r="C1046" t="n">
        <v>20250226</v>
      </c>
      <c r="D1046" s="4" t="inlineStr">
        <is>
          <t>C005</t>
        </is>
      </c>
      <c r="E1046" s="4" t="inlineStr">
        <is>
          <t>P014</t>
        </is>
      </c>
      <c r="F1046" t="inlineStr">
        <is>
          <t>M</t>
        </is>
      </c>
      <c r="G1046" s="4" t="inlineStr">
        <is>
          <t>CH01</t>
        </is>
      </c>
      <c r="H1046" s="4" t="inlineStr">
        <is>
          <t>PR00</t>
        </is>
      </c>
      <c r="I1046" s="8" t="n">
        <v>60</v>
      </c>
      <c r="J1046" s="9" t="n">
        <v>0</v>
      </c>
      <c r="K1046" s="10">
        <f>I1046*(1-J1046)</f>
        <v/>
      </c>
      <c r="L1046" s="11" t="n">
        <v>1</v>
      </c>
      <c r="M1046" s="10">
        <f>K1046*L1046</f>
        <v/>
      </c>
      <c r="N1046" s="8" t="n">
        <v>27.78</v>
      </c>
      <c r="O1046" s="10">
        <f>N1046*L1046</f>
        <v/>
      </c>
      <c r="P1046" s="10">
        <f>M1046-O1046</f>
        <v/>
      </c>
      <c r="Q1046" s="11" t="inlineStr">
        <is>
          <t>No</t>
        </is>
      </c>
      <c r="R1046" s="11" t="n">
        <v>0</v>
      </c>
      <c r="S1046" s="10">
        <f>M1046-(R1046*K1046)</f>
        <v/>
      </c>
      <c r="T1046" s="12">
        <f>VLOOKUP(E1046,Dim_Product!$A$2:$Q$61,3,FALSE)</f>
        <v/>
      </c>
      <c r="U1046" s="12">
        <f>VLOOKUP(E1046,Dim_Product!$A$2:$Q$61,4,FALSE)</f>
        <v/>
      </c>
      <c r="V1046" s="12">
        <f>VLOOKUP(D1046,Dim_Customer!$A$2:$I$121,6,FALSE)</f>
        <v/>
      </c>
      <c r="W1046" s="12">
        <f>VLOOKUP(G1046,Dim_Channel!$A$2:$B$5,2,FALSE)</f>
        <v/>
      </c>
      <c r="X1046" s="12">
        <f>VLOOKUP(H1046,Dim_Promotion!$A$2:$G$11,2,FALSE)</f>
        <v/>
      </c>
    </row>
    <row r="1047">
      <c r="A1047" s="4" t="inlineStr">
        <is>
          <t>SL1046</t>
        </is>
      </c>
      <c r="B1047" t="inlineStr">
        <is>
          <t>O010523</t>
        </is>
      </c>
      <c r="C1047" t="n">
        <v>20250528</v>
      </c>
      <c r="D1047" s="4" t="inlineStr">
        <is>
          <t>C053</t>
        </is>
      </c>
      <c r="E1047" s="4" t="inlineStr">
        <is>
          <t>P020</t>
        </is>
      </c>
      <c r="F1047" t="inlineStr">
        <is>
          <t>M</t>
        </is>
      </c>
      <c r="G1047" s="4" t="inlineStr">
        <is>
          <t>CH02</t>
        </is>
      </c>
      <c r="H1047" s="4" t="inlineStr">
        <is>
          <t>PR00</t>
        </is>
      </c>
      <c r="I1047" s="8" t="n">
        <v>64</v>
      </c>
      <c r="J1047" s="9" t="n">
        <v>0</v>
      </c>
      <c r="K1047" s="10">
        <f>I1047*(1-J1047)</f>
        <v/>
      </c>
      <c r="L1047" s="11" t="n">
        <v>1</v>
      </c>
      <c r="M1047" s="10">
        <f>K1047*L1047</f>
        <v/>
      </c>
      <c r="N1047" s="8" t="n">
        <v>30.68</v>
      </c>
      <c r="O1047" s="10">
        <f>N1047*L1047</f>
        <v/>
      </c>
      <c r="P1047" s="10">
        <f>M1047-O1047</f>
        <v/>
      </c>
      <c r="Q1047" s="11" t="inlineStr">
        <is>
          <t>No</t>
        </is>
      </c>
      <c r="R1047" s="11" t="n">
        <v>0</v>
      </c>
      <c r="S1047" s="10">
        <f>M1047-(R1047*K1047)</f>
        <v/>
      </c>
      <c r="T1047" s="12">
        <f>VLOOKUP(E1047,Dim_Product!$A$2:$Q$61,3,FALSE)</f>
        <v/>
      </c>
      <c r="U1047" s="12">
        <f>VLOOKUP(E1047,Dim_Product!$A$2:$Q$61,4,FALSE)</f>
        <v/>
      </c>
      <c r="V1047" s="12">
        <f>VLOOKUP(D1047,Dim_Customer!$A$2:$I$121,6,FALSE)</f>
        <v/>
      </c>
      <c r="W1047" s="12">
        <f>VLOOKUP(G1047,Dim_Channel!$A$2:$B$5,2,FALSE)</f>
        <v/>
      </c>
      <c r="X1047" s="12">
        <f>VLOOKUP(H1047,Dim_Promotion!$A$2:$G$11,2,FALSE)</f>
        <v/>
      </c>
    </row>
    <row r="1048">
      <c r="A1048" s="4" t="inlineStr">
        <is>
          <t>SL1047</t>
        </is>
      </c>
      <c r="B1048" t="inlineStr">
        <is>
          <t>O010524</t>
        </is>
      </c>
      <c r="C1048" t="n">
        <v>20251220</v>
      </c>
      <c r="D1048" s="4" t="inlineStr">
        <is>
          <t>C077</t>
        </is>
      </c>
      <c r="E1048" s="4" t="inlineStr">
        <is>
          <t>P050</t>
        </is>
      </c>
      <c r="F1048" t="inlineStr">
        <is>
          <t>S</t>
        </is>
      </c>
      <c r="G1048" s="4" t="inlineStr">
        <is>
          <t>CH02</t>
        </is>
      </c>
      <c r="H1048" s="4" t="inlineStr">
        <is>
          <t>PR00</t>
        </is>
      </c>
      <c r="I1048" s="8" t="n">
        <v>64</v>
      </c>
      <c r="J1048" s="9" t="n">
        <v>0</v>
      </c>
      <c r="K1048" s="10">
        <f>I1048*(1-J1048)</f>
        <v/>
      </c>
      <c r="L1048" s="11" t="n">
        <v>1</v>
      </c>
      <c r="M1048" s="10">
        <f>K1048*L1048</f>
        <v/>
      </c>
      <c r="N1048" s="8" t="n">
        <v>29.78</v>
      </c>
      <c r="O1048" s="10">
        <f>N1048*L1048</f>
        <v/>
      </c>
      <c r="P1048" s="10">
        <f>M1048-O1048</f>
        <v/>
      </c>
      <c r="Q1048" s="11" t="inlineStr">
        <is>
          <t>No</t>
        </is>
      </c>
      <c r="R1048" s="11" t="n">
        <v>0</v>
      </c>
      <c r="S1048" s="10">
        <f>M1048-(R1048*K1048)</f>
        <v/>
      </c>
      <c r="T1048" s="12">
        <f>VLOOKUP(E1048,Dim_Product!$A$2:$Q$61,3,FALSE)</f>
        <v/>
      </c>
      <c r="U1048" s="12">
        <f>VLOOKUP(E1048,Dim_Product!$A$2:$Q$61,4,FALSE)</f>
        <v/>
      </c>
      <c r="V1048" s="12">
        <f>VLOOKUP(D1048,Dim_Customer!$A$2:$I$121,6,FALSE)</f>
        <v/>
      </c>
      <c r="W1048" s="12">
        <f>VLOOKUP(G1048,Dim_Channel!$A$2:$B$5,2,FALSE)</f>
        <v/>
      </c>
      <c r="X1048" s="12">
        <f>VLOOKUP(H1048,Dim_Promotion!$A$2:$G$11,2,FALSE)</f>
        <v/>
      </c>
    </row>
    <row r="1049">
      <c r="A1049" s="4" t="inlineStr">
        <is>
          <t>SL1048</t>
        </is>
      </c>
      <c r="B1049" t="inlineStr">
        <is>
          <t>O010524</t>
        </is>
      </c>
      <c r="C1049" t="n">
        <v>20250409</v>
      </c>
      <c r="D1049" s="4" t="inlineStr">
        <is>
          <t>C040</t>
        </is>
      </c>
      <c r="E1049" s="4" t="inlineStr">
        <is>
          <t>P050</t>
        </is>
      </c>
      <c r="F1049" t="inlineStr">
        <is>
          <t>L</t>
        </is>
      </c>
      <c r="G1049" s="4" t="inlineStr">
        <is>
          <t>CH04</t>
        </is>
      </c>
      <c r="H1049" s="4" t="inlineStr">
        <is>
          <t>PR00</t>
        </is>
      </c>
      <c r="I1049" s="8" t="n">
        <v>68</v>
      </c>
      <c r="J1049" s="9" t="n">
        <v>0</v>
      </c>
      <c r="K1049" s="10">
        <f>I1049*(1-J1049)</f>
        <v/>
      </c>
      <c r="L1049" s="11" t="n">
        <v>2</v>
      </c>
      <c r="M1049" s="10">
        <f>K1049*L1049</f>
        <v/>
      </c>
      <c r="N1049" s="8" t="n">
        <v>30.38</v>
      </c>
      <c r="O1049" s="10">
        <f>N1049*L1049</f>
        <v/>
      </c>
      <c r="P1049" s="10">
        <f>M1049-O1049</f>
        <v/>
      </c>
      <c r="Q1049" s="11" t="inlineStr">
        <is>
          <t>No</t>
        </is>
      </c>
      <c r="R1049" s="11" t="n">
        <v>0</v>
      </c>
      <c r="S1049" s="10">
        <f>M1049-(R1049*K1049)</f>
        <v/>
      </c>
      <c r="T1049" s="12">
        <f>VLOOKUP(E1049,Dim_Product!$A$2:$Q$61,3,FALSE)</f>
        <v/>
      </c>
      <c r="U1049" s="12">
        <f>VLOOKUP(E1049,Dim_Product!$A$2:$Q$61,4,FALSE)</f>
        <v/>
      </c>
      <c r="V1049" s="12">
        <f>VLOOKUP(D1049,Dim_Customer!$A$2:$I$121,6,FALSE)</f>
        <v/>
      </c>
      <c r="W1049" s="12">
        <f>VLOOKUP(G1049,Dim_Channel!$A$2:$B$5,2,FALSE)</f>
        <v/>
      </c>
      <c r="X1049" s="12">
        <f>VLOOKUP(H1049,Dim_Promotion!$A$2:$G$11,2,FALSE)</f>
        <v/>
      </c>
    </row>
    <row r="1050">
      <c r="A1050" s="4" t="inlineStr">
        <is>
          <t>SL1049</t>
        </is>
      </c>
      <c r="B1050" t="inlineStr">
        <is>
          <t>O010525</t>
        </is>
      </c>
      <c r="C1050" t="n">
        <v>20250904</v>
      </c>
      <c r="D1050" s="4" t="inlineStr">
        <is>
          <t>C115</t>
        </is>
      </c>
      <c r="E1050" s="4" t="inlineStr">
        <is>
          <t>P017</t>
        </is>
      </c>
      <c r="F1050" t="inlineStr">
        <is>
          <t>XS</t>
        </is>
      </c>
      <c r="G1050" s="4" t="inlineStr">
        <is>
          <t>CH01</t>
        </is>
      </c>
      <c r="H1050" s="4" t="inlineStr">
        <is>
          <t>PR00</t>
        </is>
      </c>
      <c r="I1050" s="8" t="n">
        <v>66</v>
      </c>
      <c r="J1050" s="9" t="n">
        <v>0</v>
      </c>
      <c r="K1050" s="10">
        <f>I1050*(1-J1050)</f>
        <v/>
      </c>
      <c r="L1050" s="11" t="n">
        <v>3</v>
      </c>
      <c r="M1050" s="10">
        <f>K1050*L1050</f>
        <v/>
      </c>
      <c r="N1050" s="8" t="n">
        <v>32.49</v>
      </c>
      <c r="O1050" s="10">
        <f>N1050*L1050</f>
        <v/>
      </c>
      <c r="P1050" s="10">
        <f>M1050-O1050</f>
        <v/>
      </c>
      <c r="Q1050" s="11" t="inlineStr">
        <is>
          <t>No</t>
        </is>
      </c>
      <c r="R1050" s="11" t="n">
        <v>0</v>
      </c>
      <c r="S1050" s="10">
        <f>M1050-(R1050*K1050)</f>
        <v/>
      </c>
      <c r="T1050" s="12">
        <f>VLOOKUP(E1050,Dim_Product!$A$2:$Q$61,3,FALSE)</f>
        <v/>
      </c>
      <c r="U1050" s="12">
        <f>VLOOKUP(E1050,Dim_Product!$A$2:$Q$61,4,FALSE)</f>
        <v/>
      </c>
      <c r="V1050" s="12">
        <f>VLOOKUP(D1050,Dim_Customer!$A$2:$I$121,6,FALSE)</f>
        <v/>
      </c>
      <c r="W1050" s="12">
        <f>VLOOKUP(G1050,Dim_Channel!$A$2:$B$5,2,FALSE)</f>
        <v/>
      </c>
      <c r="X1050" s="12">
        <f>VLOOKUP(H1050,Dim_Promotion!$A$2:$G$11,2,FALSE)</f>
        <v/>
      </c>
    </row>
    <row r="1051">
      <c r="A1051" s="4" t="inlineStr">
        <is>
          <t>SL1050</t>
        </is>
      </c>
      <c r="B1051" t="inlineStr">
        <is>
          <t>O010525</t>
        </is>
      </c>
      <c r="C1051" t="n">
        <v>20250716</v>
      </c>
      <c r="D1051" s="4" t="inlineStr">
        <is>
          <t>C104</t>
        </is>
      </c>
      <c r="E1051" s="4" t="inlineStr">
        <is>
          <t>P015</t>
        </is>
      </c>
      <c r="F1051" t="inlineStr">
        <is>
          <t>L</t>
        </is>
      </c>
      <c r="G1051" s="4" t="inlineStr">
        <is>
          <t>CH03</t>
        </is>
      </c>
      <c r="H1051" s="4" t="inlineStr">
        <is>
          <t>PR00</t>
        </is>
      </c>
      <c r="I1051" s="8" t="n">
        <v>56</v>
      </c>
      <c r="J1051" s="9" t="n">
        <v>0</v>
      </c>
      <c r="K1051" s="10">
        <f>I1051*(1-J1051)</f>
        <v/>
      </c>
      <c r="L1051" s="11" t="n">
        <v>1</v>
      </c>
      <c r="M1051" s="10">
        <f>K1051*L1051</f>
        <v/>
      </c>
      <c r="N1051" s="8" t="n">
        <v>26.91</v>
      </c>
      <c r="O1051" s="10">
        <f>N1051*L1051</f>
        <v/>
      </c>
      <c r="P1051" s="10">
        <f>M1051-O1051</f>
        <v/>
      </c>
      <c r="Q1051" s="11" t="inlineStr">
        <is>
          <t>No</t>
        </is>
      </c>
      <c r="R1051" s="11" t="n">
        <v>0</v>
      </c>
      <c r="S1051" s="10">
        <f>M1051-(R1051*K1051)</f>
        <v/>
      </c>
      <c r="T1051" s="12">
        <f>VLOOKUP(E1051,Dim_Product!$A$2:$Q$61,3,FALSE)</f>
        <v/>
      </c>
      <c r="U1051" s="12">
        <f>VLOOKUP(E1051,Dim_Product!$A$2:$Q$61,4,FALSE)</f>
        <v/>
      </c>
      <c r="V1051" s="12">
        <f>VLOOKUP(D1051,Dim_Customer!$A$2:$I$121,6,FALSE)</f>
        <v/>
      </c>
      <c r="W1051" s="12">
        <f>VLOOKUP(G1051,Dim_Channel!$A$2:$B$5,2,FALSE)</f>
        <v/>
      </c>
      <c r="X1051" s="12">
        <f>VLOOKUP(H1051,Dim_Promotion!$A$2:$G$11,2,FALSE)</f>
        <v/>
      </c>
    </row>
    <row r="1052">
      <c r="A1052" s="4" t="inlineStr">
        <is>
          <t>SL1051</t>
        </is>
      </c>
      <c r="B1052" t="inlineStr">
        <is>
          <t>O010526</t>
        </is>
      </c>
      <c r="C1052" t="n">
        <v>20250226</v>
      </c>
      <c r="D1052" s="4" t="inlineStr">
        <is>
          <t>C003</t>
        </is>
      </c>
      <c r="E1052" s="4" t="inlineStr">
        <is>
          <t>P027</t>
        </is>
      </c>
      <c r="F1052" t="inlineStr">
        <is>
          <t>S</t>
        </is>
      </c>
      <c r="G1052" s="4" t="inlineStr">
        <is>
          <t>CH04</t>
        </is>
      </c>
      <c r="H1052" s="4" t="inlineStr">
        <is>
          <t>PR00</t>
        </is>
      </c>
      <c r="I1052" s="8" t="n">
        <v>93</v>
      </c>
      <c r="J1052" s="9" t="n">
        <v>0</v>
      </c>
      <c r="K1052" s="10">
        <f>I1052*(1-J1052)</f>
        <v/>
      </c>
      <c r="L1052" s="11" t="n">
        <v>4</v>
      </c>
      <c r="M1052" s="10">
        <f>K1052*L1052</f>
        <v/>
      </c>
      <c r="N1052" s="8" t="n">
        <v>44.11</v>
      </c>
      <c r="O1052" s="10">
        <f>N1052*L1052</f>
        <v/>
      </c>
      <c r="P1052" s="10">
        <f>M1052-O1052</f>
        <v/>
      </c>
      <c r="Q1052" s="11" t="inlineStr">
        <is>
          <t>No</t>
        </is>
      </c>
      <c r="R1052" s="11" t="n">
        <v>0</v>
      </c>
      <c r="S1052" s="10">
        <f>M1052-(R1052*K1052)</f>
        <v/>
      </c>
      <c r="T1052" s="12">
        <f>VLOOKUP(E1052,Dim_Product!$A$2:$Q$61,3,FALSE)</f>
        <v/>
      </c>
      <c r="U1052" s="12">
        <f>VLOOKUP(E1052,Dim_Product!$A$2:$Q$61,4,FALSE)</f>
        <v/>
      </c>
      <c r="V1052" s="12">
        <f>VLOOKUP(D1052,Dim_Customer!$A$2:$I$121,6,FALSE)</f>
        <v/>
      </c>
      <c r="W1052" s="12">
        <f>VLOOKUP(G1052,Dim_Channel!$A$2:$B$5,2,FALSE)</f>
        <v/>
      </c>
      <c r="X1052" s="12">
        <f>VLOOKUP(H1052,Dim_Promotion!$A$2:$G$11,2,FALSE)</f>
        <v/>
      </c>
    </row>
    <row r="1053">
      <c r="A1053" s="4" t="inlineStr">
        <is>
          <t>SL1052</t>
        </is>
      </c>
      <c r="B1053" t="inlineStr">
        <is>
          <t>O010526</t>
        </is>
      </c>
      <c r="C1053" t="n">
        <v>20250426</v>
      </c>
      <c r="D1053" s="4" t="inlineStr">
        <is>
          <t>C094</t>
        </is>
      </c>
      <c r="E1053" s="4" t="inlineStr">
        <is>
          <t>P046</t>
        </is>
      </c>
      <c r="F1053" t="inlineStr">
        <is>
          <t>M</t>
        </is>
      </c>
      <c r="G1053" s="4" t="inlineStr">
        <is>
          <t>CH01</t>
        </is>
      </c>
      <c r="H1053" s="4" t="inlineStr">
        <is>
          <t>PR00</t>
        </is>
      </c>
      <c r="I1053" s="8" t="n">
        <v>66</v>
      </c>
      <c r="J1053" s="9" t="n">
        <v>0</v>
      </c>
      <c r="K1053" s="10">
        <f>I1053*(1-J1053)</f>
        <v/>
      </c>
      <c r="L1053" s="11" t="n">
        <v>2</v>
      </c>
      <c r="M1053" s="10">
        <f>K1053*L1053</f>
        <v/>
      </c>
      <c r="N1053" s="8" t="n">
        <v>32.92</v>
      </c>
      <c r="O1053" s="10">
        <f>N1053*L1053</f>
        <v/>
      </c>
      <c r="P1053" s="10">
        <f>M1053-O1053</f>
        <v/>
      </c>
      <c r="Q1053" s="11" t="inlineStr">
        <is>
          <t>No</t>
        </is>
      </c>
      <c r="R1053" s="11" t="n">
        <v>0</v>
      </c>
      <c r="S1053" s="10">
        <f>M1053-(R1053*K1053)</f>
        <v/>
      </c>
      <c r="T1053" s="12">
        <f>VLOOKUP(E1053,Dim_Product!$A$2:$Q$61,3,FALSE)</f>
        <v/>
      </c>
      <c r="U1053" s="12">
        <f>VLOOKUP(E1053,Dim_Product!$A$2:$Q$61,4,FALSE)</f>
        <v/>
      </c>
      <c r="V1053" s="12">
        <f>VLOOKUP(D1053,Dim_Customer!$A$2:$I$121,6,FALSE)</f>
        <v/>
      </c>
      <c r="W1053" s="12">
        <f>VLOOKUP(G1053,Dim_Channel!$A$2:$B$5,2,FALSE)</f>
        <v/>
      </c>
      <c r="X1053" s="12">
        <f>VLOOKUP(H1053,Dim_Promotion!$A$2:$G$11,2,FALSE)</f>
        <v/>
      </c>
    </row>
    <row r="1054">
      <c r="A1054" s="4" t="inlineStr">
        <is>
          <t>SL1053</t>
        </is>
      </c>
      <c r="B1054" t="inlineStr">
        <is>
          <t>O010527</t>
        </is>
      </c>
      <c r="C1054" t="n">
        <v>20251214</v>
      </c>
      <c r="D1054" s="4" t="inlineStr">
        <is>
          <t>C117</t>
        </is>
      </c>
      <c r="E1054" s="4" t="inlineStr">
        <is>
          <t>P034</t>
        </is>
      </c>
      <c r="F1054" t="inlineStr">
        <is>
          <t>L</t>
        </is>
      </c>
      <c r="G1054" s="4" t="inlineStr">
        <is>
          <t>CH04</t>
        </is>
      </c>
      <c r="H1054" s="4" t="inlineStr">
        <is>
          <t>PR00</t>
        </is>
      </c>
      <c r="I1054" s="8" t="n">
        <v>92</v>
      </c>
      <c r="J1054" s="9" t="n">
        <v>0</v>
      </c>
      <c r="K1054" s="10">
        <f>I1054*(1-J1054)</f>
        <v/>
      </c>
      <c r="L1054" s="11" t="n">
        <v>1</v>
      </c>
      <c r="M1054" s="10">
        <f>K1054*L1054</f>
        <v/>
      </c>
      <c r="N1054" s="8" t="n">
        <v>45.7</v>
      </c>
      <c r="O1054" s="10">
        <f>N1054*L1054</f>
        <v/>
      </c>
      <c r="P1054" s="10">
        <f>M1054-O1054</f>
        <v/>
      </c>
      <c r="Q1054" s="11" t="inlineStr">
        <is>
          <t>No</t>
        </is>
      </c>
      <c r="R1054" s="11" t="n">
        <v>0</v>
      </c>
      <c r="S1054" s="10">
        <f>M1054-(R1054*K1054)</f>
        <v/>
      </c>
      <c r="T1054" s="12">
        <f>VLOOKUP(E1054,Dim_Product!$A$2:$Q$61,3,FALSE)</f>
        <v/>
      </c>
      <c r="U1054" s="12">
        <f>VLOOKUP(E1054,Dim_Product!$A$2:$Q$61,4,FALSE)</f>
        <v/>
      </c>
      <c r="V1054" s="12">
        <f>VLOOKUP(D1054,Dim_Customer!$A$2:$I$121,6,FALSE)</f>
        <v/>
      </c>
      <c r="W1054" s="12">
        <f>VLOOKUP(G1054,Dim_Channel!$A$2:$B$5,2,FALSE)</f>
        <v/>
      </c>
      <c r="X1054" s="12">
        <f>VLOOKUP(H1054,Dim_Promotion!$A$2:$G$11,2,FALSE)</f>
        <v/>
      </c>
    </row>
    <row r="1055">
      <c r="A1055" s="4" t="inlineStr">
        <is>
          <t>SL1054</t>
        </is>
      </c>
      <c r="B1055" t="inlineStr">
        <is>
          <t>O010527</t>
        </is>
      </c>
      <c r="C1055" t="n">
        <v>20250309</v>
      </c>
      <c r="D1055" s="4" t="inlineStr">
        <is>
          <t>C089</t>
        </is>
      </c>
      <c r="E1055" s="4" t="inlineStr">
        <is>
          <t>P007</t>
        </is>
      </c>
      <c r="F1055" t="inlineStr">
        <is>
          <t>L</t>
        </is>
      </c>
      <c r="G1055" s="4" t="inlineStr">
        <is>
          <t>CH01</t>
        </is>
      </c>
      <c r="H1055" s="4" t="inlineStr">
        <is>
          <t>PR03</t>
        </is>
      </c>
      <c r="I1055" s="8" t="n">
        <v>50</v>
      </c>
      <c r="J1055" s="9" t="n">
        <v>0.08</v>
      </c>
      <c r="K1055" s="10">
        <f>I1055*(1-J1055)</f>
        <v/>
      </c>
      <c r="L1055" s="11" t="n">
        <v>1</v>
      </c>
      <c r="M1055" s="10">
        <f>K1055*L1055</f>
        <v/>
      </c>
      <c r="N1055" s="8" t="n">
        <v>21.86</v>
      </c>
      <c r="O1055" s="10">
        <f>N1055*L1055</f>
        <v/>
      </c>
      <c r="P1055" s="10">
        <f>M1055-O1055</f>
        <v/>
      </c>
      <c r="Q1055" s="11" t="inlineStr">
        <is>
          <t>No</t>
        </is>
      </c>
      <c r="R1055" s="11" t="n">
        <v>0</v>
      </c>
      <c r="S1055" s="10">
        <f>M1055-(R1055*K1055)</f>
        <v/>
      </c>
      <c r="T1055" s="12">
        <f>VLOOKUP(E1055,Dim_Product!$A$2:$Q$61,3,FALSE)</f>
        <v/>
      </c>
      <c r="U1055" s="12">
        <f>VLOOKUP(E1055,Dim_Product!$A$2:$Q$61,4,FALSE)</f>
        <v/>
      </c>
      <c r="V1055" s="12">
        <f>VLOOKUP(D1055,Dim_Customer!$A$2:$I$121,6,FALSE)</f>
        <v/>
      </c>
      <c r="W1055" s="12">
        <f>VLOOKUP(G1055,Dim_Channel!$A$2:$B$5,2,FALSE)</f>
        <v/>
      </c>
      <c r="X1055" s="12">
        <f>VLOOKUP(H1055,Dim_Promotion!$A$2:$G$11,2,FALSE)</f>
        <v/>
      </c>
    </row>
    <row r="1056">
      <c r="A1056" s="4" t="inlineStr">
        <is>
          <t>SL1055</t>
        </is>
      </c>
      <c r="B1056" t="inlineStr">
        <is>
          <t>O010528</t>
        </is>
      </c>
      <c r="C1056" t="n">
        <v>20250103</v>
      </c>
      <c r="D1056" s="4" t="inlineStr">
        <is>
          <t>C088</t>
        </is>
      </c>
      <c r="E1056" s="4" t="inlineStr">
        <is>
          <t>P015</t>
        </is>
      </c>
      <c r="F1056" t="inlineStr">
        <is>
          <t>S</t>
        </is>
      </c>
      <c r="G1056" s="4" t="inlineStr">
        <is>
          <t>CH02</t>
        </is>
      </c>
      <c r="H1056" s="4" t="inlineStr">
        <is>
          <t>PR00</t>
        </is>
      </c>
      <c r="I1056" s="8" t="n">
        <v>54</v>
      </c>
      <c r="J1056" s="9" t="n">
        <v>0</v>
      </c>
      <c r="K1056" s="10">
        <f>I1056*(1-J1056)</f>
        <v/>
      </c>
      <c r="L1056" s="11" t="n">
        <v>1</v>
      </c>
      <c r="M1056" s="10">
        <f>K1056*L1056</f>
        <v/>
      </c>
      <c r="N1056" s="8" t="n">
        <v>26.01</v>
      </c>
      <c r="O1056" s="10">
        <f>N1056*L1056</f>
        <v/>
      </c>
      <c r="P1056" s="10">
        <f>M1056-O1056</f>
        <v/>
      </c>
      <c r="Q1056" s="11" t="inlineStr">
        <is>
          <t>No</t>
        </is>
      </c>
      <c r="R1056" s="11" t="n">
        <v>0</v>
      </c>
      <c r="S1056" s="10">
        <f>M1056-(R1056*K1056)</f>
        <v/>
      </c>
      <c r="T1056" s="12">
        <f>VLOOKUP(E1056,Dim_Product!$A$2:$Q$61,3,FALSE)</f>
        <v/>
      </c>
      <c r="U1056" s="12">
        <f>VLOOKUP(E1056,Dim_Product!$A$2:$Q$61,4,FALSE)</f>
        <v/>
      </c>
      <c r="V1056" s="12">
        <f>VLOOKUP(D1056,Dim_Customer!$A$2:$I$121,6,FALSE)</f>
        <v/>
      </c>
      <c r="W1056" s="12">
        <f>VLOOKUP(G1056,Dim_Channel!$A$2:$B$5,2,FALSE)</f>
        <v/>
      </c>
      <c r="X1056" s="12">
        <f>VLOOKUP(H1056,Dim_Promotion!$A$2:$G$11,2,FALSE)</f>
        <v/>
      </c>
    </row>
    <row r="1057">
      <c r="A1057" s="4" t="inlineStr">
        <is>
          <t>SL1056</t>
        </is>
      </c>
      <c r="B1057" t="inlineStr">
        <is>
          <t>O010528</t>
        </is>
      </c>
      <c r="C1057" t="n">
        <v>20250321</v>
      </c>
      <c r="D1057" s="4" t="inlineStr">
        <is>
          <t>C101</t>
        </is>
      </c>
      <c r="E1057" s="4" t="inlineStr">
        <is>
          <t>P007</t>
        </is>
      </c>
      <c r="F1057" t="inlineStr">
        <is>
          <t>XL</t>
        </is>
      </c>
      <c r="G1057" s="4" t="inlineStr">
        <is>
          <t>CH01</t>
        </is>
      </c>
      <c r="H1057" s="4" t="inlineStr">
        <is>
          <t>PR00</t>
        </is>
      </c>
      <c r="I1057" s="8" t="n">
        <v>50</v>
      </c>
      <c r="J1057" s="9" t="n">
        <v>0</v>
      </c>
      <c r="K1057" s="10">
        <f>I1057*(1-J1057)</f>
        <v/>
      </c>
      <c r="L1057" s="11" t="n">
        <v>2</v>
      </c>
      <c r="M1057" s="10">
        <f>K1057*L1057</f>
        <v/>
      </c>
      <c r="N1057" s="8" t="n">
        <v>21.75</v>
      </c>
      <c r="O1057" s="10">
        <f>N1057*L1057</f>
        <v/>
      </c>
      <c r="P1057" s="10">
        <f>M1057-O1057</f>
        <v/>
      </c>
      <c r="Q1057" s="11" t="inlineStr">
        <is>
          <t>No</t>
        </is>
      </c>
      <c r="R1057" s="11" t="n">
        <v>0</v>
      </c>
      <c r="S1057" s="10">
        <f>M1057-(R1057*K1057)</f>
        <v/>
      </c>
      <c r="T1057" s="12">
        <f>VLOOKUP(E1057,Dim_Product!$A$2:$Q$61,3,FALSE)</f>
        <v/>
      </c>
      <c r="U1057" s="12">
        <f>VLOOKUP(E1057,Dim_Product!$A$2:$Q$61,4,FALSE)</f>
        <v/>
      </c>
      <c r="V1057" s="12">
        <f>VLOOKUP(D1057,Dim_Customer!$A$2:$I$121,6,FALSE)</f>
        <v/>
      </c>
      <c r="W1057" s="12">
        <f>VLOOKUP(G1057,Dim_Channel!$A$2:$B$5,2,FALSE)</f>
        <v/>
      </c>
      <c r="X1057" s="12">
        <f>VLOOKUP(H1057,Dim_Promotion!$A$2:$G$11,2,FALSE)</f>
        <v/>
      </c>
    </row>
    <row r="1058">
      <c r="A1058" s="4" t="inlineStr">
        <is>
          <t>SL1057</t>
        </is>
      </c>
      <c r="B1058" t="inlineStr">
        <is>
          <t>O010529</t>
        </is>
      </c>
      <c r="C1058" t="n">
        <v>20250322</v>
      </c>
      <c r="D1058" s="4" t="inlineStr">
        <is>
          <t>C110</t>
        </is>
      </c>
      <c r="E1058" s="4" t="inlineStr">
        <is>
          <t>P057</t>
        </is>
      </c>
      <c r="F1058" t="inlineStr">
        <is>
          <t>L</t>
        </is>
      </c>
      <c r="G1058" s="4" t="inlineStr">
        <is>
          <t>CH01</t>
        </is>
      </c>
      <c r="H1058" s="4" t="inlineStr">
        <is>
          <t>PR00</t>
        </is>
      </c>
      <c r="I1058" s="8" t="n">
        <v>74</v>
      </c>
      <c r="J1058" s="9" t="n">
        <v>0.08</v>
      </c>
      <c r="K1058" s="10">
        <f>I1058*(1-J1058)</f>
        <v/>
      </c>
      <c r="L1058" s="11" t="n">
        <v>1</v>
      </c>
      <c r="M1058" s="10">
        <f>K1058*L1058</f>
        <v/>
      </c>
      <c r="N1058" s="8" t="n">
        <v>36.17</v>
      </c>
      <c r="O1058" s="10">
        <f>N1058*L1058</f>
        <v/>
      </c>
      <c r="P1058" s="10">
        <f>M1058-O1058</f>
        <v/>
      </c>
      <c r="Q1058" s="11" t="inlineStr">
        <is>
          <t>Yes</t>
        </is>
      </c>
      <c r="R1058" s="11" t="n">
        <v>1</v>
      </c>
      <c r="S1058" s="10">
        <f>M1058-(R1058*K1058)</f>
        <v/>
      </c>
      <c r="T1058" s="12">
        <f>VLOOKUP(E1058,Dim_Product!$A$2:$Q$61,3,FALSE)</f>
        <v/>
      </c>
      <c r="U1058" s="12">
        <f>VLOOKUP(E1058,Dim_Product!$A$2:$Q$61,4,FALSE)</f>
        <v/>
      </c>
      <c r="V1058" s="12">
        <f>VLOOKUP(D1058,Dim_Customer!$A$2:$I$121,6,FALSE)</f>
        <v/>
      </c>
      <c r="W1058" s="12">
        <f>VLOOKUP(G1058,Dim_Channel!$A$2:$B$5,2,FALSE)</f>
        <v/>
      </c>
      <c r="X1058" s="12">
        <f>VLOOKUP(H1058,Dim_Promotion!$A$2:$G$11,2,FALSE)</f>
        <v/>
      </c>
    </row>
    <row r="1059">
      <c r="A1059" s="4" t="inlineStr">
        <is>
          <t>SL1058</t>
        </is>
      </c>
      <c r="B1059" t="inlineStr">
        <is>
          <t>O010529</t>
        </is>
      </c>
      <c r="C1059" t="n">
        <v>20250707</v>
      </c>
      <c r="D1059" s="4" t="inlineStr">
        <is>
          <t>C053</t>
        </is>
      </c>
      <c r="E1059" s="4" t="inlineStr">
        <is>
          <t>P006</t>
        </is>
      </c>
      <c r="F1059" t="inlineStr">
        <is>
          <t>M</t>
        </is>
      </c>
      <c r="G1059" s="4" t="inlineStr">
        <is>
          <t>CH02</t>
        </is>
      </c>
      <c r="H1059" s="4" t="inlineStr">
        <is>
          <t>PR04</t>
        </is>
      </c>
      <c r="I1059" s="8" t="n">
        <v>47</v>
      </c>
      <c r="J1059" s="9" t="n">
        <v>0.12</v>
      </c>
      <c r="K1059" s="10">
        <f>I1059*(1-J1059)</f>
        <v/>
      </c>
      <c r="L1059" s="11" t="n">
        <v>2</v>
      </c>
      <c r="M1059" s="10">
        <f>K1059*L1059</f>
        <v/>
      </c>
      <c r="N1059" s="8" t="n">
        <v>21.25</v>
      </c>
      <c r="O1059" s="10">
        <f>N1059*L1059</f>
        <v/>
      </c>
      <c r="P1059" s="10">
        <f>M1059-O1059</f>
        <v/>
      </c>
      <c r="Q1059" s="11" t="inlineStr">
        <is>
          <t>No</t>
        </is>
      </c>
      <c r="R1059" s="11" t="n">
        <v>0</v>
      </c>
      <c r="S1059" s="10">
        <f>M1059-(R1059*K1059)</f>
        <v/>
      </c>
      <c r="T1059" s="12">
        <f>VLOOKUP(E1059,Dim_Product!$A$2:$Q$61,3,FALSE)</f>
        <v/>
      </c>
      <c r="U1059" s="12">
        <f>VLOOKUP(E1059,Dim_Product!$A$2:$Q$61,4,FALSE)</f>
        <v/>
      </c>
      <c r="V1059" s="12">
        <f>VLOOKUP(D1059,Dim_Customer!$A$2:$I$121,6,FALSE)</f>
        <v/>
      </c>
      <c r="W1059" s="12">
        <f>VLOOKUP(G1059,Dim_Channel!$A$2:$B$5,2,FALSE)</f>
        <v/>
      </c>
      <c r="X1059" s="12">
        <f>VLOOKUP(H1059,Dim_Promotion!$A$2:$G$11,2,FALSE)</f>
        <v/>
      </c>
    </row>
    <row r="1060">
      <c r="A1060" s="4" t="inlineStr">
        <is>
          <t>SL1059</t>
        </is>
      </c>
      <c r="B1060" t="inlineStr">
        <is>
          <t>O010530</t>
        </is>
      </c>
      <c r="C1060" t="n">
        <v>20250521</v>
      </c>
      <c r="D1060" s="4" t="inlineStr">
        <is>
          <t>C029</t>
        </is>
      </c>
      <c r="E1060" s="4" t="inlineStr">
        <is>
          <t>P015</t>
        </is>
      </c>
      <c r="F1060" t="inlineStr">
        <is>
          <t>M</t>
        </is>
      </c>
      <c r="G1060" s="4" t="inlineStr">
        <is>
          <t>CH01</t>
        </is>
      </c>
      <c r="H1060" s="4" t="inlineStr">
        <is>
          <t>PR00</t>
        </is>
      </c>
      <c r="I1060" s="8" t="n">
        <v>54</v>
      </c>
      <c r="J1060" s="9" t="n">
        <v>0</v>
      </c>
      <c r="K1060" s="10">
        <f>I1060*(1-J1060)</f>
        <v/>
      </c>
      <c r="L1060" s="11" t="n">
        <v>2</v>
      </c>
      <c r="M1060" s="10">
        <f>K1060*L1060</f>
        <v/>
      </c>
      <c r="N1060" s="8" t="n">
        <v>26.49</v>
      </c>
      <c r="O1060" s="10">
        <f>N1060*L1060</f>
        <v/>
      </c>
      <c r="P1060" s="10">
        <f>M1060-O1060</f>
        <v/>
      </c>
      <c r="Q1060" s="11" t="inlineStr">
        <is>
          <t>No</t>
        </is>
      </c>
      <c r="R1060" s="11" t="n">
        <v>0</v>
      </c>
      <c r="S1060" s="10">
        <f>M1060-(R1060*K1060)</f>
        <v/>
      </c>
      <c r="T1060" s="12">
        <f>VLOOKUP(E1060,Dim_Product!$A$2:$Q$61,3,FALSE)</f>
        <v/>
      </c>
      <c r="U1060" s="12">
        <f>VLOOKUP(E1060,Dim_Product!$A$2:$Q$61,4,FALSE)</f>
        <v/>
      </c>
      <c r="V1060" s="12">
        <f>VLOOKUP(D1060,Dim_Customer!$A$2:$I$121,6,FALSE)</f>
        <v/>
      </c>
      <c r="W1060" s="12">
        <f>VLOOKUP(G1060,Dim_Channel!$A$2:$B$5,2,FALSE)</f>
        <v/>
      </c>
      <c r="X1060" s="12">
        <f>VLOOKUP(H1060,Dim_Promotion!$A$2:$G$11,2,FALSE)</f>
        <v/>
      </c>
    </row>
    <row r="1061">
      <c r="A1061" s="4" t="inlineStr">
        <is>
          <t>SL1060</t>
        </is>
      </c>
      <c r="B1061" t="inlineStr">
        <is>
          <t>O010530</t>
        </is>
      </c>
      <c r="C1061" t="n">
        <v>20251218</v>
      </c>
      <c r="D1061" s="4" t="inlineStr">
        <is>
          <t>C066</t>
        </is>
      </c>
      <c r="E1061" s="4" t="inlineStr">
        <is>
          <t>P038</t>
        </is>
      </c>
      <c r="F1061" t="inlineStr">
        <is>
          <t>S</t>
        </is>
      </c>
      <c r="G1061" s="4" t="inlineStr">
        <is>
          <t>CH01</t>
        </is>
      </c>
      <c r="H1061" s="4" t="inlineStr">
        <is>
          <t>PR00</t>
        </is>
      </c>
      <c r="I1061" s="8" t="n">
        <v>75</v>
      </c>
      <c r="J1061" s="9" t="n">
        <v>0.08</v>
      </c>
      <c r="K1061" s="10">
        <f>I1061*(1-J1061)</f>
        <v/>
      </c>
      <c r="L1061" s="11" t="n">
        <v>1</v>
      </c>
      <c r="M1061" s="10">
        <f>K1061*L1061</f>
        <v/>
      </c>
      <c r="N1061" s="8" t="n">
        <v>33.46</v>
      </c>
      <c r="O1061" s="10">
        <f>N1061*L1061</f>
        <v/>
      </c>
      <c r="P1061" s="10">
        <f>M1061-O1061</f>
        <v/>
      </c>
      <c r="Q1061" s="11" t="inlineStr">
        <is>
          <t>No</t>
        </is>
      </c>
      <c r="R1061" s="11" t="n">
        <v>0</v>
      </c>
      <c r="S1061" s="10">
        <f>M1061-(R1061*K1061)</f>
        <v/>
      </c>
      <c r="T1061" s="12">
        <f>VLOOKUP(E1061,Dim_Product!$A$2:$Q$61,3,FALSE)</f>
        <v/>
      </c>
      <c r="U1061" s="12">
        <f>VLOOKUP(E1061,Dim_Product!$A$2:$Q$61,4,FALSE)</f>
        <v/>
      </c>
      <c r="V1061" s="12">
        <f>VLOOKUP(D1061,Dim_Customer!$A$2:$I$121,6,FALSE)</f>
        <v/>
      </c>
      <c r="W1061" s="12">
        <f>VLOOKUP(G1061,Dim_Channel!$A$2:$B$5,2,FALSE)</f>
        <v/>
      </c>
      <c r="X1061" s="12">
        <f>VLOOKUP(H1061,Dim_Promotion!$A$2:$G$11,2,FALSE)</f>
        <v/>
      </c>
    </row>
    <row r="1062">
      <c r="A1062" s="4" t="inlineStr">
        <is>
          <t>SL1061</t>
        </is>
      </c>
      <c r="B1062" t="inlineStr">
        <is>
          <t>O010531</t>
        </is>
      </c>
      <c r="C1062" t="n">
        <v>20250410</v>
      </c>
      <c r="D1062" s="4" t="inlineStr">
        <is>
          <t>C033</t>
        </is>
      </c>
      <c r="E1062" s="4" t="inlineStr">
        <is>
          <t>P048</t>
        </is>
      </c>
      <c r="F1062" t="inlineStr">
        <is>
          <t>M</t>
        </is>
      </c>
      <c r="G1062" s="4" t="inlineStr">
        <is>
          <t>CH02</t>
        </is>
      </c>
      <c r="H1062" s="4" t="inlineStr">
        <is>
          <t>PR00</t>
        </is>
      </c>
      <c r="I1062" s="8" t="n">
        <v>70</v>
      </c>
      <c r="J1062" s="9" t="n">
        <v>0</v>
      </c>
      <c r="K1062" s="10">
        <f>I1062*(1-J1062)</f>
        <v/>
      </c>
      <c r="L1062" s="11" t="n">
        <v>3</v>
      </c>
      <c r="M1062" s="10">
        <f>K1062*L1062</f>
        <v/>
      </c>
      <c r="N1062" s="8" t="n">
        <v>33.58</v>
      </c>
      <c r="O1062" s="10">
        <f>N1062*L1062</f>
        <v/>
      </c>
      <c r="P1062" s="10">
        <f>M1062-O1062</f>
        <v/>
      </c>
      <c r="Q1062" s="11" t="inlineStr">
        <is>
          <t>No</t>
        </is>
      </c>
      <c r="R1062" s="11" t="n">
        <v>0</v>
      </c>
      <c r="S1062" s="10">
        <f>M1062-(R1062*K1062)</f>
        <v/>
      </c>
      <c r="T1062" s="12">
        <f>VLOOKUP(E1062,Dim_Product!$A$2:$Q$61,3,FALSE)</f>
        <v/>
      </c>
      <c r="U1062" s="12">
        <f>VLOOKUP(E1062,Dim_Product!$A$2:$Q$61,4,FALSE)</f>
        <v/>
      </c>
      <c r="V1062" s="12">
        <f>VLOOKUP(D1062,Dim_Customer!$A$2:$I$121,6,FALSE)</f>
        <v/>
      </c>
      <c r="W1062" s="12">
        <f>VLOOKUP(G1062,Dim_Channel!$A$2:$B$5,2,FALSE)</f>
        <v/>
      </c>
      <c r="X1062" s="12">
        <f>VLOOKUP(H1062,Dim_Promotion!$A$2:$G$11,2,FALSE)</f>
        <v/>
      </c>
    </row>
    <row r="1063">
      <c r="A1063" s="4" t="inlineStr">
        <is>
          <t>SL1062</t>
        </is>
      </c>
      <c r="B1063" t="inlineStr">
        <is>
          <t>O010531</t>
        </is>
      </c>
      <c r="C1063" t="n">
        <v>20250101</v>
      </c>
      <c r="D1063" s="4" t="inlineStr">
        <is>
          <t>C042</t>
        </is>
      </c>
      <c r="E1063" s="4" t="inlineStr">
        <is>
          <t>P024</t>
        </is>
      </c>
      <c r="F1063" t="inlineStr">
        <is>
          <t>L</t>
        </is>
      </c>
      <c r="G1063" s="4" t="inlineStr">
        <is>
          <t>CH02</t>
        </is>
      </c>
      <c r="H1063" s="4" t="inlineStr">
        <is>
          <t>PR00</t>
        </is>
      </c>
      <c r="I1063" s="8" t="n">
        <v>61</v>
      </c>
      <c r="J1063" s="9" t="n">
        <v>0</v>
      </c>
      <c r="K1063" s="10">
        <f>I1063*(1-J1063)</f>
        <v/>
      </c>
      <c r="L1063" s="11" t="n">
        <v>1</v>
      </c>
      <c r="M1063" s="10">
        <f>K1063*L1063</f>
        <v/>
      </c>
      <c r="N1063" s="8" t="n">
        <v>27.76</v>
      </c>
      <c r="O1063" s="10">
        <f>N1063*L1063</f>
        <v/>
      </c>
      <c r="P1063" s="10">
        <f>M1063-O1063</f>
        <v/>
      </c>
      <c r="Q1063" s="11" t="inlineStr">
        <is>
          <t>No</t>
        </is>
      </c>
      <c r="R1063" s="11" t="n">
        <v>0</v>
      </c>
      <c r="S1063" s="10">
        <f>M1063-(R1063*K1063)</f>
        <v/>
      </c>
      <c r="T1063" s="12">
        <f>VLOOKUP(E1063,Dim_Product!$A$2:$Q$61,3,FALSE)</f>
        <v/>
      </c>
      <c r="U1063" s="12">
        <f>VLOOKUP(E1063,Dim_Product!$A$2:$Q$61,4,FALSE)</f>
        <v/>
      </c>
      <c r="V1063" s="12">
        <f>VLOOKUP(D1063,Dim_Customer!$A$2:$I$121,6,FALSE)</f>
        <v/>
      </c>
      <c r="W1063" s="12">
        <f>VLOOKUP(G1063,Dim_Channel!$A$2:$B$5,2,FALSE)</f>
        <v/>
      </c>
      <c r="X1063" s="12">
        <f>VLOOKUP(H1063,Dim_Promotion!$A$2:$G$11,2,FALSE)</f>
        <v/>
      </c>
    </row>
    <row r="1064">
      <c r="A1064" s="4" t="inlineStr">
        <is>
          <t>SL1063</t>
        </is>
      </c>
      <c r="B1064" t="inlineStr">
        <is>
          <t>O010532</t>
        </is>
      </c>
      <c r="C1064" t="n">
        <v>20250922</v>
      </c>
      <c r="D1064" s="4" t="inlineStr">
        <is>
          <t>C108</t>
        </is>
      </c>
      <c r="E1064" s="4" t="inlineStr">
        <is>
          <t>P058</t>
        </is>
      </c>
      <c r="F1064" t="inlineStr">
        <is>
          <t>M</t>
        </is>
      </c>
      <c r="G1064" s="4" t="inlineStr">
        <is>
          <t>CH01</t>
        </is>
      </c>
      <c r="H1064" s="4" t="inlineStr">
        <is>
          <t>PR00</t>
        </is>
      </c>
      <c r="I1064" s="8" t="n">
        <v>74</v>
      </c>
      <c r="J1064" s="9" t="n">
        <v>0</v>
      </c>
      <c r="K1064" s="10">
        <f>I1064*(1-J1064)</f>
        <v/>
      </c>
      <c r="L1064" s="11" t="n">
        <v>1</v>
      </c>
      <c r="M1064" s="10">
        <f>K1064*L1064</f>
        <v/>
      </c>
      <c r="N1064" s="8" t="n">
        <v>36.01</v>
      </c>
      <c r="O1064" s="10">
        <f>N1064*L1064</f>
        <v/>
      </c>
      <c r="P1064" s="10">
        <f>M1064-O1064</f>
        <v/>
      </c>
      <c r="Q1064" s="11" t="inlineStr">
        <is>
          <t>No</t>
        </is>
      </c>
      <c r="R1064" s="11" t="n">
        <v>0</v>
      </c>
      <c r="S1064" s="10">
        <f>M1064-(R1064*K1064)</f>
        <v/>
      </c>
      <c r="T1064" s="12">
        <f>VLOOKUP(E1064,Dim_Product!$A$2:$Q$61,3,FALSE)</f>
        <v/>
      </c>
      <c r="U1064" s="12">
        <f>VLOOKUP(E1064,Dim_Product!$A$2:$Q$61,4,FALSE)</f>
        <v/>
      </c>
      <c r="V1064" s="12">
        <f>VLOOKUP(D1064,Dim_Customer!$A$2:$I$121,6,FALSE)</f>
        <v/>
      </c>
      <c r="W1064" s="12">
        <f>VLOOKUP(G1064,Dim_Channel!$A$2:$B$5,2,FALSE)</f>
        <v/>
      </c>
      <c r="X1064" s="12">
        <f>VLOOKUP(H1064,Dim_Promotion!$A$2:$G$11,2,FALSE)</f>
        <v/>
      </c>
    </row>
    <row r="1065">
      <c r="A1065" s="4" t="inlineStr">
        <is>
          <t>SL1064</t>
        </is>
      </c>
      <c r="B1065" t="inlineStr">
        <is>
          <t>O010532</t>
        </is>
      </c>
      <c r="C1065" t="n">
        <v>20250411</v>
      </c>
      <c r="D1065" s="4" t="inlineStr">
        <is>
          <t>C064</t>
        </is>
      </c>
      <c r="E1065" s="4" t="inlineStr">
        <is>
          <t>P002</t>
        </is>
      </c>
      <c r="F1065" t="inlineStr">
        <is>
          <t>L</t>
        </is>
      </c>
      <c r="G1065" s="4" t="inlineStr">
        <is>
          <t>CH01</t>
        </is>
      </c>
      <c r="H1065" s="4" t="inlineStr">
        <is>
          <t>PR00</t>
        </is>
      </c>
      <c r="I1065" s="8" t="n">
        <v>41</v>
      </c>
      <c r="J1065" s="9" t="n">
        <v>0.08</v>
      </c>
      <c r="K1065" s="10">
        <f>I1065*(1-J1065)</f>
        <v/>
      </c>
      <c r="L1065" s="11" t="n">
        <v>1</v>
      </c>
      <c r="M1065" s="10">
        <f>K1065*L1065</f>
        <v/>
      </c>
      <c r="N1065" s="8" t="n">
        <v>17.41</v>
      </c>
      <c r="O1065" s="10">
        <f>N1065*L1065</f>
        <v/>
      </c>
      <c r="P1065" s="10">
        <f>M1065-O1065</f>
        <v/>
      </c>
      <c r="Q1065" s="11" t="inlineStr">
        <is>
          <t>No</t>
        </is>
      </c>
      <c r="R1065" s="11" t="n">
        <v>0</v>
      </c>
      <c r="S1065" s="10">
        <f>M1065-(R1065*K1065)</f>
        <v/>
      </c>
      <c r="T1065" s="12">
        <f>VLOOKUP(E1065,Dim_Product!$A$2:$Q$61,3,FALSE)</f>
        <v/>
      </c>
      <c r="U1065" s="12">
        <f>VLOOKUP(E1065,Dim_Product!$A$2:$Q$61,4,FALSE)</f>
        <v/>
      </c>
      <c r="V1065" s="12">
        <f>VLOOKUP(D1065,Dim_Customer!$A$2:$I$121,6,FALSE)</f>
        <v/>
      </c>
      <c r="W1065" s="12">
        <f>VLOOKUP(G1065,Dim_Channel!$A$2:$B$5,2,FALSE)</f>
        <v/>
      </c>
      <c r="X1065" s="12">
        <f>VLOOKUP(H1065,Dim_Promotion!$A$2:$G$11,2,FALSE)</f>
        <v/>
      </c>
    </row>
    <row r="1066">
      <c r="A1066" s="4" t="inlineStr">
        <is>
          <t>SL1065</t>
        </is>
      </c>
      <c r="B1066" t="inlineStr">
        <is>
          <t>O010533</t>
        </is>
      </c>
      <c r="C1066" t="n">
        <v>20251218</v>
      </c>
      <c r="D1066" s="4" t="inlineStr">
        <is>
          <t>C057</t>
        </is>
      </c>
      <c r="E1066" s="4" t="inlineStr">
        <is>
          <t>P042</t>
        </is>
      </c>
      <c r="F1066" t="inlineStr">
        <is>
          <t>S</t>
        </is>
      </c>
      <c r="G1066" s="4" t="inlineStr">
        <is>
          <t>CH03</t>
        </is>
      </c>
      <c r="H1066" s="4" t="inlineStr">
        <is>
          <t>PR00</t>
        </is>
      </c>
      <c r="I1066" s="8" t="n">
        <v>74</v>
      </c>
      <c r="J1066" s="9" t="n">
        <v>0</v>
      </c>
      <c r="K1066" s="10">
        <f>I1066*(1-J1066)</f>
        <v/>
      </c>
      <c r="L1066" s="11" t="n">
        <v>2</v>
      </c>
      <c r="M1066" s="10">
        <f>K1066*L1066</f>
        <v/>
      </c>
      <c r="N1066" s="8" t="n">
        <v>37.17</v>
      </c>
      <c r="O1066" s="10">
        <f>N1066*L1066</f>
        <v/>
      </c>
      <c r="P1066" s="10">
        <f>M1066-O1066</f>
        <v/>
      </c>
      <c r="Q1066" s="11" t="inlineStr">
        <is>
          <t>No</t>
        </is>
      </c>
      <c r="R1066" s="11" t="n">
        <v>0</v>
      </c>
      <c r="S1066" s="10">
        <f>M1066-(R1066*K1066)</f>
        <v/>
      </c>
      <c r="T1066" s="12">
        <f>VLOOKUP(E1066,Dim_Product!$A$2:$Q$61,3,FALSE)</f>
        <v/>
      </c>
      <c r="U1066" s="12">
        <f>VLOOKUP(E1066,Dim_Product!$A$2:$Q$61,4,FALSE)</f>
        <v/>
      </c>
      <c r="V1066" s="12">
        <f>VLOOKUP(D1066,Dim_Customer!$A$2:$I$121,6,FALSE)</f>
        <v/>
      </c>
      <c r="W1066" s="12">
        <f>VLOOKUP(G1066,Dim_Channel!$A$2:$B$5,2,FALSE)</f>
        <v/>
      </c>
      <c r="X1066" s="12">
        <f>VLOOKUP(H1066,Dim_Promotion!$A$2:$G$11,2,FALSE)</f>
        <v/>
      </c>
    </row>
    <row r="1067">
      <c r="A1067" s="4" t="inlineStr">
        <is>
          <t>SL1066</t>
        </is>
      </c>
      <c r="B1067" t="inlineStr">
        <is>
          <t>O010533</t>
        </is>
      </c>
      <c r="C1067" t="n">
        <v>20250929</v>
      </c>
      <c r="D1067" s="4" t="inlineStr">
        <is>
          <t>C058</t>
        </is>
      </c>
      <c r="E1067" s="4" t="inlineStr">
        <is>
          <t>P053</t>
        </is>
      </c>
      <c r="F1067" t="inlineStr">
        <is>
          <t>L</t>
        </is>
      </c>
      <c r="G1067" s="4" t="inlineStr">
        <is>
          <t>CH02</t>
        </is>
      </c>
      <c r="H1067" s="4" t="inlineStr">
        <is>
          <t>PR00</t>
        </is>
      </c>
      <c r="I1067" s="8" t="n">
        <v>74</v>
      </c>
      <c r="J1067" s="9" t="n">
        <v>0</v>
      </c>
      <c r="K1067" s="10">
        <f>I1067*(1-J1067)</f>
        <v/>
      </c>
      <c r="L1067" s="11" t="n">
        <v>2</v>
      </c>
      <c r="M1067" s="10">
        <f>K1067*L1067</f>
        <v/>
      </c>
      <c r="N1067" s="8" t="n">
        <v>34.42</v>
      </c>
      <c r="O1067" s="10">
        <f>N1067*L1067</f>
        <v/>
      </c>
      <c r="P1067" s="10">
        <f>M1067-O1067</f>
        <v/>
      </c>
      <c r="Q1067" s="11" t="inlineStr">
        <is>
          <t>No</t>
        </is>
      </c>
      <c r="R1067" s="11" t="n">
        <v>0</v>
      </c>
      <c r="S1067" s="10">
        <f>M1067-(R1067*K1067)</f>
        <v/>
      </c>
      <c r="T1067" s="12">
        <f>VLOOKUP(E1067,Dim_Product!$A$2:$Q$61,3,FALSE)</f>
        <v/>
      </c>
      <c r="U1067" s="12">
        <f>VLOOKUP(E1067,Dim_Product!$A$2:$Q$61,4,FALSE)</f>
        <v/>
      </c>
      <c r="V1067" s="12">
        <f>VLOOKUP(D1067,Dim_Customer!$A$2:$I$121,6,FALSE)</f>
        <v/>
      </c>
      <c r="W1067" s="12">
        <f>VLOOKUP(G1067,Dim_Channel!$A$2:$B$5,2,FALSE)</f>
        <v/>
      </c>
      <c r="X1067" s="12">
        <f>VLOOKUP(H1067,Dim_Promotion!$A$2:$G$11,2,FALSE)</f>
        <v/>
      </c>
    </row>
    <row r="1068">
      <c r="A1068" s="4" t="inlineStr">
        <is>
          <t>SL1067</t>
        </is>
      </c>
      <c r="B1068" t="inlineStr">
        <is>
          <t>O010534</t>
        </is>
      </c>
      <c r="C1068" t="n">
        <v>20251002</v>
      </c>
      <c r="D1068" s="4" t="inlineStr">
        <is>
          <t>C061</t>
        </is>
      </c>
      <c r="E1068" s="4" t="inlineStr">
        <is>
          <t>P040</t>
        </is>
      </c>
      <c r="F1068" t="inlineStr">
        <is>
          <t>M</t>
        </is>
      </c>
      <c r="G1068" s="4" t="inlineStr">
        <is>
          <t>CH03</t>
        </is>
      </c>
      <c r="H1068" s="4" t="inlineStr">
        <is>
          <t>PR00</t>
        </is>
      </c>
      <c r="I1068" s="8" t="n">
        <v>71</v>
      </c>
      <c r="J1068" s="9" t="n">
        <v>0</v>
      </c>
      <c r="K1068" s="10">
        <f>I1068*(1-J1068)</f>
        <v/>
      </c>
      <c r="L1068" s="11" t="n">
        <v>2</v>
      </c>
      <c r="M1068" s="10">
        <f>K1068*L1068</f>
        <v/>
      </c>
      <c r="N1068" s="8" t="n">
        <v>33.76</v>
      </c>
      <c r="O1068" s="10">
        <f>N1068*L1068</f>
        <v/>
      </c>
      <c r="P1068" s="10">
        <f>M1068-O1068</f>
        <v/>
      </c>
      <c r="Q1068" s="11" t="inlineStr">
        <is>
          <t>No</t>
        </is>
      </c>
      <c r="R1068" s="11" t="n">
        <v>0</v>
      </c>
      <c r="S1068" s="10">
        <f>M1068-(R1068*K1068)</f>
        <v/>
      </c>
      <c r="T1068" s="12">
        <f>VLOOKUP(E1068,Dim_Product!$A$2:$Q$61,3,FALSE)</f>
        <v/>
      </c>
      <c r="U1068" s="12">
        <f>VLOOKUP(E1068,Dim_Product!$A$2:$Q$61,4,FALSE)</f>
        <v/>
      </c>
      <c r="V1068" s="12">
        <f>VLOOKUP(D1068,Dim_Customer!$A$2:$I$121,6,FALSE)</f>
        <v/>
      </c>
      <c r="W1068" s="12">
        <f>VLOOKUP(G1068,Dim_Channel!$A$2:$B$5,2,FALSE)</f>
        <v/>
      </c>
      <c r="X1068" s="12">
        <f>VLOOKUP(H1068,Dim_Promotion!$A$2:$G$11,2,FALSE)</f>
        <v/>
      </c>
    </row>
    <row r="1069">
      <c r="A1069" s="4" t="inlineStr">
        <is>
          <t>SL1068</t>
        </is>
      </c>
      <c r="B1069" t="inlineStr">
        <is>
          <t>O010534</t>
        </is>
      </c>
      <c r="C1069" t="n">
        <v>20250503</v>
      </c>
      <c r="D1069" s="4" t="inlineStr">
        <is>
          <t>C065</t>
        </is>
      </c>
      <c r="E1069" s="4" t="inlineStr">
        <is>
          <t>P015</t>
        </is>
      </c>
      <c r="F1069" t="inlineStr">
        <is>
          <t>M</t>
        </is>
      </c>
      <c r="G1069" s="4" t="inlineStr">
        <is>
          <t>CH01</t>
        </is>
      </c>
      <c r="H1069" s="4" t="inlineStr">
        <is>
          <t>PR00</t>
        </is>
      </c>
      <c r="I1069" s="8" t="n">
        <v>54</v>
      </c>
      <c r="J1069" s="9" t="n">
        <v>0</v>
      </c>
      <c r="K1069" s="10">
        <f>I1069*(1-J1069)</f>
        <v/>
      </c>
      <c r="L1069" s="11" t="n">
        <v>2</v>
      </c>
      <c r="M1069" s="10">
        <f>K1069*L1069</f>
        <v/>
      </c>
      <c r="N1069" s="8" t="n">
        <v>27.01</v>
      </c>
      <c r="O1069" s="10">
        <f>N1069*L1069</f>
        <v/>
      </c>
      <c r="P1069" s="10">
        <f>M1069-O1069</f>
        <v/>
      </c>
      <c r="Q1069" s="11" t="inlineStr">
        <is>
          <t>No</t>
        </is>
      </c>
      <c r="R1069" s="11" t="n">
        <v>0</v>
      </c>
      <c r="S1069" s="10">
        <f>M1069-(R1069*K1069)</f>
        <v/>
      </c>
      <c r="T1069" s="12">
        <f>VLOOKUP(E1069,Dim_Product!$A$2:$Q$61,3,FALSE)</f>
        <v/>
      </c>
      <c r="U1069" s="12">
        <f>VLOOKUP(E1069,Dim_Product!$A$2:$Q$61,4,FALSE)</f>
        <v/>
      </c>
      <c r="V1069" s="12">
        <f>VLOOKUP(D1069,Dim_Customer!$A$2:$I$121,6,FALSE)</f>
        <v/>
      </c>
      <c r="W1069" s="12">
        <f>VLOOKUP(G1069,Dim_Channel!$A$2:$B$5,2,FALSE)</f>
        <v/>
      </c>
      <c r="X1069" s="12">
        <f>VLOOKUP(H1069,Dim_Promotion!$A$2:$G$11,2,FALSE)</f>
        <v/>
      </c>
    </row>
    <row r="1070">
      <c r="A1070" s="4" t="inlineStr">
        <is>
          <t>SL1069</t>
        </is>
      </c>
      <c r="B1070" t="inlineStr">
        <is>
          <t>O010535</t>
        </is>
      </c>
      <c r="C1070" t="n">
        <v>20250907</v>
      </c>
      <c r="D1070" s="4" t="inlineStr">
        <is>
          <t>C023</t>
        </is>
      </c>
      <c r="E1070" s="4" t="inlineStr">
        <is>
          <t>P048</t>
        </is>
      </c>
      <c r="F1070" t="inlineStr">
        <is>
          <t>XS</t>
        </is>
      </c>
      <c r="G1070" s="4" t="inlineStr">
        <is>
          <t>CH02</t>
        </is>
      </c>
      <c r="H1070" s="4" t="inlineStr">
        <is>
          <t>PR00</t>
        </is>
      </c>
      <c r="I1070" s="8" t="n">
        <v>68</v>
      </c>
      <c r="J1070" s="9" t="n">
        <v>0</v>
      </c>
      <c r="K1070" s="10">
        <f>I1070*(1-J1070)</f>
        <v/>
      </c>
      <c r="L1070" s="11" t="n">
        <v>1</v>
      </c>
      <c r="M1070" s="10">
        <f>K1070*L1070</f>
        <v/>
      </c>
      <c r="N1070" s="8" t="n">
        <v>33.25</v>
      </c>
      <c r="O1070" s="10">
        <f>N1070*L1070</f>
        <v/>
      </c>
      <c r="P1070" s="10">
        <f>M1070-O1070</f>
        <v/>
      </c>
      <c r="Q1070" s="11" t="inlineStr">
        <is>
          <t>No</t>
        </is>
      </c>
      <c r="R1070" s="11" t="n">
        <v>0</v>
      </c>
      <c r="S1070" s="10">
        <f>M1070-(R1070*K1070)</f>
        <v/>
      </c>
      <c r="T1070" s="12">
        <f>VLOOKUP(E1070,Dim_Product!$A$2:$Q$61,3,FALSE)</f>
        <v/>
      </c>
      <c r="U1070" s="12">
        <f>VLOOKUP(E1070,Dim_Product!$A$2:$Q$61,4,FALSE)</f>
        <v/>
      </c>
      <c r="V1070" s="12">
        <f>VLOOKUP(D1070,Dim_Customer!$A$2:$I$121,6,FALSE)</f>
        <v/>
      </c>
      <c r="W1070" s="12">
        <f>VLOOKUP(G1070,Dim_Channel!$A$2:$B$5,2,FALSE)</f>
        <v/>
      </c>
      <c r="X1070" s="12">
        <f>VLOOKUP(H1070,Dim_Promotion!$A$2:$G$11,2,FALSE)</f>
        <v/>
      </c>
    </row>
    <row r="1071">
      <c r="A1071" s="4" t="inlineStr">
        <is>
          <t>SL1070</t>
        </is>
      </c>
      <c r="B1071" t="inlineStr">
        <is>
          <t>O010535</t>
        </is>
      </c>
      <c r="C1071" t="n">
        <v>20250405</v>
      </c>
      <c r="D1071" s="4" t="inlineStr">
        <is>
          <t>C005</t>
        </is>
      </c>
      <c r="E1071" s="4" t="inlineStr">
        <is>
          <t>P007</t>
        </is>
      </c>
      <c r="F1071" t="inlineStr">
        <is>
          <t>M</t>
        </is>
      </c>
      <c r="G1071" s="4" t="inlineStr">
        <is>
          <t>CH02</t>
        </is>
      </c>
      <c r="H1071" s="4" t="inlineStr">
        <is>
          <t>PR03</t>
        </is>
      </c>
      <c r="I1071" s="8" t="n">
        <v>50</v>
      </c>
      <c r="J1071" s="9" t="n">
        <v>0.08</v>
      </c>
      <c r="K1071" s="10">
        <f>I1071*(1-J1071)</f>
        <v/>
      </c>
      <c r="L1071" s="11" t="n">
        <v>2</v>
      </c>
      <c r="M1071" s="10">
        <f>K1071*L1071</f>
        <v/>
      </c>
      <c r="N1071" s="8" t="n">
        <v>22.13</v>
      </c>
      <c r="O1071" s="10">
        <f>N1071*L1071</f>
        <v/>
      </c>
      <c r="P1071" s="10">
        <f>M1071-O1071</f>
        <v/>
      </c>
      <c r="Q1071" s="11" t="inlineStr">
        <is>
          <t>No</t>
        </is>
      </c>
      <c r="R1071" s="11" t="n">
        <v>0</v>
      </c>
      <c r="S1071" s="10">
        <f>M1071-(R1071*K1071)</f>
        <v/>
      </c>
      <c r="T1071" s="12">
        <f>VLOOKUP(E1071,Dim_Product!$A$2:$Q$61,3,FALSE)</f>
        <v/>
      </c>
      <c r="U1071" s="12">
        <f>VLOOKUP(E1071,Dim_Product!$A$2:$Q$61,4,FALSE)</f>
        <v/>
      </c>
      <c r="V1071" s="12">
        <f>VLOOKUP(D1071,Dim_Customer!$A$2:$I$121,6,FALSE)</f>
        <v/>
      </c>
      <c r="W1071" s="12">
        <f>VLOOKUP(G1071,Dim_Channel!$A$2:$B$5,2,FALSE)</f>
        <v/>
      </c>
      <c r="X1071" s="12">
        <f>VLOOKUP(H1071,Dim_Promotion!$A$2:$G$11,2,FALSE)</f>
        <v/>
      </c>
    </row>
    <row r="1072">
      <c r="A1072" s="4" t="inlineStr">
        <is>
          <t>SL1071</t>
        </is>
      </c>
      <c r="B1072" t="inlineStr">
        <is>
          <t>O010536</t>
        </is>
      </c>
      <c r="C1072" t="n">
        <v>20251106</v>
      </c>
      <c r="D1072" s="4" t="inlineStr">
        <is>
          <t>C061</t>
        </is>
      </c>
      <c r="E1072" s="4" t="inlineStr">
        <is>
          <t>P021</t>
        </is>
      </c>
      <c r="F1072" t="inlineStr">
        <is>
          <t>S</t>
        </is>
      </c>
      <c r="G1072" s="4" t="inlineStr">
        <is>
          <t>CH02</t>
        </is>
      </c>
      <c r="H1072" s="4" t="inlineStr">
        <is>
          <t>PR00</t>
        </is>
      </c>
      <c r="I1072" s="8" t="n">
        <v>55</v>
      </c>
      <c r="J1072" s="9" t="n">
        <v>0</v>
      </c>
      <c r="K1072" s="10">
        <f>I1072*(1-J1072)</f>
        <v/>
      </c>
      <c r="L1072" s="11" t="n">
        <v>1</v>
      </c>
      <c r="M1072" s="10">
        <f>K1072*L1072</f>
        <v/>
      </c>
      <c r="N1072" s="8" t="n">
        <v>28.72</v>
      </c>
      <c r="O1072" s="10">
        <f>N1072*L1072</f>
        <v/>
      </c>
      <c r="P1072" s="10">
        <f>M1072-O1072</f>
        <v/>
      </c>
      <c r="Q1072" s="11" t="inlineStr">
        <is>
          <t>No</t>
        </is>
      </c>
      <c r="R1072" s="11" t="n">
        <v>0</v>
      </c>
      <c r="S1072" s="10">
        <f>M1072-(R1072*K1072)</f>
        <v/>
      </c>
      <c r="T1072" s="12">
        <f>VLOOKUP(E1072,Dim_Product!$A$2:$Q$61,3,FALSE)</f>
        <v/>
      </c>
      <c r="U1072" s="12">
        <f>VLOOKUP(E1072,Dim_Product!$A$2:$Q$61,4,FALSE)</f>
        <v/>
      </c>
      <c r="V1072" s="12">
        <f>VLOOKUP(D1072,Dim_Customer!$A$2:$I$121,6,FALSE)</f>
        <v/>
      </c>
      <c r="W1072" s="12">
        <f>VLOOKUP(G1072,Dim_Channel!$A$2:$B$5,2,FALSE)</f>
        <v/>
      </c>
      <c r="X1072" s="12">
        <f>VLOOKUP(H1072,Dim_Promotion!$A$2:$G$11,2,FALSE)</f>
        <v/>
      </c>
    </row>
    <row r="1073">
      <c r="A1073" s="4" t="inlineStr">
        <is>
          <t>SL1072</t>
        </is>
      </c>
      <c r="B1073" t="inlineStr">
        <is>
          <t>O010536</t>
        </is>
      </c>
      <c r="C1073" t="n">
        <v>20250304</v>
      </c>
      <c r="D1073" s="4" t="inlineStr">
        <is>
          <t>C056</t>
        </is>
      </c>
      <c r="E1073" s="4" t="inlineStr">
        <is>
          <t>P015</t>
        </is>
      </c>
      <c r="F1073" t="inlineStr">
        <is>
          <t>L</t>
        </is>
      </c>
      <c r="G1073" s="4" t="inlineStr">
        <is>
          <t>CH02</t>
        </is>
      </c>
      <c r="H1073" s="4" t="inlineStr">
        <is>
          <t>PR00</t>
        </is>
      </c>
      <c r="I1073" s="8" t="n">
        <v>58</v>
      </c>
      <c r="J1073" s="9" t="n">
        <v>0</v>
      </c>
      <c r="K1073" s="10">
        <f>I1073*(1-J1073)</f>
        <v/>
      </c>
      <c r="L1073" s="11" t="n">
        <v>2</v>
      </c>
      <c r="M1073" s="10">
        <f>K1073*L1073</f>
        <v/>
      </c>
      <c r="N1073" s="8" t="n">
        <v>26.91</v>
      </c>
      <c r="O1073" s="10">
        <f>N1073*L1073</f>
        <v/>
      </c>
      <c r="P1073" s="10">
        <f>M1073-O1073</f>
        <v/>
      </c>
      <c r="Q1073" s="11" t="inlineStr">
        <is>
          <t>No</t>
        </is>
      </c>
      <c r="R1073" s="11" t="n">
        <v>0</v>
      </c>
      <c r="S1073" s="10">
        <f>M1073-(R1073*K1073)</f>
        <v/>
      </c>
      <c r="T1073" s="12">
        <f>VLOOKUP(E1073,Dim_Product!$A$2:$Q$61,3,FALSE)</f>
        <v/>
      </c>
      <c r="U1073" s="12">
        <f>VLOOKUP(E1073,Dim_Product!$A$2:$Q$61,4,FALSE)</f>
        <v/>
      </c>
      <c r="V1073" s="12">
        <f>VLOOKUP(D1073,Dim_Customer!$A$2:$I$121,6,FALSE)</f>
        <v/>
      </c>
      <c r="W1073" s="12">
        <f>VLOOKUP(G1073,Dim_Channel!$A$2:$B$5,2,FALSE)</f>
        <v/>
      </c>
      <c r="X1073" s="12">
        <f>VLOOKUP(H1073,Dim_Promotion!$A$2:$G$11,2,FALSE)</f>
        <v/>
      </c>
    </row>
    <row r="1074">
      <c r="A1074" s="4" t="inlineStr">
        <is>
          <t>SL1073</t>
        </is>
      </c>
      <c r="B1074" t="inlineStr">
        <is>
          <t>O010537</t>
        </is>
      </c>
      <c r="C1074" t="n">
        <v>20251206</v>
      </c>
      <c r="D1074" s="4" t="inlineStr">
        <is>
          <t>C107</t>
        </is>
      </c>
      <c r="E1074" s="4" t="inlineStr">
        <is>
          <t>P060</t>
        </is>
      </c>
      <c r="F1074" t="inlineStr">
        <is>
          <t>L</t>
        </is>
      </c>
      <c r="G1074" s="4" t="inlineStr">
        <is>
          <t>CH04</t>
        </is>
      </c>
      <c r="H1074" s="4" t="inlineStr">
        <is>
          <t>PR00</t>
        </is>
      </c>
      <c r="I1074" s="8" t="n">
        <v>73</v>
      </c>
      <c r="J1074" s="9" t="n">
        <v>0</v>
      </c>
      <c r="K1074" s="10">
        <f>I1074*(1-J1074)</f>
        <v/>
      </c>
      <c r="L1074" s="11" t="n">
        <v>1</v>
      </c>
      <c r="M1074" s="10">
        <f>K1074*L1074</f>
        <v/>
      </c>
      <c r="N1074" s="8" t="n">
        <v>35.84</v>
      </c>
      <c r="O1074" s="10">
        <f>N1074*L1074</f>
        <v/>
      </c>
      <c r="P1074" s="10">
        <f>M1074-O1074</f>
        <v/>
      </c>
      <c r="Q1074" s="11" t="inlineStr">
        <is>
          <t>No</t>
        </is>
      </c>
      <c r="R1074" s="11" t="n">
        <v>0</v>
      </c>
      <c r="S1074" s="10">
        <f>M1074-(R1074*K1074)</f>
        <v/>
      </c>
      <c r="T1074" s="12">
        <f>VLOOKUP(E1074,Dim_Product!$A$2:$Q$61,3,FALSE)</f>
        <v/>
      </c>
      <c r="U1074" s="12">
        <f>VLOOKUP(E1074,Dim_Product!$A$2:$Q$61,4,FALSE)</f>
        <v/>
      </c>
      <c r="V1074" s="12">
        <f>VLOOKUP(D1074,Dim_Customer!$A$2:$I$121,6,FALSE)</f>
        <v/>
      </c>
      <c r="W1074" s="12">
        <f>VLOOKUP(G1074,Dim_Channel!$A$2:$B$5,2,FALSE)</f>
        <v/>
      </c>
      <c r="X1074" s="12">
        <f>VLOOKUP(H1074,Dim_Promotion!$A$2:$G$11,2,FALSE)</f>
        <v/>
      </c>
    </row>
    <row r="1075">
      <c r="A1075" s="4" t="inlineStr">
        <is>
          <t>SL1074</t>
        </is>
      </c>
      <c r="B1075" t="inlineStr">
        <is>
          <t>O010537</t>
        </is>
      </c>
      <c r="C1075" t="n">
        <v>20251025</v>
      </c>
      <c r="D1075" s="4" t="inlineStr">
        <is>
          <t>C107</t>
        </is>
      </c>
      <c r="E1075" s="4" t="inlineStr">
        <is>
          <t>P002</t>
        </is>
      </c>
      <c r="F1075" t="inlineStr">
        <is>
          <t>M</t>
        </is>
      </c>
      <c r="G1075" s="4" t="inlineStr">
        <is>
          <t>CH02</t>
        </is>
      </c>
      <c r="H1075" s="4" t="inlineStr">
        <is>
          <t>PR00</t>
        </is>
      </c>
      <c r="I1075" s="8" t="n">
        <v>42</v>
      </c>
      <c r="J1075" s="9" t="n">
        <v>0</v>
      </c>
      <c r="K1075" s="10">
        <f>I1075*(1-J1075)</f>
        <v/>
      </c>
      <c r="L1075" s="11" t="n">
        <v>1</v>
      </c>
      <c r="M1075" s="10">
        <f>K1075*L1075</f>
        <v/>
      </c>
      <c r="N1075" s="8" t="n">
        <v>17.37</v>
      </c>
      <c r="O1075" s="10">
        <f>N1075*L1075</f>
        <v/>
      </c>
      <c r="P1075" s="10">
        <f>M1075-O1075</f>
        <v/>
      </c>
      <c r="Q1075" s="11" t="inlineStr">
        <is>
          <t>No</t>
        </is>
      </c>
      <c r="R1075" s="11" t="n">
        <v>0</v>
      </c>
      <c r="S1075" s="10">
        <f>M1075-(R1075*K1075)</f>
        <v/>
      </c>
      <c r="T1075" s="12">
        <f>VLOOKUP(E1075,Dim_Product!$A$2:$Q$61,3,FALSE)</f>
        <v/>
      </c>
      <c r="U1075" s="12">
        <f>VLOOKUP(E1075,Dim_Product!$A$2:$Q$61,4,FALSE)</f>
        <v/>
      </c>
      <c r="V1075" s="12">
        <f>VLOOKUP(D1075,Dim_Customer!$A$2:$I$121,6,FALSE)</f>
        <v/>
      </c>
      <c r="W1075" s="12">
        <f>VLOOKUP(G1075,Dim_Channel!$A$2:$B$5,2,FALSE)</f>
        <v/>
      </c>
      <c r="X1075" s="12">
        <f>VLOOKUP(H1075,Dim_Promotion!$A$2:$G$11,2,FALSE)</f>
        <v/>
      </c>
    </row>
    <row r="1076">
      <c r="A1076" s="4" t="inlineStr">
        <is>
          <t>SL1075</t>
        </is>
      </c>
      <c r="B1076" t="inlineStr">
        <is>
          <t>O010538</t>
        </is>
      </c>
      <c r="C1076" t="n">
        <v>20250423</v>
      </c>
      <c r="D1076" s="4" t="inlineStr">
        <is>
          <t>C069</t>
        </is>
      </c>
      <c r="E1076" s="4" t="inlineStr">
        <is>
          <t>P057</t>
        </is>
      </c>
      <c r="F1076" t="inlineStr">
        <is>
          <t>M</t>
        </is>
      </c>
      <c r="G1076" s="4" t="inlineStr">
        <is>
          <t>CH04</t>
        </is>
      </c>
      <c r="H1076" s="4" t="inlineStr">
        <is>
          <t>PR00</t>
        </is>
      </c>
      <c r="I1076" s="8" t="n">
        <v>74</v>
      </c>
      <c r="J1076" s="9" t="n">
        <v>0</v>
      </c>
      <c r="K1076" s="10">
        <f>I1076*(1-J1076)</f>
        <v/>
      </c>
      <c r="L1076" s="11" t="n">
        <v>1</v>
      </c>
      <c r="M1076" s="10">
        <f>K1076*L1076</f>
        <v/>
      </c>
      <c r="N1076" s="8" t="n">
        <v>34.68</v>
      </c>
      <c r="O1076" s="10">
        <f>N1076*L1076</f>
        <v/>
      </c>
      <c r="P1076" s="10">
        <f>M1076-O1076</f>
        <v/>
      </c>
      <c r="Q1076" s="11" t="inlineStr">
        <is>
          <t>No</t>
        </is>
      </c>
      <c r="R1076" s="11" t="n">
        <v>0</v>
      </c>
      <c r="S1076" s="10">
        <f>M1076-(R1076*K1076)</f>
        <v/>
      </c>
      <c r="T1076" s="12">
        <f>VLOOKUP(E1076,Dim_Product!$A$2:$Q$61,3,FALSE)</f>
        <v/>
      </c>
      <c r="U1076" s="12">
        <f>VLOOKUP(E1076,Dim_Product!$A$2:$Q$61,4,FALSE)</f>
        <v/>
      </c>
      <c r="V1076" s="12">
        <f>VLOOKUP(D1076,Dim_Customer!$A$2:$I$121,6,FALSE)</f>
        <v/>
      </c>
      <c r="W1076" s="12">
        <f>VLOOKUP(G1076,Dim_Channel!$A$2:$B$5,2,FALSE)</f>
        <v/>
      </c>
      <c r="X1076" s="12">
        <f>VLOOKUP(H1076,Dim_Promotion!$A$2:$G$11,2,FALSE)</f>
        <v/>
      </c>
    </row>
    <row r="1077">
      <c r="A1077" s="4" t="inlineStr">
        <is>
          <t>SL1076</t>
        </is>
      </c>
      <c r="B1077" t="inlineStr">
        <is>
          <t>O010538</t>
        </is>
      </c>
      <c r="C1077" t="n">
        <v>20251108</v>
      </c>
      <c r="D1077" s="4" t="inlineStr">
        <is>
          <t>C117</t>
        </is>
      </c>
      <c r="E1077" s="4" t="inlineStr">
        <is>
          <t>P032</t>
        </is>
      </c>
      <c r="F1077" t="inlineStr">
        <is>
          <t>M</t>
        </is>
      </c>
      <c r="G1077" s="4" t="inlineStr">
        <is>
          <t>CH01</t>
        </is>
      </c>
      <c r="H1077" s="4" t="inlineStr">
        <is>
          <t>PR00</t>
        </is>
      </c>
      <c r="I1077" s="8" t="n">
        <v>114</v>
      </c>
      <c r="J1077" s="9" t="n">
        <v>0.08</v>
      </c>
      <c r="K1077" s="10">
        <f>I1077*(1-J1077)</f>
        <v/>
      </c>
      <c r="L1077" s="11" t="n">
        <v>1</v>
      </c>
      <c r="M1077" s="10">
        <f>K1077*L1077</f>
        <v/>
      </c>
      <c r="N1077" s="8" t="n">
        <v>57.66</v>
      </c>
      <c r="O1077" s="10">
        <f>N1077*L1077</f>
        <v/>
      </c>
      <c r="P1077" s="10">
        <f>M1077-O1077</f>
        <v/>
      </c>
      <c r="Q1077" s="11" t="inlineStr">
        <is>
          <t>Yes</t>
        </is>
      </c>
      <c r="R1077" s="11" t="n">
        <v>1</v>
      </c>
      <c r="S1077" s="10">
        <f>M1077-(R1077*K1077)</f>
        <v/>
      </c>
      <c r="T1077" s="12">
        <f>VLOOKUP(E1077,Dim_Product!$A$2:$Q$61,3,FALSE)</f>
        <v/>
      </c>
      <c r="U1077" s="12">
        <f>VLOOKUP(E1077,Dim_Product!$A$2:$Q$61,4,FALSE)</f>
        <v/>
      </c>
      <c r="V1077" s="12">
        <f>VLOOKUP(D1077,Dim_Customer!$A$2:$I$121,6,FALSE)</f>
        <v/>
      </c>
      <c r="W1077" s="12">
        <f>VLOOKUP(G1077,Dim_Channel!$A$2:$B$5,2,FALSE)</f>
        <v/>
      </c>
      <c r="X1077" s="12">
        <f>VLOOKUP(H1077,Dim_Promotion!$A$2:$G$11,2,FALSE)</f>
        <v/>
      </c>
    </row>
    <row r="1078">
      <c r="A1078" s="4" t="inlineStr">
        <is>
          <t>SL1077</t>
        </is>
      </c>
      <c r="B1078" t="inlineStr">
        <is>
          <t>O010539</t>
        </is>
      </c>
      <c r="C1078" t="n">
        <v>20251107</v>
      </c>
      <c r="D1078" s="4" t="inlineStr">
        <is>
          <t>C018</t>
        </is>
      </c>
      <c r="E1078" s="4" t="inlineStr">
        <is>
          <t>P047</t>
        </is>
      </c>
      <c r="F1078" t="inlineStr">
        <is>
          <t>M</t>
        </is>
      </c>
      <c r="G1078" s="4" t="inlineStr">
        <is>
          <t>CH01</t>
        </is>
      </c>
      <c r="H1078" s="4" t="inlineStr">
        <is>
          <t>PR00</t>
        </is>
      </c>
      <c r="I1078" s="8" t="n">
        <v>72</v>
      </c>
      <c r="J1078" s="9" t="n">
        <v>0.05</v>
      </c>
      <c r="K1078" s="10">
        <f>I1078*(1-J1078)</f>
        <v/>
      </c>
      <c r="L1078" s="11" t="n">
        <v>1</v>
      </c>
      <c r="M1078" s="10">
        <f>K1078*L1078</f>
        <v/>
      </c>
      <c r="N1078" s="8" t="n">
        <v>31.65</v>
      </c>
      <c r="O1078" s="10">
        <f>N1078*L1078</f>
        <v/>
      </c>
      <c r="P1078" s="10">
        <f>M1078-O1078</f>
        <v/>
      </c>
      <c r="Q1078" s="11" t="inlineStr">
        <is>
          <t>No</t>
        </is>
      </c>
      <c r="R1078" s="11" t="n">
        <v>0</v>
      </c>
      <c r="S1078" s="10">
        <f>M1078-(R1078*K1078)</f>
        <v/>
      </c>
      <c r="T1078" s="12">
        <f>VLOOKUP(E1078,Dim_Product!$A$2:$Q$61,3,FALSE)</f>
        <v/>
      </c>
      <c r="U1078" s="12">
        <f>VLOOKUP(E1078,Dim_Product!$A$2:$Q$61,4,FALSE)</f>
        <v/>
      </c>
      <c r="V1078" s="12">
        <f>VLOOKUP(D1078,Dim_Customer!$A$2:$I$121,6,FALSE)</f>
        <v/>
      </c>
      <c r="W1078" s="12">
        <f>VLOOKUP(G1078,Dim_Channel!$A$2:$B$5,2,FALSE)</f>
        <v/>
      </c>
      <c r="X1078" s="12">
        <f>VLOOKUP(H1078,Dim_Promotion!$A$2:$G$11,2,FALSE)</f>
        <v/>
      </c>
    </row>
    <row r="1079">
      <c r="A1079" s="4" t="inlineStr">
        <is>
          <t>SL1078</t>
        </is>
      </c>
      <c r="B1079" t="inlineStr">
        <is>
          <t>O010539</t>
        </is>
      </c>
      <c r="C1079" t="n">
        <v>20250502</v>
      </c>
      <c r="D1079" s="4" t="inlineStr">
        <is>
          <t>C098</t>
        </is>
      </c>
      <c r="E1079" s="4" t="inlineStr">
        <is>
          <t>P001</t>
        </is>
      </c>
      <c r="F1079" t="inlineStr">
        <is>
          <t>L</t>
        </is>
      </c>
      <c r="G1079" s="4" t="inlineStr">
        <is>
          <t>CH01</t>
        </is>
      </c>
      <c r="H1079" s="4" t="inlineStr">
        <is>
          <t>PR00</t>
        </is>
      </c>
      <c r="I1079" s="8" t="n">
        <v>40</v>
      </c>
      <c r="J1079" s="9" t="n">
        <v>0.08</v>
      </c>
      <c r="K1079" s="10">
        <f>I1079*(1-J1079)</f>
        <v/>
      </c>
      <c r="L1079" s="11" t="n">
        <v>2</v>
      </c>
      <c r="M1079" s="10">
        <f>K1079*L1079</f>
        <v/>
      </c>
      <c r="N1079" s="8" t="n">
        <v>17.48</v>
      </c>
      <c r="O1079" s="10">
        <f>N1079*L1079</f>
        <v/>
      </c>
      <c r="P1079" s="10">
        <f>M1079-O1079</f>
        <v/>
      </c>
      <c r="Q1079" s="11" t="inlineStr">
        <is>
          <t>No</t>
        </is>
      </c>
      <c r="R1079" s="11" t="n">
        <v>0</v>
      </c>
      <c r="S1079" s="10">
        <f>M1079-(R1079*K1079)</f>
        <v/>
      </c>
      <c r="T1079" s="12">
        <f>VLOOKUP(E1079,Dim_Product!$A$2:$Q$61,3,FALSE)</f>
        <v/>
      </c>
      <c r="U1079" s="12">
        <f>VLOOKUP(E1079,Dim_Product!$A$2:$Q$61,4,FALSE)</f>
        <v/>
      </c>
      <c r="V1079" s="12">
        <f>VLOOKUP(D1079,Dim_Customer!$A$2:$I$121,6,FALSE)</f>
        <v/>
      </c>
      <c r="W1079" s="12">
        <f>VLOOKUP(G1079,Dim_Channel!$A$2:$B$5,2,FALSE)</f>
        <v/>
      </c>
      <c r="X1079" s="12">
        <f>VLOOKUP(H1079,Dim_Promotion!$A$2:$G$11,2,FALSE)</f>
        <v/>
      </c>
    </row>
    <row r="1080">
      <c r="A1080" s="4" t="inlineStr">
        <is>
          <t>SL1079</t>
        </is>
      </c>
      <c r="B1080" t="inlineStr">
        <is>
          <t>O010540</t>
        </is>
      </c>
      <c r="C1080" t="n">
        <v>20250207</v>
      </c>
      <c r="D1080" s="4" t="inlineStr">
        <is>
          <t>C062</t>
        </is>
      </c>
      <c r="E1080" s="4" t="inlineStr">
        <is>
          <t>P057</t>
        </is>
      </c>
      <c r="F1080" t="inlineStr">
        <is>
          <t>L</t>
        </is>
      </c>
      <c r="G1080" s="4" t="inlineStr">
        <is>
          <t>CH02</t>
        </is>
      </c>
      <c r="H1080" s="4" t="inlineStr">
        <is>
          <t>PR00</t>
        </is>
      </c>
      <c r="I1080" s="8" t="n">
        <v>76</v>
      </c>
      <c r="J1080" s="9" t="n">
        <v>0</v>
      </c>
      <c r="K1080" s="10">
        <f>I1080*(1-J1080)</f>
        <v/>
      </c>
      <c r="L1080" s="11" t="n">
        <v>1</v>
      </c>
      <c r="M1080" s="10">
        <f>K1080*L1080</f>
        <v/>
      </c>
      <c r="N1080" s="8" t="n">
        <v>34.61</v>
      </c>
      <c r="O1080" s="10">
        <f>N1080*L1080</f>
        <v/>
      </c>
      <c r="P1080" s="10">
        <f>M1080-O1080</f>
        <v/>
      </c>
      <c r="Q1080" s="11" t="inlineStr">
        <is>
          <t>No</t>
        </is>
      </c>
      <c r="R1080" s="11" t="n">
        <v>0</v>
      </c>
      <c r="S1080" s="10">
        <f>M1080-(R1080*K1080)</f>
        <v/>
      </c>
      <c r="T1080" s="12">
        <f>VLOOKUP(E1080,Dim_Product!$A$2:$Q$61,3,FALSE)</f>
        <v/>
      </c>
      <c r="U1080" s="12">
        <f>VLOOKUP(E1080,Dim_Product!$A$2:$Q$61,4,FALSE)</f>
        <v/>
      </c>
      <c r="V1080" s="12">
        <f>VLOOKUP(D1080,Dim_Customer!$A$2:$I$121,6,FALSE)</f>
        <v/>
      </c>
      <c r="W1080" s="12">
        <f>VLOOKUP(G1080,Dim_Channel!$A$2:$B$5,2,FALSE)</f>
        <v/>
      </c>
      <c r="X1080" s="12">
        <f>VLOOKUP(H1080,Dim_Promotion!$A$2:$G$11,2,FALSE)</f>
        <v/>
      </c>
    </row>
    <row r="1081">
      <c r="A1081" s="4" t="inlineStr">
        <is>
          <t>SL1080</t>
        </is>
      </c>
      <c r="B1081" t="inlineStr">
        <is>
          <t>O010540</t>
        </is>
      </c>
      <c r="C1081" t="n">
        <v>20250604</v>
      </c>
      <c r="D1081" s="4" t="inlineStr">
        <is>
          <t>C102</t>
        </is>
      </c>
      <c r="E1081" s="4" t="inlineStr">
        <is>
          <t>P044</t>
        </is>
      </c>
      <c r="F1081" t="inlineStr">
        <is>
          <t>XS</t>
        </is>
      </c>
      <c r="G1081" s="4" t="inlineStr">
        <is>
          <t>CH03</t>
        </is>
      </c>
      <c r="H1081" s="4" t="inlineStr">
        <is>
          <t>PR00</t>
        </is>
      </c>
      <c r="I1081" s="8" t="n">
        <v>80</v>
      </c>
      <c r="J1081" s="9" t="n">
        <v>0</v>
      </c>
      <c r="K1081" s="10">
        <f>I1081*(1-J1081)</f>
        <v/>
      </c>
      <c r="L1081" s="11" t="n">
        <v>1</v>
      </c>
      <c r="M1081" s="10">
        <f>K1081*L1081</f>
        <v/>
      </c>
      <c r="N1081" s="8" t="n">
        <v>34.9</v>
      </c>
      <c r="O1081" s="10">
        <f>N1081*L1081</f>
        <v/>
      </c>
      <c r="P1081" s="10">
        <f>M1081-O1081</f>
        <v/>
      </c>
      <c r="Q1081" s="11" t="inlineStr">
        <is>
          <t>No</t>
        </is>
      </c>
      <c r="R1081" s="11" t="n">
        <v>0</v>
      </c>
      <c r="S1081" s="10">
        <f>M1081-(R1081*K1081)</f>
        <v/>
      </c>
      <c r="T1081" s="12">
        <f>VLOOKUP(E1081,Dim_Product!$A$2:$Q$61,3,FALSE)</f>
        <v/>
      </c>
      <c r="U1081" s="12">
        <f>VLOOKUP(E1081,Dim_Product!$A$2:$Q$61,4,FALSE)</f>
        <v/>
      </c>
      <c r="V1081" s="12">
        <f>VLOOKUP(D1081,Dim_Customer!$A$2:$I$121,6,FALSE)</f>
        <v/>
      </c>
      <c r="W1081" s="12">
        <f>VLOOKUP(G1081,Dim_Channel!$A$2:$B$5,2,FALSE)</f>
        <v/>
      </c>
      <c r="X1081" s="12">
        <f>VLOOKUP(H1081,Dim_Promotion!$A$2:$G$11,2,FALSE)</f>
        <v/>
      </c>
    </row>
    <row r="1082">
      <c r="A1082" s="4" t="inlineStr">
        <is>
          <t>SL1081</t>
        </is>
      </c>
      <c r="B1082" t="inlineStr">
        <is>
          <t>O010541</t>
        </is>
      </c>
      <c r="C1082" t="n">
        <v>20251005</v>
      </c>
      <c r="D1082" s="4" t="inlineStr">
        <is>
          <t>C023</t>
        </is>
      </c>
      <c r="E1082" s="4" t="inlineStr">
        <is>
          <t>P048</t>
        </is>
      </c>
      <c r="F1082" t="inlineStr">
        <is>
          <t>M</t>
        </is>
      </c>
      <c r="G1082" s="4" t="inlineStr">
        <is>
          <t>CH01</t>
        </is>
      </c>
      <c r="H1082" s="4" t="inlineStr">
        <is>
          <t>PR00</t>
        </is>
      </c>
      <c r="I1082" s="8" t="n">
        <v>69</v>
      </c>
      <c r="J1082" s="9" t="n">
        <v>0.08</v>
      </c>
      <c r="K1082" s="10">
        <f>I1082*(1-J1082)</f>
        <v/>
      </c>
      <c r="L1082" s="11" t="n">
        <v>1</v>
      </c>
      <c r="M1082" s="10">
        <f>K1082*L1082</f>
        <v/>
      </c>
      <c r="N1082" s="8" t="n">
        <v>33.53</v>
      </c>
      <c r="O1082" s="10">
        <f>N1082*L1082</f>
        <v/>
      </c>
      <c r="P1082" s="10">
        <f>M1082-O1082</f>
        <v/>
      </c>
      <c r="Q1082" s="11" t="inlineStr">
        <is>
          <t>Yes</t>
        </is>
      </c>
      <c r="R1082" s="11" t="n">
        <v>1</v>
      </c>
      <c r="S1082" s="10">
        <f>M1082-(R1082*K1082)</f>
        <v/>
      </c>
      <c r="T1082" s="12">
        <f>VLOOKUP(E1082,Dim_Product!$A$2:$Q$61,3,FALSE)</f>
        <v/>
      </c>
      <c r="U1082" s="12">
        <f>VLOOKUP(E1082,Dim_Product!$A$2:$Q$61,4,FALSE)</f>
        <v/>
      </c>
      <c r="V1082" s="12">
        <f>VLOOKUP(D1082,Dim_Customer!$A$2:$I$121,6,FALSE)</f>
        <v/>
      </c>
      <c r="W1082" s="12">
        <f>VLOOKUP(G1082,Dim_Channel!$A$2:$B$5,2,FALSE)</f>
        <v/>
      </c>
      <c r="X1082" s="12">
        <f>VLOOKUP(H1082,Dim_Promotion!$A$2:$G$11,2,FALSE)</f>
        <v/>
      </c>
    </row>
    <row r="1083">
      <c r="A1083" s="4" t="inlineStr">
        <is>
          <t>SL1082</t>
        </is>
      </c>
      <c r="B1083" t="inlineStr">
        <is>
          <t>O010541</t>
        </is>
      </c>
      <c r="C1083" t="n">
        <v>20251213</v>
      </c>
      <c r="D1083" s="4" t="inlineStr">
        <is>
          <t>C045</t>
        </is>
      </c>
      <c r="E1083" s="4" t="inlineStr">
        <is>
          <t>P037</t>
        </is>
      </c>
      <c r="F1083" t="inlineStr">
        <is>
          <t>M</t>
        </is>
      </c>
      <c r="G1083" s="4" t="inlineStr">
        <is>
          <t>CH02</t>
        </is>
      </c>
      <c r="H1083" s="4" t="inlineStr">
        <is>
          <t>PR00</t>
        </is>
      </c>
      <c r="I1083" s="8" t="n">
        <v>73</v>
      </c>
      <c r="J1083" s="9" t="n">
        <v>0</v>
      </c>
      <c r="K1083" s="10">
        <f>I1083*(1-J1083)</f>
        <v/>
      </c>
      <c r="L1083" s="11" t="n">
        <v>1</v>
      </c>
      <c r="M1083" s="10">
        <f>K1083*L1083</f>
        <v/>
      </c>
      <c r="N1083" s="8" t="n">
        <v>32.81</v>
      </c>
      <c r="O1083" s="10">
        <f>N1083*L1083</f>
        <v/>
      </c>
      <c r="P1083" s="10">
        <f>M1083-O1083</f>
        <v/>
      </c>
      <c r="Q1083" s="11" t="inlineStr">
        <is>
          <t>No</t>
        </is>
      </c>
      <c r="R1083" s="11" t="n">
        <v>0</v>
      </c>
      <c r="S1083" s="10">
        <f>M1083-(R1083*K1083)</f>
        <v/>
      </c>
      <c r="T1083" s="12">
        <f>VLOOKUP(E1083,Dim_Product!$A$2:$Q$61,3,FALSE)</f>
        <v/>
      </c>
      <c r="U1083" s="12">
        <f>VLOOKUP(E1083,Dim_Product!$A$2:$Q$61,4,FALSE)</f>
        <v/>
      </c>
      <c r="V1083" s="12">
        <f>VLOOKUP(D1083,Dim_Customer!$A$2:$I$121,6,FALSE)</f>
        <v/>
      </c>
      <c r="W1083" s="12">
        <f>VLOOKUP(G1083,Dim_Channel!$A$2:$B$5,2,FALSE)</f>
        <v/>
      </c>
      <c r="X1083" s="12">
        <f>VLOOKUP(H1083,Dim_Promotion!$A$2:$G$11,2,FALSE)</f>
        <v/>
      </c>
    </row>
    <row r="1084">
      <c r="A1084" s="4" t="inlineStr">
        <is>
          <t>SL1083</t>
        </is>
      </c>
      <c r="B1084" t="inlineStr">
        <is>
          <t>O010542</t>
        </is>
      </c>
      <c r="C1084" t="n">
        <v>20250408</v>
      </c>
      <c r="D1084" s="4" t="inlineStr">
        <is>
          <t>C042</t>
        </is>
      </c>
      <c r="E1084" s="4" t="inlineStr">
        <is>
          <t>P021</t>
        </is>
      </c>
      <c r="F1084" t="inlineStr">
        <is>
          <t>M</t>
        </is>
      </c>
      <c r="G1084" s="4" t="inlineStr">
        <is>
          <t>CH02</t>
        </is>
      </c>
      <c r="H1084" s="4" t="inlineStr">
        <is>
          <t>PR00</t>
        </is>
      </c>
      <c r="I1084" s="8" t="n">
        <v>52</v>
      </c>
      <c r="J1084" s="9" t="n">
        <v>0</v>
      </c>
      <c r="K1084" s="10">
        <f>I1084*(1-J1084)</f>
        <v/>
      </c>
      <c r="L1084" s="11" t="n">
        <v>1</v>
      </c>
      <c r="M1084" s="10">
        <f>K1084*L1084</f>
        <v/>
      </c>
      <c r="N1084" s="8" t="n">
        <v>27.51</v>
      </c>
      <c r="O1084" s="10">
        <f>N1084*L1084</f>
        <v/>
      </c>
      <c r="P1084" s="10">
        <f>M1084-O1084</f>
        <v/>
      </c>
      <c r="Q1084" s="11" t="inlineStr">
        <is>
          <t>No</t>
        </is>
      </c>
      <c r="R1084" s="11" t="n">
        <v>0</v>
      </c>
      <c r="S1084" s="10">
        <f>M1084-(R1084*K1084)</f>
        <v/>
      </c>
      <c r="T1084" s="12">
        <f>VLOOKUP(E1084,Dim_Product!$A$2:$Q$61,3,FALSE)</f>
        <v/>
      </c>
      <c r="U1084" s="12">
        <f>VLOOKUP(E1084,Dim_Product!$A$2:$Q$61,4,FALSE)</f>
        <v/>
      </c>
      <c r="V1084" s="12">
        <f>VLOOKUP(D1084,Dim_Customer!$A$2:$I$121,6,FALSE)</f>
        <v/>
      </c>
      <c r="W1084" s="12">
        <f>VLOOKUP(G1084,Dim_Channel!$A$2:$B$5,2,FALSE)</f>
        <v/>
      </c>
      <c r="X1084" s="12">
        <f>VLOOKUP(H1084,Dim_Promotion!$A$2:$G$11,2,FALSE)</f>
        <v/>
      </c>
    </row>
    <row r="1085">
      <c r="A1085" s="4" t="inlineStr">
        <is>
          <t>SL1084</t>
        </is>
      </c>
      <c r="B1085" t="inlineStr">
        <is>
          <t>O010542</t>
        </is>
      </c>
      <c r="C1085" t="n">
        <v>20250608</v>
      </c>
      <c r="D1085" s="4" t="inlineStr">
        <is>
          <t>C053</t>
        </is>
      </c>
      <c r="E1085" s="4" t="inlineStr">
        <is>
          <t>P035</t>
        </is>
      </c>
      <c r="F1085" t="inlineStr">
        <is>
          <t>L</t>
        </is>
      </c>
      <c r="G1085" s="4" t="inlineStr">
        <is>
          <t>CH02</t>
        </is>
      </c>
      <c r="H1085" s="4" t="inlineStr">
        <is>
          <t>PR00</t>
        </is>
      </c>
      <c r="I1085" s="8" t="n">
        <v>90</v>
      </c>
      <c r="J1085" s="9" t="n">
        <v>0</v>
      </c>
      <c r="K1085" s="10">
        <f>I1085*(1-J1085)</f>
        <v/>
      </c>
      <c r="L1085" s="11" t="n">
        <v>2</v>
      </c>
      <c r="M1085" s="10">
        <f>K1085*L1085</f>
        <v/>
      </c>
      <c r="N1085" s="8" t="n">
        <v>44.6</v>
      </c>
      <c r="O1085" s="10">
        <f>N1085*L1085</f>
        <v/>
      </c>
      <c r="P1085" s="10">
        <f>M1085-O1085</f>
        <v/>
      </c>
      <c r="Q1085" s="11" t="inlineStr">
        <is>
          <t>No</t>
        </is>
      </c>
      <c r="R1085" s="11" t="n">
        <v>0</v>
      </c>
      <c r="S1085" s="10">
        <f>M1085-(R1085*K1085)</f>
        <v/>
      </c>
      <c r="T1085" s="12">
        <f>VLOOKUP(E1085,Dim_Product!$A$2:$Q$61,3,FALSE)</f>
        <v/>
      </c>
      <c r="U1085" s="12">
        <f>VLOOKUP(E1085,Dim_Product!$A$2:$Q$61,4,FALSE)</f>
        <v/>
      </c>
      <c r="V1085" s="12">
        <f>VLOOKUP(D1085,Dim_Customer!$A$2:$I$121,6,FALSE)</f>
        <v/>
      </c>
      <c r="W1085" s="12">
        <f>VLOOKUP(G1085,Dim_Channel!$A$2:$B$5,2,FALSE)</f>
        <v/>
      </c>
      <c r="X1085" s="12">
        <f>VLOOKUP(H1085,Dim_Promotion!$A$2:$G$11,2,FALSE)</f>
        <v/>
      </c>
    </row>
    <row r="1086">
      <c r="A1086" s="4" t="inlineStr">
        <is>
          <t>SL1085</t>
        </is>
      </c>
      <c r="B1086" t="inlineStr">
        <is>
          <t>O010543</t>
        </is>
      </c>
      <c r="C1086" t="n">
        <v>20250705</v>
      </c>
      <c r="D1086" s="4" t="inlineStr">
        <is>
          <t>C009</t>
        </is>
      </c>
      <c r="E1086" s="4" t="inlineStr">
        <is>
          <t>P014</t>
        </is>
      </c>
      <c r="F1086" t="inlineStr">
        <is>
          <t>XL</t>
        </is>
      </c>
      <c r="G1086" s="4" t="inlineStr">
        <is>
          <t>CH04</t>
        </is>
      </c>
      <c r="H1086" s="4" t="inlineStr">
        <is>
          <t>PR05</t>
        </is>
      </c>
      <c r="I1086" s="8" t="n">
        <v>60</v>
      </c>
      <c r="J1086" s="9" t="n">
        <v>0.2</v>
      </c>
      <c r="K1086" s="10">
        <f>I1086*(1-J1086)</f>
        <v/>
      </c>
      <c r="L1086" s="11" t="n">
        <v>1</v>
      </c>
      <c r="M1086" s="10">
        <f>K1086*L1086</f>
        <v/>
      </c>
      <c r="N1086" s="8" t="n">
        <v>26.88</v>
      </c>
      <c r="O1086" s="10">
        <f>N1086*L1086</f>
        <v/>
      </c>
      <c r="P1086" s="10">
        <f>M1086-O1086</f>
        <v/>
      </c>
      <c r="Q1086" s="11" t="inlineStr">
        <is>
          <t>No</t>
        </is>
      </c>
      <c r="R1086" s="11" t="n">
        <v>0</v>
      </c>
      <c r="S1086" s="10">
        <f>M1086-(R1086*K1086)</f>
        <v/>
      </c>
      <c r="T1086" s="12">
        <f>VLOOKUP(E1086,Dim_Product!$A$2:$Q$61,3,FALSE)</f>
        <v/>
      </c>
      <c r="U1086" s="12">
        <f>VLOOKUP(E1086,Dim_Product!$A$2:$Q$61,4,FALSE)</f>
        <v/>
      </c>
      <c r="V1086" s="12">
        <f>VLOOKUP(D1086,Dim_Customer!$A$2:$I$121,6,FALSE)</f>
        <v/>
      </c>
      <c r="W1086" s="12">
        <f>VLOOKUP(G1086,Dim_Channel!$A$2:$B$5,2,FALSE)</f>
        <v/>
      </c>
      <c r="X1086" s="12">
        <f>VLOOKUP(H1086,Dim_Promotion!$A$2:$G$11,2,FALSE)</f>
        <v/>
      </c>
    </row>
    <row r="1087">
      <c r="A1087" s="4" t="inlineStr">
        <is>
          <t>SL1086</t>
        </is>
      </c>
      <c r="B1087" t="inlineStr">
        <is>
          <t>O010543</t>
        </is>
      </c>
      <c r="C1087" t="n">
        <v>20250316</v>
      </c>
      <c r="D1087" s="4" t="inlineStr">
        <is>
          <t>C064</t>
        </is>
      </c>
      <c r="E1087" s="4" t="inlineStr">
        <is>
          <t>P052</t>
        </is>
      </c>
      <c r="F1087" t="inlineStr">
        <is>
          <t>M</t>
        </is>
      </c>
      <c r="G1087" s="4" t="inlineStr">
        <is>
          <t>CH03</t>
        </is>
      </c>
      <c r="H1087" s="4" t="inlineStr">
        <is>
          <t>PR00</t>
        </is>
      </c>
      <c r="I1087" s="8" t="n">
        <v>62</v>
      </c>
      <c r="J1087" s="9" t="n">
        <v>0</v>
      </c>
      <c r="K1087" s="10">
        <f>I1087*(1-J1087)</f>
        <v/>
      </c>
      <c r="L1087" s="11" t="n">
        <v>1</v>
      </c>
      <c r="M1087" s="10">
        <f>K1087*L1087</f>
        <v/>
      </c>
      <c r="N1087" s="8" t="n">
        <v>30.83</v>
      </c>
      <c r="O1087" s="10">
        <f>N1087*L1087</f>
        <v/>
      </c>
      <c r="P1087" s="10">
        <f>M1087-O1087</f>
        <v/>
      </c>
      <c r="Q1087" s="11" t="inlineStr">
        <is>
          <t>No</t>
        </is>
      </c>
      <c r="R1087" s="11" t="n">
        <v>0</v>
      </c>
      <c r="S1087" s="10">
        <f>M1087-(R1087*K1087)</f>
        <v/>
      </c>
      <c r="T1087" s="12">
        <f>VLOOKUP(E1087,Dim_Product!$A$2:$Q$61,3,FALSE)</f>
        <v/>
      </c>
      <c r="U1087" s="12">
        <f>VLOOKUP(E1087,Dim_Product!$A$2:$Q$61,4,FALSE)</f>
        <v/>
      </c>
      <c r="V1087" s="12">
        <f>VLOOKUP(D1087,Dim_Customer!$A$2:$I$121,6,FALSE)</f>
        <v/>
      </c>
      <c r="W1087" s="12">
        <f>VLOOKUP(G1087,Dim_Channel!$A$2:$B$5,2,FALSE)</f>
        <v/>
      </c>
      <c r="X1087" s="12">
        <f>VLOOKUP(H1087,Dim_Promotion!$A$2:$G$11,2,FALSE)</f>
        <v/>
      </c>
    </row>
    <row r="1088">
      <c r="A1088" s="4" t="inlineStr">
        <is>
          <t>SL1087</t>
        </is>
      </c>
      <c r="B1088" t="inlineStr">
        <is>
          <t>O010544</t>
        </is>
      </c>
      <c r="C1088" t="n">
        <v>20250313</v>
      </c>
      <c r="D1088" s="4" t="inlineStr">
        <is>
          <t>C080</t>
        </is>
      </c>
      <c r="E1088" s="4" t="inlineStr">
        <is>
          <t>P040</t>
        </is>
      </c>
      <c r="F1088" t="inlineStr">
        <is>
          <t>M</t>
        </is>
      </c>
      <c r="G1088" s="4" t="inlineStr">
        <is>
          <t>CH02</t>
        </is>
      </c>
      <c r="H1088" s="4" t="inlineStr">
        <is>
          <t>PR00</t>
        </is>
      </c>
      <c r="I1088" s="8" t="n">
        <v>70</v>
      </c>
      <c r="J1088" s="9" t="n">
        <v>0</v>
      </c>
      <c r="K1088" s="10">
        <f>I1088*(1-J1088)</f>
        <v/>
      </c>
      <c r="L1088" s="11" t="n">
        <v>1</v>
      </c>
      <c r="M1088" s="10">
        <f>K1088*L1088</f>
        <v/>
      </c>
      <c r="N1088" s="8" t="n">
        <v>33.64</v>
      </c>
      <c r="O1088" s="10">
        <f>N1088*L1088</f>
        <v/>
      </c>
      <c r="P1088" s="10">
        <f>M1088-O1088</f>
        <v/>
      </c>
      <c r="Q1088" s="11" t="inlineStr">
        <is>
          <t>No</t>
        </is>
      </c>
      <c r="R1088" s="11" t="n">
        <v>0</v>
      </c>
      <c r="S1088" s="10">
        <f>M1088-(R1088*K1088)</f>
        <v/>
      </c>
      <c r="T1088" s="12">
        <f>VLOOKUP(E1088,Dim_Product!$A$2:$Q$61,3,FALSE)</f>
        <v/>
      </c>
      <c r="U1088" s="12">
        <f>VLOOKUP(E1088,Dim_Product!$A$2:$Q$61,4,FALSE)</f>
        <v/>
      </c>
      <c r="V1088" s="12">
        <f>VLOOKUP(D1088,Dim_Customer!$A$2:$I$121,6,FALSE)</f>
        <v/>
      </c>
      <c r="W1088" s="12">
        <f>VLOOKUP(G1088,Dim_Channel!$A$2:$B$5,2,FALSE)</f>
        <v/>
      </c>
      <c r="X1088" s="12">
        <f>VLOOKUP(H1088,Dim_Promotion!$A$2:$G$11,2,FALSE)</f>
        <v/>
      </c>
    </row>
    <row r="1089">
      <c r="A1089" s="4" t="inlineStr">
        <is>
          <t>SL1088</t>
        </is>
      </c>
      <c r="B1089" t="inlineStr">
        <is>
          <t>O010544</t>
        </is>
      </c>
      <c r="C1089" t="n">
        <v>20250623</v>
      </c>
      <c r="D1089" s="4" t="inlineStr">
        <is>
          <t>C017</t>
        </is>
      </c>
      <c r="E1089" s="4" t="inlineStr">
        <is>
          <t>P021</t>
        </is>
      </c>
      <c r="F1089" t="inlineStr">
        <is>
          <t>L</t>
        </is>
      </c>
      <c r="G1089" s="4" t="inlineStr">
        <is>
          <t>CH02</t>
        </is>
      </c>
      <c r="H1089" s="4" t="inlineStr">
        <is>
          <t>PR00</t>
        </is>
      </c>
      <c r="I1089" s="8" t="n">
        <v>54</v>
      </c>
      <c r="J1089" s="9" t="n">
        <v>0</v>
      </c>
      <c r="K1089" s="10">
        <f>I1089*(1-J1089)</f>
        <v/>
      </c>
      <c r="L1089" s="11" t="n">
        <v>1</v>
      </c>
      <c r="M1089" s="10">
        <f>K1089*L1089</f>
        <v/>
      </c>
      <c r="N1089" s="8" t="n">
        <v>28.91</v>
      </c>
      <c r="O1089" s="10">
        <f>N1089*L1089</f>
        <v/>
      </c>
      <c r="P1089" s="10">
        <f>M1089-O1089</f>
        <v/>
      </c>
      <c r="Q1089" s="11" t="inlineStr">
        <is>
          <t>No</t>
        </is>
      </c>
      <c r="R1089" s="11" t="n">
        <v>0</v>
      </c>
      <c r="S1089" s="10">
        <f>M1089-(R1089*K1089)</f>
        <v/>
      </c>
      <c r="T1089" s="12">
        <f>VLOOKUP(E1089,Dim_Product!$A$2:$Q$61,3,FALSE)</f>
        <v/>
      </c>
      <c r="U1089" s="12">
        <f>VLOOKUP(E1089,Dim_Product!$A$2:$Q$61,4,FALSE)</f>
        <v/>
      </c>
      <c r="V1089" s="12">
        <f>VLOOKUP(D1089,Dim_Customer!$A$2:$I$121,6,FALSE)</f>
        <v/>
      </c>
      <c r="W1089" s="12">
        <f>VLOOKUP(G1089,Dim_Channel!$A$2:$B$5,2,FALSE)</f>
        <v/>
      </c>
      <c r="X1089" s="12">
        <f>VLOOKUP(H1089,Dim_Promotion!$A$2:$G$11,2,FALSE)</f>
        <v/>
      </c>
    </row>
    <row r="1090">
      <c r="A1090" s="4" t="inlineStr">
        <is>
          <t>SL1089</t>
        </is>
      </c>
      <c r="B1090" t="inlineStr">
        <is>
          <t>O010545</t>
        </is>
      </c>
      <c r="C1090" t="n">
        <v>20250521</v>
      </c>
      <c r="D1090" s="4" t="inlineStr">
        <is>
          <t>C050</t>
        </is>
      </c>
      <c r="E1090" s="4" t="inlineStr">
        <is>
          <t>P021</t>
        </is>
      </c>
      <c r="F1090" t="inlineStr">
        <is>
          <t>XL</t>
        </is>
      </c>
      <c r="G1090" s="4" t="inlineStr">
        <is>
          <t>CH01</t>
        </is>
      </c>
      <c r="H1090" s="4" t="inlineStr">
        <is>
          <t>PR00</t>
        </is>
      </c>
      <c r="I1090" s="8" t="n">
        <v>54</v>
      </c>
      <c r="J1090" s="9" t="n">
        <v>0</v>
      </c>
      <c r="K1090" s="10">
        <f>I1090*(1-J1090)</f>
        <v/>
      </c>
      <c r="L1090" s="11" t="n">
        <v>1</v>
      </c>
      <c r="M1090" s="10">
        <f>K1090*L1090</f>
        <v/>
      </c>
      <c r="N1090" s="8" t="n">
        <v>28.59</v>
      </c>
      <c r="O1090" s="10">
        <f>N1090*L1090</f>
        <v/>
      </c>
      <c r="P1090" s="10">
        <f>M1090-O1090</f>
        <v/>
      </c>
      <c r="Q1090" s="11" t="inlineStr">
        <is>
          <t>No</t>
        </is>
      </c>
      <c r="R1090" s="11" t="n">
        <v>0</v>
      </c>
      <c r="S1090" s="10">
        <f>M1090-(R1090*K1090)</f>
        <v/>
      </c>
      <c r="T1090" s="12">
        <f>VLOOKUP(E1090,Dim_Product!$A$2:$Q$61,3,FALSE)</f>
        <v/>
      </c>
      <c r="U1090" s="12">
        <f>VLOOKUP(E1090,Dim_Product!$A$2:$Q$61,4,FALSE)</f>
        <v/>
      </c>
      <c r="V1090" s="12">
        <f>VLOOKUP(D1090,Dim_Customer!$A$2:$I$121,6,FALSE)</f>
        <v/>
      </c>
      <c r="W1090" s="12">
        <f>VLOOKUP(G1090,Dim_Channel!$A$2:$B$5,2,FALSE)</f>
        <v/>
      </c>
      <c r="X1090" s="12">
        <f>VLOOKUP(H1090,Dim_Promotion!$A$2:$G$11,2,FALSE)</f>
        <v/>
      </c>
    </row>
    <row r="1091">
      <c r="A1091" s="4" t="inlineStr">
        <is>
          <t>SL1090</t>
        </is>
      </c>
      <c r="B1091" t="inlineStr">
        <is>
          <t>O010545</t>
        </is>
      </c>
      <c r="C1091" t="n">
        <v>20251230</v>
      </c>
      <c r="D1091" s="4" t="inlineStr">
        <is>
          <t>C094</t>
        </is>
      </c>
      <c r="E1091" s="4" t="inlineStr">
        <is>
          <t>P002</t>
        </is>
      </c>
      <c r="F1091" t="inlineStr">
        <is>
          <t>M</t>
        </is>
      </c>
      <c r="G1091" s="4" t="inlineStr">
        <is>
          <t>CH01</t>
        </is>
      </c>
      <c r="H1091" s="4" t="inlineStr">
        <is>
          <t>PR00</t>
        </is>
      </c>
      <c r="I1091" s="8" t="n">
        <v>42</v>
      </c>
      <c r="J1091" s="9" t="n">
        <v>0</v>
      </c>
      <c r="K1091" s="10">
        <f>I1091*(1-J1091)</f>
        <v/>
      </c>
      <c r="L1091" s="11" t="n">
        <v>3</v>
      </c>
      <c r="M1091" s="10">
        <f>K1091*L1091</f>
        <v/>
      </c>
      <c r="N1091" s="8" t="n">
        <v>17.2</v>
      </c>
      <c r="O1091" s="10">
        <f>N1091*L1091</f>
        <v/>
      </c>
      <c r="P1091" s="10">
        <f>M1091-O1091</f>
        <v/>
      </c>
      <c r="Q1091" s="11" t="inlineStr">
        <is>
          <t>No</t>
        </is>
      </c>
      <c r="R1091" s="11" t="n">
        <v>0</v>
      </c>
      <c r="S1091" s="10">
        <f>M1091-(R1091*K1091)</f>
        <v/>
      </c>
      <c r="T1091" s="12">
        <f>VLOOKUP(E1091,Dim_Product!$A$2:$Q$61,3,FALSE)</f>
        <v/>
      </c>
      <c r="U1091" s="12">
        <f>VLOOKUP(E1091,Dim_Product!$A$2:$Q$61,4,FALSE)</f>
        <v/>
      </c>
      <c r="V1091" s="12">
        <f>VLOOKUP(D1091,Dim_Customer!$A$2:$I$121,6,FALSE)</f>
        <v/>
      </c>
      <c r="W1091" s="12">
        <f>VLOOKUP(G1091,Dim_Channel!$A$2:$B$5,2,FALSE)</f>
        <v/>
      </c>
      <c r="X1091" s="12">
        <f>VLOOKUP(H1091,Dim_Promotion!$A$2:$G$11,2,FALSE)</f>
        <v/>
      </c>
    </row>
    <row r="1092">
      <c r="A1092" s="4" t="inlineStr">
        <is>
          <t>SL1091</t>
        </is>
      </c>
      <c r="B1092" t="inlineStr">
        <is>
          <t>O010546</t>
        </is>
      </c>
      <c r="C1092" t="n">
        <v>20250108</v>
      </c>
      <c r="D1092" s="4" t="inlineStr">
        <is>
          <t>C094</t>
        </is>
      </c>
      <c r="E1092" s="4" t="inlineStr">
        <is>
          <t>P006</t>
        </is>
      </c>
      <c r="F1092" t="inlineStr">
        <is>
          <t>L</t>
        </is>
      </c>
      <c r="G1092" s="4" t="inlineStr">
        <is>
          <t>CH01</t>
        </is>
      </c>
      <c r="H1092" s="4" t="inlineStr">
        <is>
          <t>PR00</t>
        </is>
      </c>
      <c r="I1092" s="8" t="n">
        <v>46</v>
      </c>
      <c r="J1092" s="9" t="n">
        <v>0</v>
      </c>
      <c r="K1092" s="10">
        <f>I1092*(1-J1092)</f>
        <v/>
      </c>
      <c r="L1092" s="11" t="n">
        <v>1</v>
      </c>
      <c r="M1092" s="10">
        <f>K1092*L1092</f>
        <v/>
      </c>
      <c r="N1092" s="8" t="n">
        <v>21.63</v>
      </c>
      <c r="O1092" s="10">
        <f>N1092*L1092</f>
        <v/>
      </c>
      <c r="P1092" s="10">
        <f>M1092-O1092</f>
        <v/>
      </c>
      <c r="Q1092" s="11" t="inlineStr">
        <is>
          <t>Yes</t>
        </is>
      </c>
      <c r="R1092" s="11" t="n">
        <v>1</v>
      </c>
      <c r="S1092" s="10">
        <f>M1092-(R1092*K1092)</f>
        <v/>
      </c>
      <c r="T1092" s="12">
        <f>VLOOKUP(E1092,Dim_Product!$A$2:$Q$61,3,FALSE)</f>
        <v/>
      </c>
      <c r="U1092" s="12">
        <f>VLOOKUP(E1092,Dim_Product!$A$2:$Q$61,4,FALSE)</f>
        <v/>
      </c>
      <c r="V1092" s="12">
        <f>VLOOKUP(D1092,Dim_Customer!$A$2:$I$121,6,FALSE)</f>
        <v/>
      </c>
      <c r="W1092" s="12">
        <f>VLOOKUP(G1092,Dim_Channel!$A$2:$B$5,2,FALSE)</f>
        <v/>
      </c>
      <c r="X1092" s="12">
        <f>VLOOKUP(H1092,Dim_Promotion!$A$2:$G$11,2,FALSE)</f>
        <v/>
      </c>
    </row>
    <row r="1093">
      <c r="A1093" s="4" t="inlineStr">
        <is>
          <t>SL1092</t>
        </is>
      </c>
      <c r="B1093" t="inlineStr">
        <is>
          <t>O010546</t>
        </is>
      </c>
      <c r="C1093" t="n">
        <v>20250122</v>
      </c>
      <c r="D1093" s="4" t="inlineStr">
        <is>
          <t>C082</t>
        </is>
      </c>
      <c r="E1093" s="4" t="inlineStr">
        <is>
          <t>P020</t>
        </is>
      </c>
      <c r="F1093" t="inlineStr">
        <is>
          <t>S</t>
        </is>
      </c>
      <c r="G1093" s="4" t="inlineStr">
        <is>
          <t>CH02</t>
        </is>
      </c>
      <c r="H1093" s="4" t="inlineStr">
        <is>
          <t>PR00</t>
        </is>
      </c>
      <c r="I1093" s="8" t="n">
        <v>65</v>
      </c>
      <c r="J1093" s="9" t="n">
        <v>0</v>
      </c>
      <c r="K1093" s="10">
        <f>I1093*(1-J1093)</f>
        <v/>
      </c>
      <c r="L1093" s="11" t="n">
        <v>2</v>
      </c>
      <c r="M1093" s="10">
        <f>K1093*L1093</f>
        <v/>
      </c>
      <c r="N1093" s="8" t="n">
        <v>30.85</v>
      </c>
      <c r="O1093" s="10">
        <f>N1093*L1093</f>
        <v/>
      </c>
      <c r="P1093" s="10">
        <f>M1093-O1093</f>
        <v/>
      </c>
      <c r="Q1093" s="11" t="inlineStr">
        <is>
          <t>No</t>
        </is>
      </c>
      <c r="R1093" s="11" t="n">
        <v>0</v>
      </c>
      <c r="S1093" s="10">
        <f>M1093-(R1093*K1093)</f>
        <v/>
      </c>
      <c r="T1093" s="12">
        <f>VLOOKUP(E1093,Dim_Product!$A$2:$Q$61,3,FALSE)</f>
        <v/>
      </c>
      <c r="U1093" s="12">
        <f>VLOOKUP(E1093,Dim_Product!$A$2:$Q$61,4,FALSE)</f>
        <v/>
      </c>
      <c r="V1093" s="12">
        <f>VLOOKUP(D1093,Dim_Customer!$A$2:$I$121,6,FALSE)</f>
        <v/>
      </c>
      <c r="W1093" s="12">
        <f>VLOOKUP(G1093,Dim_Channel!$A$2:$B$5,2,FALSE)</f>
        <v/>
      </c>
      <c r="X1093" s="12">
        <f>VLOOKUP(H1093,Dim_Promotion!$A$2:$G$11,2,FALSE)</f>
        <v/>
      </c>
    </row>
    <row r="1094">
      <c r="A1094" s="4" t="inlineStr">
        <is>
          <t>SL1093</t>
        </is>
      </c>
      <c r="B1094" t="inlineStr">
        <is>
          <t>O010547</t>
        </is>
      </c>
      <c r="C1094" t="n">
        <v>20250223</v>
      </c>
      <c r="D1094" s="4" t="inlineStr">
        <is>
          <t>C077</t>
        </is>
      </c>
      <c r="E1094" s="4" t="inlineStr">
        <is>
          <t>P026</t>
        </is>
      </c>
      <c r="F1094" t="inlineStr">
        <is>
          <t>XL</t>
        </is>
      </c>
      <c r="G1094" s="4" t="inlineStr">
        <is>
          <t>CH01</t>
        </is>
      </c>
      <c r="H1094" s="4" t="inlineStr">
        <is>
          <t>PR00</t>
        </is>
      </c>
      <c r="I1094" s="8" t="n">
        <v>93</v>
      </c>
      <c r="J1094" s="9" t="n">
        <v>0</v>
      </c>
      <c r="K1094" s="10">
        <f>I1094*(1-J1094)</f>
        <v/>
      </c>
      <c r="L1094" s="11" t="n">
        <v>1</v>
      </c>
      <c r="M1094" s="10">
        <f>K1094*L1094</f>
        <v/>
      </c>
      <c r="N1094" s="8" t="n">
        <v>45.8</v>
      </c>
      <c r="O1094" s="10">
        <f>N1094*L1094</f>
        <v/>
      </c>
      <c r="P1094" s="10">
        <f>M1094-O1094</f>
        <v/>
      </c>
      <c r="Q1094" s="11" t="inlineStr">
        <is>
          <t>No</t>
        </is>
      </c>
      <c r="R1094" s="11" t="n">
        <v>0</v>
      </c>
      <c r="S1094" s="10">
        <f>M1094-(R1094*K1094)</f>
        <v/>
      </c>
      <c r="T1094" s="12">
        <f>VLOOKUP(E1094,Dim_Product!$A$2:$Q$61,3,FALSE)</f>
        <v/>
      </c>
      <c r="U1094" s="12">
        <f>VLOOKUP(E1094,Dim_Product!$A$2:$Q$61,4,FALSE)</f>
        <v/>
      </c>
      <c r="V1094" s="12">
        <f>VLOOKUP(D1094,Dim_Customer!$A$2:$I$121,6,FALSE)</f>
        <v/>
      </c>
      <c r="W1094" s="12">
        <f>VLOOKUP(G1094,Dim_Channel!$A$2:$B$5,2,FALSE)</f>
        <v/>
      </c>
      <c r="X1094" s="12">
        <f>VLOOKUP(H1094,Dim_Promotion!$A$2:$G$11,2,FALSE)</f>
        <v/>
      </c>
    </row>
    <row r="1095">
      <c r="A1095" s="4" t="inlineStr">
        <is>
          <t>SL1094</t>
        </is>
      </c>
      <c r="B1095" t="inlineStr">
        <is>
          <t>O010547</t>
        </is>
      </c>
      <c r="C1095" t="n">
        <v>20250413</v>
      </c>
      <c r="D1095" s="4" t="inlineStr">
        <is>
          <t>C083</t>
        </is>
      </c>
      <c r="E1095" s="4" t="inlineStr">
        <is>
          <t>P018</t>
        </is>
      </c>
      <c r="F1095" t="inlineStr">
        <is>
          <t>L</t>
        </is>
      </c>
      <c r="G1095" s="4" t="inlineStr">
        <is>
          <t>CH04</t>
        </is>
      </c>
      <c r="H1095" s="4" t="inlineStr">
        <is>
          <t>PR00</t>
        </is>
      </c>
      <c r="I1095" s="8" t="n">
        <v>66</v>
      </c>
      <c r="J1095" s="9" t="n">
        <v>0</v>
      </c>
      <c r="K1095" s="10">
        <f>I1095*(1-J1095)</f>
        <v/>
      </c>
      <c r="L1095" s="11" t="n">
        <v>2</v>
      </c>
      <c r="M1095" s="10">
        <f>K1095*L1095</f>
        <v/>
      </c>
      <c r="N1095" s="8" t="n">
        <v>31.3</v>
      </c>
      <c r="O1095" s="10">
        <f>N1095*L1095</f>
        <v/>
      </c>
      <c r="P1095" s="10">
        <f>M1095-O1095</f>
        <v/>
      </c>
      <c r="Q1095" s="11" t="inlineStr">
        <is>
          <t>No</t>
        </is>
      </c>
      <c r="R1095" s="11" t="n">
        <v>0</v>
      </c>
      <c r="S1095" s="10">
        <f>M1095-(R1095*K1095)</f>
        <v/>
      </c>
      <c r="T1095" s="12">
        <f>VLOOKUP(E1095,Dim_Product!$A$2:$Q$61,3,FALSE)</f>
        <v/>
      </c>
      <c r="U1095" s="12">
        <f>VLOOKUP(E1095,Dim_Product!$A$2:$Q$61,4,FALSE)</f>
        <v/>
      </c>
      <c r="V1095" s="12">
        <f>VLOOKUP(D1095,Dim_Customer!$A$2:$I$121,6,FALSE)</f>
        <v/>
      </c>
      <c r="W1095" s="12">
        <f>VLOOKUP(G1095,Dim_Channel!$A$2:$B$5,2,FALSE)</f>
        <v/>
      </c>
      <c r="X1095" s="12">
        <f>VLOOKUP(H1095,Dim_Promotion!$A$2:$G$11,2,FALSE)</f>
        <v/>
      </c>
    </row>
    <row r="1096">
      <c r="A1096" s="4" t="inlineStr">
        <is>
          <t>SL1095</t>
        </is>
      </c>
      <c r="B1096" t="inlineStr">
        <is>
          <t>O010548</t>
        </is>
      </c>
      <c r="C1096" t="n">
        <v>20251204</v>
      </c>
      <c r="D1096" s="4" t="inlineStr">
        <is>
          <t>C060</t>
        </is>
      </c>
      <c r="E1096" s="4" t="inlineStr">
        <is>
          <t>P058</t>
        </is>
      </c>
      <c r="F1096" t="inlineStr">
        <is>
          <t>L</t>
        </is>
      </c>
      <c r="G1096" s="4" t="inlineStr">
        <is>
          <t>CH03</t>
        </is>
      </c>
      <c r="H1096" s="4" t="inlineStr">
        <is>
          <t>PR00</t>
        </is>
      </c>
      <c r="I1096" s="8" t="n">
        <v>72</v>
      </c>
      <c r="J1096" s="9" t="n">
        <v>0</v>
      </c>
      <c r="K1096" s="10">
        <f>I1096*(1-J1096)</f>
        <v/>
      </c>
      <c r="L1096" s="11" t="n">
        <v>1</v>
      </c>
      <c r="M1096" s="10">
        <f>K1096*L1096</f>
        <v/>
      </c>
      <c r="N1096" s="8" t="n">
        <v>35.68</v>
      </c>
      <c r="O1096" s="10">
        <f>N1096*L1096</f>
        <v/>
      </c>
      <c r="P1096" s="10">
        <f>M1096-O1096</f>
        <v/>
      </c>
      <c r="Q1096" s="11" t="inlineStr">
        <is>
          <t>No</t>
        </is>
      </c>
      <c r="R1096" s="11" t="n">
        <v>0</v>
      </c>
      <c r="S1096" s="10">
        <f>M1096-(R1096*K1096)</f>
        <v/>
      </c>
      <c r="T1096" s="12">
        <f>VLOOKUP(E1096,Dim_Product!$A$2:$Q$61,3,FALSE)</f>
        <v/>
      </c>
      <c r="U1096" s="12">
        <f>VLOOKUP(E1096,Dim_Product!$A$2:$Q$61,4,FALSE)</f>
        <v/>
      </c>
      <c r="V1096" s="12">
        <f>VLOOKUP(D1096,Dim_Customer!$A$2:$I$121,6,FALSE)</f>
        <v/>
      </c>
      <c r="W1096" s="12">
        <f>VLOOKUP(G1096,Dim_Channel!$A$2:$B$5,2,FALSE)</f>
        <v/>
      </c>
      <c r="X1096" s="12">
        <f>VLOOKUP(H1096,Dim_Promotion!$A$2:$G$11,2,FALSE)</f>
        <v/>
      </c>
    </row>
    <row r="1097">
      <c r="A1097" s="4" t="inlineStr">
        <is>
          <t>SL1096</t>
        </is>
      </c>
      <c r="B1097" t="inlineStr">
        <is>
          <t>O010548</t>
        </is>
      </c>
      <c r="C1097" t="n">
        <v>20251201</v>
      </c>
      <c r="D1097" s="4" t="inlineStr">
        <is>
          <t>C076</t>
        </is>
      </c>
      <c r="E1097" s="4" t="inlineStr">
        <is>
          <t>P006</t>
        </is>
      </c>
      <c r="F1097" t="inlineStr">
        <is>
          <t>L</t>
        </is>
      </c>
      <c r="G1097" s="4" t="inlineStr">
        <is>
          <t>CH04</t>
        </is>
      </c>
      <c r="H1097" s="4" t="inlineStr">
        <is>
          <t>PR00</t>
        </is>
      </c>
      <c r="I1097" s="8" t="n">
        <v>47</v>
      </c>
      <c r="J1097" s="9" t="n">
        <v>0</v>
      </c>
      <c r="K1097" s="10">
        <f>I1097*(1-J1097)</f>
        <v/>
      </c>
      <c r="L1097" s="11" t="n">
        <v>1</v>
      </c>
      <c r="M1097" s="10">
        <f>K1097*L1097</f>
        <v/>
      </c>
      <c r="N1097" s="8" t="n">
        <v>21.21</v>
      </c>
      <c r="O1097" s="10">
        <f>N1097*L1097</f>
        <v/>
      </c>
      <c r="P1097" s="10">
        <f>M1097-O1097</f>
        <v/>
      </c>
      <c r="Q1097" s="11" t="inlineStr">
        <is>
          <t>No</t>
        </is>
      </c>
      <c r="R1097" s="11" t="n">
        <v>0</v>
      </c>
      <c r="S1097" s="10">
        <f>M1097-(R1097*K1097)</f>
        <v/>
      </c>
      <c r="T1097" s="12">
        <f>VLOOKUP(E1097,Dim_Product!$A$2:$Q$61,3,FALSE)</f>
        <v/>
      </c>
      <c r="U1097" s="12">
        <f>VLOOKUP(E1097,Dim_Product!$A$2:$Q$61,4,FALSE)</f>
        <v/>
      </c>
      <c r="V1097" s="12">
        <f>VLOOKUP(D1097,Dim_Customer!$A$2:$I$121,6,FALSE)</f>
        <v/>
      </c>
      <c r="W1097" s="12">
        <f>VLOOKUP(G1097,Dim_Channel!$A$2:$B$5,2,FALSE)</f>
        <v/>
      </c>
      <c r="X1097" s="12">
        <f>VLOOKUP(H1097,Dim_Promotion!$A$2:$G$11,2,FALSE)</f>
        <v/>
      </c>
    </row>
    <row r="1098">
      <c r="A1098" s="4" t="inlineStr">
        <is>
          <t>SL1097</t>
        </is>
      </c>
      <c r="B1098" t="inlineStr">
        <is>
          <t>O010549</t>
        </is>
      </c>
      <c r="C1098" t="n">
        <v>20251120</v>
      </c>
      <c r="D1098" s="4" t="inlineStr">
        <is>
          <t>C016</t>
        </is>
      </c>
      <c r="E1098" s="4" t="inlineStr">
        <is>
          <t>P058</t>
        </is>
      </c>
      <c r="F1098" t="inlineStr">
        <is>
          <t>XL</t>
        </is>
      </c>
      <c r="G1098" s="4" t="inlineStr">
        <is>
          <t>CH04</t>
        </is>
      </c>
      <c r="H1098" s="4" t="inlineStr">
        <is>
          <t>PR00</t>
        </is>
      </c>
      <c r="I1098" s="8" t="n">
        <v>76</v>
      </c>
      <c r="J1098" s="9" t="n">
        <v>0</v>
      </c>
      <c r="K1098" s="10">
        <f>I1098*(1-J1098)</f>
        <v/>
      </c>
      <c r="L1098" s="11" t="n">
        <v>2</v>
      </c>
      <c r="M1098" s="10">
        <f>K1098*L1098</f>
        <v/>
      </c>
      <c r="N1098" s="8" t="n">
        <v>35.57</v>
      </c>
      <c r="O1098" s="10">
        <f>N1098*L1098</f>
        <v/>
      </c>
      <c r="P1098" s="10">
        <f>M1098-O1098</f>
        <v/>
      </c>
      <c r="Q1098" s="11" t="inlineStr">
        <is>
          <t>Yes</t>
        </is>
      </c>
      <c r="R1098" s="11" t="n">
        <v>2</v>
      </c>
      <c r="S1098" s="10">
        <f>M1098-(R1098*K1098)</f>
        <v/>
      </c>
      <c r="T1098" s="12">
        <f>VLOOKUP(E1098,Dim_Product!$A$2:$Q$61,3,FALSE)</f>
        <v/>
      </c>
      <c r="U1098" s="12">
        <f>VLOOKUP(E1098,Dim_Product!$A$2:$Q$61,4,FALSE)</f>
        <v/>
      </c>
      <c r="V1098" s="12">
        <f>VLOOKUP(D1098,Dim_Customer!$A$2:$I$121,6,FALSE)</f>
        <v/>
      </c>
      <c r="W1098" s="12">
        <f>VLOOKUP(G1098,Dim_Channel!$A$2:$B$5,2,FALSE)</f>
        <v/>
      </c>
      <c r="X1098" s="12">
        <f>VLOOKUP(H1098,Dim_Promotion!$A$2:$G$11,2,FALSE)</f>
        <v/>
      </c>
    </row>
    <row r="1099">
      <c r="A1099" s="4" t="inlineStr">
        <is>
          <t>SL1098</t>
        </is>
      </c>
      <c r="B1099" t="inlineStr">
        <is>
          <t>O010549</t>
        </is>
      </c>
      <c r="C1099" t="n">
        <v>20250826</v>
      </c>
      <c r="D1099" s="4" t="inlineStr">
        <is>
          <t>C016</t>
        </is>
      </c>
      <c r="E1099" s="4" t="inlineStr">
        <is>
          <t>P052</t>
        </is>
      </c>
      <c r="F1099" t="inlineStr">
        <is>
          <t>L</t>
        </is>
      </c>
      <c r="G1099" s="4" t="inlineStr">
        <is>
          <t>CH01</t>
        </is>
      </c>
      <c r="H1099" s="4" t="inlineStr">
        <is>
          <t>PR00</t>
        </is>
      </c>
      <c r="I1099" s="8" t="n">
        <v>66</v>
      </c>
      <c r="J1099" s="9" t="n">
        <v>0</v>
      </c>
      <c r="K1099" s="10">
        <f>I1099*(1-J1099)</f>
        <v/>
      </c>
      <c r="L1099" s="11" t="n">
        <v>1</v>
      </c>
      <c r="M1099" s="10">
        <f>K1099*L1099</f>
        <v/>
      </c>
      <c r="N1099" s="8" t="n">
        <v>31.94</v>
      </c>
      <c r="O1099" s="10">
        <f>N1099*L1099</f>
        <v/>
      </c>
      <c r="P1099" s="10">
        <f>M1099-O1099</f>
        <v/>
      </c>
      <c r="Q1099" s="11" t="inlineStr">
        <is>
          <t>No</t>
        </is>
      </c>
      <c r="R1099" s="11" t="n">
        <v>0</v>
      </c>
      <c r="S1099" s="10">
        <f>M1099-(R1099*K1099)</f>
        <v/>
      </c>
      <c r="T1099" s="12">
        <f>VLOOKUP(E1099,Dim_Product!$A$2:$Q$61,3,FALSE)</f>
        <v/>
      </c>
      <c r="U1099" s="12">
        <f>VLOOKUP(E1099,Dim_Product!$A$2:$Q$61,4,FALSE)</f>
        <v/>
      </c>
      <c r="V1099" s="12">
        <f>VLOOKUP(D1099,Dim_Customer!$A$2:$I$121,6,FALSE)</f>
        <v/>
      </c>
      <c r="W1099" s="12">
        <f>VLOOKUP(G1099,Dim_Channel!$A$2:$B$5,2,FALSE)</f>
        <v/>
      </c>
      <c r="X1099" s="12">
        <f>VLOOKUP(H1099,Dim_Promotion!$A$2:$G$11,2,FALSE)</f>
        <v/>
      </c>
    </row>
    <row r="1100">
      <c r="A1100" s="4" t="inlineStr">
        <is>
          <t>SL1099</t>
        </is>
      </c>
      <c r="B1100" t="inlineStr">
        <is>
          <t>O010550</t>
        </is>
      </c>
      <c r="C1100" t="n">
        <v>20251014</v>
      </c>
      <c r="D1100" s="4" t="inlineStr">
        <is>
          <t>C025</t>
        </is>
      </c>
      <c r="E1100" s="4" t="inlineStr">
        <is>
          <t>P009</t>
        </is>
      </c>
      <c r="F1100" t="inlineStr">
        <is>
          <t>XL</t>
        </is>
      </c>
      <c r="G1100" s="4" t="inlineStr">
        <is>
          <t>CH02</t>
        </is>
      </c>
      <c r="H1100" s="4" t="inlineStr">
        <is>
          <t>PR00</t>
        </is>
      </c>
      <c r="I1100" s="8" t="n">
        <v>46</v>
      </c>
      <c r="J1100" s="9" t="n">
        <v>0</v>
      </c>
      <c r="K1100" s="10">
        <f>I1100*(1-J1100)</f>
        <v/>
      </c>
      <c r="L1100" s="11" t="n">
        <v>1</v>
      </c>
      <c r="M1100" s="10">
        <f>K1100*L1100</f>
        <v/>
      </c>
      <c r="N1100" s="8" t="n">
        <v>18.93</v>
      </c>
      <c r="O1100" s="10">
        <f>N1100*L1100</f>
        <v/>
      </c>
      <c r="P1100" s="10">
        <f>M1100-O1100</f>
        <v/>
      </c>
      <c r="Q1100" s="11" t="inlineStr">
        <is>
          <t>No</t>
        </is>
      </c>
      <c r="R1100" s="11" t="n">
        <v>0</v>
      </c>
      <c r="S1100" s="10">
        <f>M1100-(R1100*K1100)</f>
        <v/>
      </c>
      <c r="T1100" s="12">
        <f>VLOOKUP(E1100,Dim_Product!$A$2:$Q$61,3,FALSE)</f>
        <v/>
      </c>
      <c r="U1100" s="12">
        <f>VLOOKUP(E1100,Dim_Product!$A$2:$Q$61,4,FALSE)</f>
        <v/>
      </c>
      <c r="V1100" s="12">
        <f>VLOOKUP(D1100,Dim_Customer!$A$2:$I$121,6,FALSE)</f>
        <v/>
      </c>
      <c r="W1100" s="12">
        <f>VLOOKUP(G1100,Dim_Channel!$A$2:$B$5,2,FALSE)</f>
        <v/>
      </c>
      <c r="X1100" s="12">
        <f>VLOOKUP(H1100,Dim_Promotion!$A$2:$G$11,2,FALSE)</f>
        <v/>
      </c>
    </row>
    <row r="1101">
      <c r="A1101" s="4" t="inlineStr">
        <is>
          <t>SL1100</t>
        </is>
      </c>
      <c r="B1101" t="inlineStr">
        <is>
          <t>O010550</t>
        </is>
      </c>
      <c r="C1101" t="n">
        <v>20250209</v>
      </c>
      <c r="D1101" s="4" t="inlineStr">
        <is>
          <t>C120</t>
        </is>
      </c>
      <c r="E1101" s="4" t="inlineStr">
        <is>
          <t>P043</t>
        </is>
      </c>
      <c r="F1101" t="inlineStr">
        <is>
          <t>M</t>
        </is>
      </c>
      <c r="G1101" s="4" t="inlineStr">
        <is>
          <t>CH04</t>
        </is>
      </c>
      <c r="H1101" s="4" t="inlineStr">
        <is>
          <t>PR00</t>
        </is>
      </c>
      <c r="I1101" s="8" t="n">
        <v>78</v>
      </c>
      <c r="J1101" s="9" t="n">
        <v>0</v>
      </c>
      <c r="K1101" s="10">
        <f>I1101*(1-J1101)</f>
        <v/>
      </c>
      <c r="L1101" s="11" t="n">
        <v>2</v>
      </c>
      <c r="M1101" s="10">
        <f>K1101*L1101</f>
        <v/>
      </c>
      <c r="N1101" s="8" t="n">
        <v>38.01</v>
      </c>
      <c r="O1101" s="10">
        <f>N1101*L1101</f>
        <v/>
      </c>
      <c r="P1101" s="10">
        <f>M1101-O1101</f>
        <v/>
      </c>
      <c r="Q1101" s="11" t="inlineStr">
        <is>
          <t>No</t>
        </is>
      </c>
      <c r="R1101" s="11" t="n">
        <v>0</v>
      </c>
      <c r="S1101" s="10">
        <f>M1101-(R1101*K1101)</f>
        <v/>
      </c>
      <c r="T1101" s="12">
        <f>VLOOKUP(E1101,Dim_Product!$A$2:$Q$61,3,FALSE)</f>
        <v/>
      </c>
      <c r="U1101" s="12">
        <f>VLOOKUP(E1101,Dim_Product!$A$2:$Q$61,4,FALSE)</f>
        <v/>
      </c>
      <c r="V1101" s="12">
        <f>VLOOKUP(D1101,Dim_Customer!$A$2:$I$121,6,FALSE)</f>
        <v/>
      </c>
      <c r="W1101" s="12">
        <f>VLOOKUP(G1101,Dim_Channel!$A$2:$B$5,2,FALSE)</f>
        <v/>
      </c>
      <c r="X1101" s="12">
        <f>VLOOKUP(H1101,Dim_Promotion!$A$2:$G$11,2,FALSE)</f>
        <v/>
      </c>
    </row>
    <row r="1102">
      <c r="A1102" s="4" t="inlineStr">
        <is>
          <t>SL1101</t>
        </is>
      </c>
      <c r="B1102" t="inlineStr">
        <is>
          <t>O010551</t>
        </is>
      </c>
      <c r="C1102" t="n">
        <v>20250614</v>
      </c>
      <c r="D1102" s="4" t="inlineStr">
        <is>
          <t>C102</t>
        </is>
      </c>
      <c r="E1102" s="4" t="inlineStr">
        <is>
          <t>P044</t>
        </is>
      </c>
      <c r="F1102" t="inlineStr">
        <is>
          <t>XS</t>
        </is>
      </c>
      <c r="G1102" s="4" t="inlineStr">
        <is>
          <t>CH03</t>
        </is>
      </c>
      <c r="H1102" s="4" t="inlineStr">
        <is>
          <t>PR00</t>
        </is>
      </c>
      <c r="I1102" s="8" t="n">
        <v>76</v>
      </c>
      <c r="J1102" s="9" t="n">
        <v>0</v>
      </c>
      <c r="K1102" s="10">
        <f>I1102*(1-J1102)</f>
        <v/>
      </c>
      <c r="L1102" s="11" t="n">
        <v>3</v>
      </c>
      <c r="M1102" s="10">
        <f>K1102*L1102</f>
        <v/>
      </c>
      <c r="N1102" s="8" t="n">
        <v>36.28</v>
      </c>
      <c r="O1102" s="10">
        <f>N1102*L1102</f>
        <v/>
      </c>
      <c r="P1102" s="10">
        <f>M1102-O1102</f>
        <v/>
      </c>
      <c r="Q1102" s="11" t="inlineStr">
        <is>
          <t>No</t>
        </is>
      </c>
      <c r="R1102" s="11" t="n">
        <v>0</v>
      </c>
      <c r="S1102" s="10">
        <f>M1102-(R1102*K1102)</f>
        <v/>
      </c>
      <c r="T1102" s="12">
        <f>VLOOKUP(E1102,Dim_Product!$A$2:$Q$61,3,FALSE)</f>
        <v/>
      </c>
      <c r="U1102" s="12">
        <f>VLOOKUP(E1102,Dim_Product!$A$2:$Q$61,4,FALSE)</f>
        <v/>
      </c>
      <c r="V1102" s="12">
        <f>VLOOKUP(D1102,Dim_Customer!$A$2:$I$121,6,FALSE)</f>
        <v/>
      </c>
      <c r="W1102" s="12">
        <f>VLOOKUP(G1102,Dim_Channel!$A$2:$B$5,2,FALSE)</f>
        <v/>
      </c>
      <c r="X1102" s="12">
        <f>VLOOKUP(H1102,Dim_Promotion!$A$2:$G$11,2,FALSE)</f>
        <v/>
      </c>
    </row>
    <row r="1103">
      <c r="A1103" s="4" t="inlineStr">
        <is>
          <t>SL1102</t>
        </is>
      </c>
      <c r="B1103" t="inlineStr">
        <is>
          <t>O010551</t>
        </is>
      </c>
      <c r="C1103" t="n">
        <v>20250129</v>
      </c>
      <c r="D1103" s="4" t="inlineStr">
        <is>
          <t>C027</t>
        </is>
      </c>
      <c r="E1103" s="4" t="inlineStr">
        <is>
          <t>P020</t>
        </is>
      </c>
      <c r="F1103" t="inlineStr">
        <is>
          <t>M</t>
        </is>
      </c>
      <c r="G1103" s="4" t="inlineStr">
        <is>
          <t>CH03</t>
        </is>
      </c>
      <c r="H1103" s="4" t="inlineStr">
        <is>
          <t>PR00</t>
        </is>
      </c>
      <c r="I1103" s="8" t="n">
        <v>65</v>
      </c>
      <c r="J1103" s="9" t="n">
        <v>0</v>
      </c>
      <c r="K1103" s="10">
        <f>I1103*(1-J1103)</f>
        <v/>
      </c>
      <c r="L1103" s="11" t="n">
        <v>1</v>
      </c>
      <c r="M1103" s="10">
        <f>K1103*L1103</f>
        <v/>
      </c>
      <c r="N1103" s="8" t="n">
        <v>30.22</v>
      </c>
      <c r="O1103" s="10">
        <f>N1103*L1103</f>
        <v/>
      </c>
      <c r="P1103" s="10">
        <f>M1103-O1103</f>
        <v/>
      </c>
      <c r="Q1103" s="11" t="inlineStr">
        <is>
          <t>No</t>
        </is>
      </c>
      <c r="R1103" s="11" t="n">
        <v>0</v>
      </c>
      <c r="S1103" s="10">
        <f>M1103-(R1103*K1103)</f>
        <v/>
      </c>
      <c r="T1103" s="12">
        <f>VLOOKUP(E1103,Dim_Product!$A$2:$Q$61,3,FALSE)</f>
        <v/>
      </c>
      <c r="U1103" s="12">
        <f>VLOOKUP(E1103,Dim_Product!$A$2:$Q$61,4,FALSE)</f>
        <v/>
      </c>
      <c r="V1103" s="12">
        <f>VLOOKUP(D1103,Dim_Customer!$A$2:$I$121,6,FALSE)</f>
        <v/>
      </c>
      <c r="W1103" s="12">
        <f>VLOOKUP(G1103,Dim_Channel!$A$2:$B$5,2,FALSE)</f>
        <v/>
      </c>
      <c r="X1103" s="12">
        <f>VLOOKUP(H1103,Dim_Promotion!$A$2:$G$11,2,FALSE)</f>
        <v/>
      </c>
    </row>
    <row r="1104">
      <c r="A1104" s="4" t="inlineStr">
        <is>
          <t>SL1103</t>
        </is>
      </c>
      <c r="B1104" t="inlineStr">
        <is>
          <t>O010552</t>
        </is>
      </c>
      <c r="C1104" t="n">
        <v>20251004</v>
      </c>
      <c r="D1104" s="4" t="inlineStr">
        <is>
          <t>C023</t>
        </is>
      </c>
      <c r="E1104" s="4" t="inlineStr">
        <is>
          <t>P045</t>
        </is>
      </c>
      <c r="F1104" t="inlineStr">
        <is>
          <t>S</t>
        </is>
      </c>
      <c r="G1104" s="4" t="inlineStr">
        <is>
          <t>CH01</t>
        </is>
      </c>
      <c r="H1104" s="4" t="inlineStr">
        <is>
          <t>PR00</t>
        </is>
      </c>
      <c r="I1104" s="8" t="n">
        <v>67</v>
      </c>
      <c r="J1104" s="9" t="n">
        <v>0</v>
      </c>
      <c r="K1104" s="10">
        <f>I1104*(1-J1104)</f>
        <v/>
      </c>
      <c r="L1104" s="11" t="n">
        <v>1</v>
      </c>
      <c r="M1104" s="10">
        <f>K1104*L1104</f>
        <v/>
      </c>
      <c r="N1104" s="8" t="n">
        <v>33.3</v>
      </c>
      <c r="O1104" s="10">
        <f>N1104*L1104</f>
        <v/>
      </c>
      <c r="P1104" s="10">
        <f>M1104-O1104</f>
        <v/>
      </c>
      <c r="Q1104" s="11" t="inlineStr">
        <is>
          <t>No</t>
        </is>
      </c>
      <c r="R1104" s="11" t="n">
        <v>0</v>
      </c>
      <c r="S1104" s="10">
        <f>M1104-(R1104*K1104)</f>
        <v/>
      </c>
      <c r="T1104" s="12">
        <f>VLOOKUP(E1104,Dim_Product!$A$2:$Q$61,3,FALSE)</f>
        <v/>
      </c>
      <c r="U1104" s="12">
        <f>VLOOKUP(E1104,Dim_Product!$A$2:$Q$61,4,FALSE)</f>
        <v/>
      </c>
      <c r="V1104" s="12">
        <f>VLOOKUP(D1104,Dim_Customer!$A$2:$I$121,6,FALSE)</f>
        <v/>
      </c>
      <c r="W1104" s="12">
        <f>VLOOKUP(G1104,Dim_Channel!$A$2:$B$5,2,FALSE)</f>
        <v/>
      </c>
      <c r="X1104" s="12">
        <f>VLOOKUP(H1104,Dim_Promotion!$A$2:$G$11,2,FALSE)</f>
        <v/>
      </c>
    </row>
    <row r="1105">
      <c r="A1105" s="4" t="inlineStr">
        <is>
          <t>SL1104</t>
        </is>
      </c>
      <c r="B1105" t="inlineStr">
        <is>
          <t>O010552</t>
        </is>
      </c>
      <c r="C1105" t="n">
        <v>20250618</v>
      </c>
      <c r="D1105" s="4" t="inlineStr">
        <is>
          <t>C083</t>
        </is>
      </c>
      <c r="E1105" s="4" t="inlineStr">
        <is>
          <t>P006</t>
        </is>
      </c>
      <c r="F1105" t="inlineStr">
        <is>
          <t>L</t>
        </is>
      </c>
      <c r="G1105" s="4" t="inlineStr">
        <is>
          <t>CH03</t>
        </is>
      </c>
      <c r="H1105" s="4" t="inlineStr">
        <is>
          <t>PR04</t>
        </is>
      </c>
      <c r="I1105" s="8" t="n">
        <v>46</v>
      </c>
      <c r="J1105" s="9" t="n">
        <v>0.12</v>
      </c>
      <c r="K1105" s="10">
        <f>I1105*(1-J1105)</f>
        <v/>
      </c>
      <c r="L1105" s="11" t="n">
        <v>1</v>
      </c>
      <c r="M1105" s="10">
        <f>K1105*L1105</f>
        <v/>
      </c>
      <c r="N1105" s="8" t="n">
        <v>20.88</v>
      </c>
      <c r="O1105" s="10">
        <f>N1105*L1105</f>
        <v/>
      </c>
      <c r="P1105" s="10">
        <f>M1105-O1105</f>
        <v/>
      </c>
      <c r="Q1105" s="11" t="inlineStr">
        <is>
          <t>No</t>
        </is>
      </c>
      <c r="R1105" s="11" t="n">
        <v>0</v>
      </c>
      <c r="S1105" s="10">
        <f>M1105-(R1105*K1105)</f>
        <v/>
      </c>
      <c r="T1105" s="12">
        <f>VLOOKUP(E1105,Dim_Product!$A$2:$Q$61,3,FALSE)</f>
        <v/>
      </c>
      <c r="U1105" s="12">
        <f>VLOOKUP(E1105,Dim_Product!$A$2:$Q$61,4,FALSE)</f>
        <v/>
      </c>
      <c r="V1105" s="12">
        <f>VLOOKUP(D1105,Dim_Customer!$A$2:$I$121,6,FALSE)</f>
        <v/>
      </c>
      <c r="W1105" s="12">
        <f>VLOOKUP(G1105,Dim_Channel!$A$2:$B$5,2,FALSE)</f>
        <v/>
      </c>
      <c r="X1105" s="12">
        <f>VLOOKUP(H1105,Dim_Promotion!$A$2:$G$11,2,FALSE)</f>
        <v/>
      </c>
    </row>
    <row r="1106">
      <c r="A1106" s="4" t="inlineStr">
        <is>
          <t>SL1105</t>
        </is>
      </c>
      <c r="B1106" t="inlineStr">
        <is>
          <t>O010553</t>
        </is>
      </c>
      <c r="C1106" t="n">
        <v>20251224</v>
      </c>
      <c r="D1106" s="4" t="inlineStr">
        <is>
          <t>C115</t>
        </is>
      </c>
      <c r="E1106" s="4" t="inlineStr">
        <is>
          <t>P031</t>
        </is>
      </c>
      <c r="F1106" t="inlineStr">
        <is>
          <t>S</t>
        </is>
      </c>
      <c r="G1106" s="4" t="inlineStr">
        <is>
          <t>CH02</t>
        </is>
      </c>
      <c r="H1106" s="4" t="inlineStr">
        <is>
          <t>PR00</t>
        </is>
      </c>
      <c r="I1106" s="8" t="n">
        <v>110</v>
      </c>
      <c r="J1106" s="9" t="n">
        <v>0</v>
      </c>
      <c r="K1106" s="10">
        <f>I1106*(1-J1106)</f>
        <v/>
      </c>
      <c r="L1106" s="11" t="n">
        <v>1</v>
      </c>
      <c r="M1106" s="10">
        <f>K1106*L1106</f>
        <v/>
      </c>
      <c r="N1106" s="8" t="n">
        <v>56.1</v>
      </c>
      <c r="O1106" s="10">
        <f>N1106*L1106</f>
        <v/>
      </c>
      <c r="P1106" s="10">
        <f>M1106-O1106</f>
        <v/>
      </c>
      <c r="Q1106" s="11" t="inlineStr">
        <is>
          <t>No</t>
        </is>
      </c>
      <c r="R1106" s="11" t="n">
        <v>0</v>
      </c>
      <c r="S1106" s="10">
        <f>M1106-(R1106*K1106)</f>
        <v/>
      </c>
      <c r="T1106" s="12">
        <f>VLOOKUP(E1106,Dim_Product!$A$2:$Q$61,3,FALSE)</f>
        <v/>
      </c>
      <c r="U1106" s="12">
        <f>VLOOKUP(E1106,Dim_Product!$A$2:$Q$61,4,FALSE)</f>
        <v/>
      </c>
      <c r="V1106" s="12">
        <f>VLOOKUP(D1106,Dim_Customer!$A$2:$I$121,6,FALSE)</f>
        <v/>
      </c>
      <c r="W1106" s="12">
        <f>VLOOKUP(G1106,Dim_Channel!$A$2:$B$5,2,FALSE)</f>
        <v/>
      </c>
      <c r="X1106" s="12">
        <f>VLOOKUP(H1106,Dim_Promotion!$A$2:$G$11,2,FALSE)</f>
        <v/>
      </c>
    </row>
    <row r="1107">
      <c r="A1107" s="4" t="inlineStr">
        <is>
          <t>SL1106</t>
        </is>
      </c>
      <c r="B1107" t="inlineStr">
        <is>
          <t>O010553</t>
        </is>
      </c>
      <c r="C1107" t="n">
        <v>20250920</v>
      </c>
      <c r="D1107" s="4" t="inlineStr">
        <is>
          <t>C106</t>
        </is>
      </c>
      <c r="E1107" s="4" t="inlineStr">
        <is>
          <t>P003</t>
        </is>
      </c>
      <c r="F1107" t="inlineStr">
        <is>
          <t>L</t>
        </is>
      </c>
      <c r="G1107" s="4" t="inlineStr">
        <is>
          <t>CH04</t>
        </is>
      </c>
      <c r="H1107" s="4" t="inlineStr">
        <is>
          <t>PR00</t>
        </is>
      </c>
      <c r="I1107" s="8" t="n">
        <v>42</v>
      </c>
      <c r="J1107" s="9" t="n">
        <v>0</v>
      </c>
      <c r="K1107" s="10">
        <f>I1107*(1-J1107)</f>
        <v/>
      </c>
      <c r="L1107" s="11" t="n">
        <v>3</v>
      </c>
      <c r="M1107" s="10">
        <f>K1107*L1107</f>
        <v/>
      </c>
      <c r="N1107" s="8" t="n">
        <v>20.46</v>
      </c>
      <c r="O1107" s="10">
        <f>N1107*L1107</f>
        <v/>
      </c>
      <c r="P1107" s="10">
        <f>M1107-O1107</f>
        <v/>
      </c>
      <c r="Q1107" s="11" t="inlineStr">
        <is>
          <t>No</t>
        </is>
      </c>
      <c r="R1107" s="11" t="n">
        <v>0</v>
      </c>
      <c r="S1107" s="10">
        <f>M1107-(R1107*K1107)</f>
        <v/>
      </c>
      <c r="T1107" s="12">
        <f>VLOOKUP(E1107,Dim_Product!$A$2:$Q$61,3,FALSE)</f>
        <v/>
      </c>
      <c r="U1107" s="12">
        <f>VLOOKUP(E1107,Dim_Product!$A$2:$Q$61,4,FALSE)</f>
        <v/>
      </c>
      <c r="V1107" s="12">
        <f>VLOOKUP(D1107,Dim_Customer!$A$2:$I$121,6,FALSE)</f>
        <v/>
      </c>
      <c r="W1107" s="12">
        <f>VLOOKUP(G1107,Dim_Channel!$A$2:$B$5,2,FALSE)</f>
        <v/>
      </c>
      <c r="X1107" s="12">
        <f>VLOOKUP(H1107,Dim_Promotion!$A$2:$G$11,2,FALSE)</f>
        <v/>
      </c>
    </row>
    <row r="1108">
      <c r="A1108" s="4" t="inlineStr">
        <is>
          <t>SL1107</t>
        </is>
      </c>
      <c r="B1108" t="inlineStr">
        <is>
          <t>O010554</t>
        </is>
      </c>
      <c r="C1108" t="n">
        <v>20250426</v>
      </c>
      <c r="D1108" s="4" t="inlineStr">
        <is>
          <t>C022</t>
        </is>
      </c>
      <c r="E1108" s="4" t="inlineStr">
        <is>
          <t>P023</t>
        </is>
      </c>
      <c r="F1108" t="inlineStr">
        <is>
          <t>L</t>
        </is>
      </c>
      <c r="G1108" s="4" t="inlineStr">
        <is>
          <t>CH04</t>
        </is>
      </c>
      <c r="H1108" s="4" t="inlineStr">
        <is>
          <t>PR00</t>
        </is>
      </c>
      <c r="I1108" s="8" t="n">
        <v>57</v>
      </c>
      <c r="J1108" s="9" t="n">
        <v>0</v>
      </c>
      <c r="K1108" s="10">
        <f>I1108*(1-J1108)</f>
        <v/>
      </c>
      <c r="L1108" s="11" t="n">
        <v>2</v>
      </c>
      <c r="M1108" s="10">
        <f>K1108*L1108</f>
        <v/>
      </c>
      <c r="N1108" s="8" t="n">
        <v>26.5</v>
      </c>
      <c r="O1108" s="10">
        <f>N1108*L1108</f>
        <v/>
      </c>
      <c r="P1108" s="10">
        <f>M1108-O1108</f>
        <v/>
      </c>
      <c r="Q1108" s="11" t="inlineStr">
        <is>
          <t>No</t>
        </is>
      </c>
      <c r="R1108" s="11" t="n">
        <v>0</v>
      </c>
      <c r="S1108" s="10">
        <f>M1108-(R1108*K1108)</f>
        <v/>
      </c>
      <c r="T1108" s="12">
        <f>VLOOKUP(E1108,Dim_Product!$A$2:$Q$61,3,FALSE)</f>
        <v/>
      </c>
      <c r="U1108" s="12">
        <f>VLOOKUP(E1108,Dim_Product!$A$2:$Q$61,4,FALSE)</f>
        <v/>
      </c>
      <c r="V1108" s="12">
        <f>VLOOKUP(D1108,Dim_Customer!$A$2:$I$121,6,FALSE)</f>
        <v/>
      </c>
      <c r="W1108" s="12">
        <f>VLOOKUP(G1108,Dim_Channel!$A$2:$B$5,2,FALSE)</f>
        <v/>
      </c>
      <c r="X1108" s="12">
        <f>VLOOKUP(H1108,Dim_Promotion!$A$2:$G$11,2,FALSE)</f>
        <v/>
      </c>
    </row>
    <row r="1109">
      <c r="A1109" s="4" t="inlineStr">
        <is>
          <t>SL1108</t>
        </is>
      </c>
      <c r="B1109" t="inlineStr">
        <is>
          <t>O010554</t>
        </is>
      </c>
      <c r="C1109" t="n">
        <v>20250925</v>
      </c>
      <c r="D1109" s="4" t="inlineStr">
        <is>
          <t>C077</t>
        </is>
      </c>
      <c r="E1109" s="4" t="inlineStr">
        <is>
          <t>P044</t>
        </is>
      </c>
      <c r="F1109" t="inlineStr">
        <is>
          <t>L</t>
        </is>
      </c>
      <c r="G1109" s="4" t="inlineStr">
        <is>
          <t>CH04</t>
        </is>
      </c>
      <c r="H1109" s="4" t="inlineStr">
        <is>
          <t>PR00</t>
        </is>
      </c>
      <c r="I1109" s="8" t="n">
        <v>78</v>
      </c>
      <c r="J1109" s="9" t="n">
        <v>0</v>
      </c>
      <c r="K1109" s="10">
        <f>I1109*(1-J1109)</f>
        <v/>
      </c>
      <c r="L1109" s="11" t="n">
        <v>1</v>
      </c>
      <c r="M1109" s="10">
        <f>K1109*L1109</f>
        <v/>
      </c>
      <c r="N1109" s="8" t="n">
        <v>35.07</v>
      </c>
      <c r="O1109" s="10">
        <f>N1109*L1109</f>
        <v/>
      </c>
      <c r="P1109" s="10">
        <f>M1109-O1109</f>
        <v/>
      </c>
      <c r="Q1109" s="11" t="inlineStr">
        <is>
          <t>No</t>
        </is>
      </c>
      <c r="R1109" s="11" t="n">
        <v>0</v>
      </c>
      <c r="S1109" s="10">
        <f>M1109-(R1109*K1109)</f>
        <v/>
      </c>
      <c r="T1109" s="12">
        <f>VLOOKUP(E1109,Dim_Product!$A$2:$Q$61,3,FALSE)</f>
        <v/>
      </c>
      <c r="U1109" s="12">
        <f>VLOOKUP(E1109,Dim_Product!$A$2:$Q$61,4,FALSE)</f>
        <v/>
      </c>
      <c r="V1109" s="12">
        <f>VLOOKUP(D1109,Dim_Customer!$A$2:$I$121,6,FALSE)</f>
        <v/>
      </c>
      <c r="W1109" s="12">
        <f>VLOOKUP(G1109,Dim_Channel!$A$2:$B$5,2,FALSE)</f>
        <v/>
      </c>
      <c r="X1109" s="12">
        <f>VLOOKUP(H1109,Dim_Promotion!$A$2:$G$11,2,FALSE)</f>
        <v/>
      </c>
    </row>
    <row r="1110">
      <c r="A1110" s="4" t="inlineStr">
        <is>
          <t>SL1109</t>
        </is>
      </c>
      <c r="B1110" t="inlineStr">
        <is>
          <t>O010555</t>
        </is>
      </c>
      <c r="C1110" t="n">
        <v>20251208</v>
      </c>
      <c r="D1110" s="4" t="inlineStr">
        <is>
          <t>C019</t>
        </is>
      </c>
      <c r="E1110" s="4" t="inlineStr">
        <is>
          <t>P019</t>
        </is>
      </c>
      <c r="F1110" t="inlineStr">
        <is>
          <t>XS</t>
        </is>
      </c>
      <c r="G1110" s="4" t="inlineStr">
        <is>
          <t>CH01</t>
        </is>
      </c>
      <c r="H1110" s="4" t="inlineStr">
        <is>
          <t>PR00</t>
        </is>
      </c>
      <c r="I1110" s="8" t="n">
        <v>64</v>
      </c>
      <c r="J1110" s="9" t="n">
        <v>0</v>
      </c>
      <c r="K1110" s="10">
        <f>I1110*(1-J1110)</f>
        <v/>
      </c>
      <c r="L1110" s="11" t="n">
        <v>3</v>
      </c>
      <c r="M1110" s="10">
        <f>K1110*L1110</f>
        <v/>
      </c>
      <c r="N1110" s="8" t="n">
        <v>33.07</v>
      </c>
      <c r="O1110" s="10">
        <f>N1110*L1110</f>
        <v/>
      </c>
      <c r="P1110" s="10">
        <f>M1110-O1110</f>
        <v/>
      </c>
      <c r="Q1110" s="11" t="inlineStr">
        <is>
          <t>No</t>
        </is>
      </c>
      <c r="R1110" s="11" t="n">
        <v>0</v>
      </c>
      <c r="S1110" s="10">
        <f>M1110-(R1110*K1110)</f>
        <v/>
      </c>
      <c r="T1110" s="12">
        <f>VLOOKUP(E1110,Dim_Product!$A$2:$Q$61,3,FALSE)</f>
        <v/>
      </c>
      <c r="U1110" s="12">
        <f>VLOOKUP(E1110,Dim_Product!$A$2:$Q$61,4,FALSE)</f>
        <v/>
      </c>
      <c r="V1110" s="12">
        <f>VLOOKUP(D1110,Dim_Customer!$A$2:$I$121,6,FALSE)</f>
        <v/>
      </c>
      <c r="W1110" s="12">
        <f>VLOOKUP(G1110,Dim_Channel!$A$2:$B$5,2,FALSE)</f>
        <v/>
      </c>
      <c r="X1110" s="12">
        <f>VLOOKUP(H1110,Dim_Promotion!$A$2:$G$11,2,FALSE)</f>
        <v/>
      </c>
    </row>
    <row r="1111">
      <c r="A1111" s="4" t="inlineStr">
        <is>
          <t>SL1110</t>
        </is>
      </c>
      <c r="B1111" t="inlineStr">
        <is>
          <t>O010555</t>
        </is>
      </c>
      <c r="C1111" t="n">
        <v>20251126</v>
      </c>
      <c r="D1111" s="4" t="inlineStr">
        <is>
          <t>C105</t>
        </is>
      </c>
      <c r="E1111" s="4" t="inlineStr">
        <is>
          <t>P046</t>
        </is>
      </c>
      <c r="F1111" t="inlineStr">
        <is>
          <t>M</t>
        </is>
      </c>
      <c r="G1111" s="4" t="inlineStr">
        <is>
          <t>CH04</t>
        </is>
      </c>
      <c r="H1111" s="4" t="inlineStr">
        <is>
          <t>PR00</t>
        </is>
      </c>
      <c r="I1111" s="8" t="n">
        <v>64</v>
      </c>
      <c r="J1111" s="9" t="n">
        <v>0</v>
      </c>
      <c r="K1111" s="10">
        <f>I1111*(1-J1111)</f>
        <v/>
      </c>
      <c r="L1111" s="11" t="n">
        <v>4</v>
      </c>
      <c r="M1111" s="10">
        <f>K1111*L1111</f>
        <v/>
      </c>
      <c r="N1111" s="8" t="n">
        <v>33.28</v>
      </c>
      <c r="O1111" s="10">
        <f>N1111*L1111</f>
        <v/>
      </c>
      <c r="P1111" s="10">
        <f>M1111-O1111</f>
        <v/>
      </c>
      <c r="Q1111" s="11" t="inlineStr">
        <is>
          <t>No</t>
        </is>
      </c>
      <c r="R1111" s="11" t="n">
        <v>0</v>
      </c>
      <c r="S1111" s="10">
        <f>M1111-(R1111*K1111)</f>
        <v/>
      </c>
      <c r="T1111" s="12">
        <f>VLOOKUP(E1111,Dim_Product!$A$2:$Q$61,3,FALSE)</f>
        <v/>
      </c>
      <c r="U1111" s="12">
        <f>VLOOKUP(E1111,Dim_Product!$A$2:$Q$61,4,FALSE)</f>
        <v/>
      </c>
      <c r="V1111" s="12">
        <f>VLOOKUP(D1111,Dim_Customer!$A$2:$I$121,6,FALSE)</f>
        <v/>
      </c>
      <c r="W1111" s="12">
        <f>VLOOKUP(G1111,Dim_Channel!$A$2:$B$5,2,FALSE)</f>
        <v/>
      </c>
      <c r="X1111" s="12">
        <f>VLOOKUP(H1111,Dim_Promotion!$A$2:$G$11,2,FALSE)</f>
        <v/>
      </c>
    </row>
    <row r="1112">
      <c r="A1112" s="4" t="inlineStr">
        <is>
          <t>SL1111</t>
        </is>
      </c>
      <c r="B1112" t="inlineStr">
        <is>
          <t>O010556</t>
        </is>
      </c>
      <c r="C1112" t="n">
        <v>20250225</v>
      </c>
      <c r="D1112" s="4" t="inlineStr">
        <is>
          <t>C054</t>
        </is>
      </c>
      <c r="E1112" s="4" t="inlineStr">
        <is>
          <t>P058</t>
        </is>
      </c>
      <c r="F1112" t="inlineStr">
        <is>
          <t>M</t>
        </is>
      </c>
      <c r="G1112" s="4" t="inlineStr">
        <is>
          <t>CH03</t>
        </is>
      </c>
      <c r="H1112" s="4" t="inlineStr">
        <is>
          <t>PR00</t>
        </is>
      </c>
      <c r="I1112" s="8" t="n">
        <v>74</v>
      </c>
      <c r="J1112" s="9" t="n">
        <v>0</v>
      </c>
      <c r="K1112" s="10">
        <f>I1112*(1-J1112)</f>
        <v/>
      </c>
      <c r="L1112" s="11" t="n">
        <v>1</v>
      </c>
      <c r="M1112" s="10">
        <f>K1112*L1112</f>
        <v/>
      </c>
      <c r="N1112" s="8" t="n">
        <v>35.76</v>
      </c>
      <c r="O1112" s="10">
        <f>N1112*L1112</f>
        <v/>
      </c>
      <c r="P1112" s="10">
        <f>M1112-O1112</f>
        <v/>
      </c>
      <c r="Q1112" s="11" t="inlineStr">
        <is>
          <t>No</t>
        </is>
      </c>
      <c r="R1112" s="11" t="n">
        <v>0</v>
      </c>
      <c r="S1112" s="10">
        <f>M1112-(R1112*K1112)</f>
        <v/>
      </c>
      <c r="T1112" s="12">
        <f>VLOOKUP(E1112,Dim_Product!$A$2:$Q$61,3,FALSE)</f>
        <v/>
      </c>
      <c r="U1112" s="12">
        <f>VLOOKUP(E1112,Dim_Product!$A$2:$Q$61,4,FALSE)</f>
        <v/>
      </c>
      <c r="V1112" s="12">
        <f>VLOOKUP(D1112,Dim_Customer!$A$2:$I$121,6,FALSE)</f>
        <v/>
      </c>
      <c r="W1112" s="12">
        <f>VLOOKUP(G1112,Dim_Channel!$A$2:$B$5,2,FALSE)</f>
        <v/>
      </c>
      <c r="X1112" s="12">
        <f>VLOOKUP(H1112,Dim_Promotion!$A$2:$G$11,2,FALSE)</f>
        <v/>
      </c>
    </row>
    <row r="1113">
      <c r="A1113" s="4" t="inlineStr">
        <is>
          <t>SL1112</t>
        </is>
      </c>
      <c r="B1113" t="inlineStr">
        <is>
          <t>O010556</t>
        </is>
      </c>
      <c r="C1113" t="n">
        <v>20250812</v>
      </c>
      <c r="D1113" s="4" t="inlineStr">
        <is>
          <t>C084</t>
        </is>
      </c>
      <c r="E1113" s="4" t="inlineStr">
        <is>
          <t>P008</t>
        </is>
      </c>
      <c r="F1113" t="inlineStr">
        <is>
          <t>L</t>
        </is>
      </c>
      <c r="G1113" s="4" t="inlineStr">
        <is>
          <t>CH03</t>
        </is>
      </c>
      <c r="H1113" s="4" t="inlineStr">
        <is>
          <t>PR00</t>
        </is>
      </c>
      <c r="I1113" s="8" t="n">
        <v>50</v>
      </c>
      <c r="J1113" s="9" t="n">
        <v>0</v>
      </c>
      <c r="K1113" s="10">
        <f>I1113*(1-J1113)</f>
        <v/>
      </c>
      <c r="L1113" s="11" t="n">
        <v>2</v>
      </c>
      <c r="M1113" s="10">
        <f>K1113*L1113</f>
        <v/>
      </c>
      <c r="N1113" s="8" t="n">
        <v>23.86</v>
      </c>
      <c r="O1113" s="10">
        <f>N1113*L1113</f>
        <v/>
      </c>
      <c r="P1113" s="10">
        <f>M1113-O1113</f>
        <v/>
      </c>
      <c r="Q1113" s="11" t="inlineStr">
        <is>
          <t>No</t>
        </is>
      </c>
      <c r="R1113" s="11" t="n">
        <v>0</v>
      </c>
      <c r="S1113" s="10">
        <f>M1113-(R1113*K1113)</f>
        <v/>
      </c>
      <c r="T1113" s="12">
        <f>VLOOKUP(E1113,Dim_Product!$A$2:$Q$61,3,FALSE)</f>
        <v/>
      </c>
      <c r="U1113" s="12">
        <f>VLOOKUP(E1113,Dim_Product!$A$2:$Q$61,4,FALSE)</f>
        <v/>
      </c>
      <c r="V1113" s="12">
        <f>VLOOKUP(D1113,Dim_Customer!$A$2:$I$121,6,FALSE)</f>
        <v/>
      </c>
      <c r="W1113" s="12">
        <f>VLOOKUP(G1113,Dim_Channel!$A$2:$B$5,2,FALSE)</f>
        <v/>
      </c>
      <c r="X1113" s="12">
        <f>VLOOKUP(H1113,Dim_Promotion!$A$2:$G$11,2,FALSE)</f>
        <v/>
      </c>
    </row>
    <row r="1114">
      <c r="A1114" s="4" t="inlineStr">
        <is>
          <t>SL1113</t>
        </is>
      </c>
      <c r="B1114" t="inlineStr">
        <is>
          <t>O010557</t>
        </is>
      </c>
      <c r="C1114" t="n">
        <v>20250205</v>
      </c>
      <c r="D1114" s="4" t="inlineStr">
        <is>
          <t>C116</t>
        </is>
      </c>
      <c r="E1114" s="4" t="inlineStr">
        <is>
          <t>P041</t>
        </is>
      </c>
      <c r="F1114" t="inlineStr">
        <is>
          <t>S</t>
        </is>
      </c>
      <c r="G1114" s="4" t="inlineStr">
        <is>
          <t>CH03</t>
        </is>
      </c>
      <c r="H1114" s="4" t="inlineStr">
        <is>
          <t>PR02</t>
        </is>
      </c>
      <c r="I1114" s="8" t="n">
        <v>78</v>
      </c>
      <c r="J1114" s="9" t="n">
        <v>0.15</v>
      </c>
      <c r="K1114" s="10">
        <f>I1114*(1-J1114)</f>
        <v/>
      </c>
      <c r="L1114" s="11" t="n">
        <v>1</v>
      </c>
      <c r="M1114" s="10">
        <f>K1114*L1114</f>
        <v/>
      </c>
      <c r="N1114" s="8" t="n">
        <v>38.98</v>
      </c>
      <c r="O1114" s="10">
        <f>N1114*L1114</f>
        <v/>
      </c>
      <c r="P1114" s="10">
        <f>M1114-O1114</f>
        <v/>
      </c>
      <c r="Q1114" s="11" t="inlineStr">
        <is>
          <t>No</t>
        </is>
      </c>
      <c r="R1114" s="11" t="n">
        <v>0</v>
      </c>
      <c r="S1114" s="10">
        <f>M1114-(R1114*K1114)</f>
        <v/>
      </c>
      <c r="T1114" s="12">
        <f>VLOOKUP(E1114,Dim_Product!$A$2:$Q$61,3,FALSE)</f>
        <v/>
      </c>
      <c r="U1114" s="12">
        <f>VLOOKUP(E1114,Dim_Product!$A$2:$Q$61,4,FALSE)</f>
        <v/>
      </c>
      <c r="V1114" s="12">
        <f>VLOOKUP(D1114,Dim_Customer!$A$2:$I$121,6,FALSE)</f>
        <v/>
      </c>
      <c r="W1114" s="12">
        <f>VLOOKUP(G1114,Dim_Channel!$A$2:$B$5,2,FALSE)</f>
        <v/>
      </c>
      <c r="X1114" s="12">
        <f>VLOOKUP(H1114,Dim_Promotion!$A$2:$G$11,2,FALSE)</f>
        <v/>
      </c>
    </row>
    <row r="1115">
      <c r="A1115" s="4" t="inlineStr">
        <is>
          <t>SL1114</t>
        </is>
      </c>
      <c r="B1115" t="inlineStr">
        <is>
          <t>O010557</t>
        </is>
      </c>
      <c r="C1115" t="n">
        <v>20250322</v>
      </c>
      <c r="D1115" s="4" t="inlineStr">
        <is>
          <t>C035</t>
        </is>
      </c>
      <c r="E1115" s="4" t="inlineStr">
        <is>
          <t>P005</t>
        </is>
      </c>
      <c r="F1115" t="inlineStr">
        <is>
          <t>L</t>
        </is>
      </c>
      <c r="G1115" s="4" t="inlineStr">
        <is>
          <t>CH01</t>
        </is>
      </c>
      <c r="H1115" s="4" t="inlineStr">
        <is>
          <t>PR03</t>
        </is>
      </c>
      <c r="I1115" s="8" t="n">
        <v>52</v>
      </c>
      <c r="J1115" s="9" t="n">
        <v>0.08</v>
      </c>
      <c r="K1115" s="10">
        <f>I1115*(1-J1115)</f>
        <v/>
      </c>
      <c r="L1115" s="11" t="n">
        <v>1</v>
      </c>
      <c r="M1115" s="10">
        <f>K1115*L1115</f>
        <v/>
      </c>
      <c r="N1115" s="8" t="n">
        <v>20.18</v>
      </c>
      <c r="O1115" s="10">
        <f>N1115*L1115</f>
        <v/>
      </c>
      <c r="P1115" s="10">
        <f>M1115-O1115</f>
        <v/>
      </c>
      <c r="Q1115" s="11" t="inlineStr">
        <is>
          <t>No</t>
        </is>
      </c>
      <c r="R1115" s="11" t="n">
        <v>0</v>
      </c>
      <c r="S1115" s="10">
        <f>M1115-(R1115*K1115)</f>
        <v/>
      </c>
      <c r="T1115" s="12">
        <f>VLOOKUP(E1115,Dim_Product!$A$2:$Q$61,3,FALSE)</f>
        <v/>
      </c>
      <c r="U1115" s="12">
        <f>VLOOKUP(E1115,Dim_Product!$A$2:$Q$61,4,FALSE)</f>
        <v/>
      </c>
      <c r="V1115" s="12">
        <f>VLOOKUP(D1115,Dim_Customer!$A$2:$I$121,6,FALSE)</f>
        <v/>
      </c>
      <c r="W1115" s="12">
        <f>VLOOKUP(G1115,Dim_Channel!$A$2:$B$5,2,FALSE)</f>
        <v/>
      </c>
      <c r="X1115" s="12">
        <f>VLOOKUP(H1115,Dim_Promotion!$A$2:$G$11,2,FALSE)</f>
        <v/>
      </c>
    </row>
    <row r="1116">
      <c r="A1116" s="4" t="inlineStr">
        <is>
          <t>SL1115</t>
        </is>
      </c>
      <c r="B1116" t="inlineStr">
        <is>
          <t>O010558</t>
        </is>
      </c>
      <c r="C1116" t="n">
        <v>20250922</v>
      </c>
      <c r="D1116" s="4" t="inlineStr">
        <is>
          <t>C113</t>
        </is>
      </c>
      <c r="E1116" s="4" t="inlineStr">
        <is>
          <t>P008</t>
        </is>
      </c>
      <c r="F1116" t="inlineStr">
        <is>
          <t>L</t>
        </is>
      </c>
      <c r="G1116" s="4" t="inlineStr">
        <is>
          <t>CH02</t>
        </is>
      </c>
      <c r="H1116" s="4" t="inlineStr">
        <is>
          <t>PR00</t>
        </is>
      </c>
      <c r="I1116" s="8" t="n">
        <v>50</v>
      </c>
      <c r="J1116" s="9" t="n">
        <v>0</v>
      </c>
      <c r="K1116" s="10">
        <f>I1116*(1-J1116)</f>
        <v/>
      </c>
      <c r="L1116" s="11" t="n">
        <v>1</v>
      </c>
      <c r="M1116" s="10">
        <f>K1116*L1116</f>
        <v/>
      </c>
      <c r="N1116" s="8" t="n">
        <v>22.81</v>
      </c>
      <c r="O1116" s="10">
        <f>N1116*L1116</f>
        <v/>
      </c>
      <c r="P1116" s="10">
        <f>M1116-O1116</f>
        <v/>
      </c>
      <c r="Q1116" s="11" t="inlineStr">
        <is>
          <t>No</t>
        </is>
      </c>
      <c r="R1116" s="11" t="n">
        <v>0</v>
      </c>
      <c r="S1116" s="10">
        <f>M1116-(R1116*K1116)</f>
        <v/>
      </c>
      <c r="T1116" s="12">
        <f>VLOOKUP(E1116,Dim_Product!$A$2:$Q$61,3,FALSE)</f>
        <v/>
      </c>
      <c r="U1116" s="12">
        <f>VLOOKUP(E1116,Dim_Product!$A$2:$Q$61,4,FALSE)</f>
        <v/>
      </c>
      <c r="V1116" s="12">
        <f>VLOOKUP(D1116,Dim_Customer!$A$2:$I$121,6,FALSE)</f>
        <v/>
      </c>
      <c r="W1116" s="12">
        <f>VLOOKUP(G1116,Dim_Channel!$A$2:$B$5,2,FALSE)</f>
        <v/>
      </c>
      <c r="X1116" s="12">
        <f>VLOOKUP(H1116,Dim_Promotion!$A$2:$G$11,2,FALSE)</f>
        <v/>
      </c>
    </row>
    <row r="1117">
      <c r="A1117" s="4" t="inlineStr">
        <is>
          <t>SL1116</t>
        </is>
      </c>
      <c r="B1117" t="inlineStr">
        <is>
          <t>O010558</t>
        </is>
      </c>
      <c r="C1117" t="n">
        <v>20250708</v>
      </c>
      <c r="D1117" s="4" t="inlineStr">
        <is>
          <t>C076</t>
        </is>
      </c>
      <c r="E1117" s="4" t="inlineStr">
        <is>
          <t>P047</t>
        </is>
      </c>
      <c r="F1117" t="inlineStr">
        <is>
          <t>M</t>
        </is>
      </c>
      <c r="G1117" s="4" t="inlineStr">
        <is>
          <t>CH02</t>
        </is>
      </c>
      <c r="H1117" s="4" t="inlineStr">
        <is>
          <t>PR00</t>
        </is>
      </c>
      <c r="I1117" s="8" t="n">
        <v>70</v>
      </c>
      <c r="J1117" s="9" t="n">
        <v>0</v>
      </c>
      <c r="K1117" s="10">
        <f>I1117*(1-J1117)</f>
        <v/>
      </c>
      <c r="L1117" s="11" t="n">
        <v>2</v>
      </c>
      <c r="M1117" s="10">
        <f>K1117*L1117</f>
        <v/>
      </c>
      <c r="N1117" s="8" t="n">
        <v>30.69</v>
      </c>
      <c r="O1117" s="10">
        <f>N1117*L1117</f>
        <v/>
      </c>
      <c r="P1117" s="10">
        <f>M1117-O1117</f>
        <v/>
      </c>
      <c r="Q1117" s="11" t="inlineStr">
        <is>
          <t>No</t>
        </is>
      </c>
      <c r="R1117" s="11" t="n">
        <v>0</v>
      </c>
      <c r="S1117" s="10">
        <f>M1117-(R1117*K1117)</f>
        <v/>
      </c>
      <c r="T1117" s="12">
        <f>VLOOKUP(E1117,Dim_Product!$A$2:$Q$61,3,FALSE)</f>
        <v/>
      </c>
      <c r="U1117" s="12">
        <f>VLOOKUP(E1117,Dim_Product!$A$2:$Q$61,4,FALSE)</f>
        <v/>
      </c>
      <c r="V1117" s="12">
        <f>VLOOKUP(D1117,Dim_Customer!$A$2:$I$121,6,FALSE)</f>
        <v/>
      </c>
      <c r="W1117" s="12">
        <f>VLOOKUP(G1117,Dim_Channel!$A$2:$B$5,2,FALSE)</f>
        <v/>
      </c>
      <c r="X1117" s="12">
        <f>VLOOKUP(H1117,Dim_Promotion!$A$2:$G$11,2,FALSE)</f>
        <v/>
      </c>
    </row>
    <row r="1118">
      <c r="A1118" s="4" t="inlineStr">
        <is>
          <t>SL1117</t>
        </is>
      </c>
      <c r="B1118" t="inlineStr">
        <is>
          <t>O010559</t>
        </is>
      </c>
      <c r="C1118" t="n">
        <v>20250122</v>
      </c>
      <c r="D1118" s="4" t="inlineStr">
        <is>
          <t>C110</t>
        </is>
      </c>
      <c r="E1118" s="4" t="inlineStr">
        <is>
          <t>P030</t>
        </is>
      </c>
      <c r="F1118" t="inlineStr">
        <is>
          <t>L</t>
        </is>
      </c>
      <c r="G1118" s="4" t="inlineStr">
        <is>
          <t>CH01</t>
        </is>
      </c>
      <c r="H1118" s="4" t="inlineStr">
        <is>
          <t>PR00</t>
        </is>
      </c>
      <c r="I1118" s="8" t="n">
        <v>109</v>
      </c>
      <c r="J1118" s="9" t="n">
        <v>0</v>
      </c>
      <c r="K1118" s="10">
        <f>I1118*(1-J1118)</f>
        <v/>
      </c>
      <c r="L1118" s="11" t="n">
        <v>1</v>
      </c>
      <c r="M1118" s="10">
        <f>K1118*L1118</f>
        <v/>
      </c>
      <c r="N1118" s="8" t="n">
        <v>55.13</v>
      </c>
      <c r="O1118" s="10">
        <f>N1118*L1118</f>
        <v/>
      </c>
      <c r="P1118" s="10">
        <f>M1118-O1118</f>
        <v/>
      </c>
      <c r="Q1118" s="11" t="inlineStr">
        <is>
          <t>No</t>
        </is>
      </c>
      <c r="R1118" s="11" t="n">
        <v>0</v>
      </c>
      <c r="S1118" s="10">
        <f>M1118-(R1118*K1118)</f>
        <v/>
      </c>
      <c r="T1118" s="12">
        <f>VLOOKUP(E1118,Dim_Product!$A$2:$Q$61,3,FALSE)</f>
        <v/>
      </c>
      <c r="U1118" s="12">
        <f>VLOOKUP(E1118,Dim_Product!$A$2:$Q$61,4,FALSE)</f>
        <v/>
      </c>
      <c r="V1118" s="12">
        <f>VLOOKUP(D1118,Dim_Customer!$A$2:$I$121,6,FALSE)</f>
        <v/>
      </c>
      <c r="W1118" s="12">
        <f>VLOOKUP(G1118,Dim_Channel!$A$2:$B$5,2,FALSE)</f>
        <v/>
      </c>
      <c r="X1118" s="12">
        <f>VLOOKUP(H1118,Dim_Promotion!$A$2:$G$11,2,FALSE)</f>
        <v/>
      </c>
    </row>
    <row r="1119">
      <c r="A1119" s="4" t="inlineStr">
        <is>
          <t>SL1118</t>
        </is>
      </c>
      <c r="B1119" t="inlineStr">
        <is>
          <t>O010559</t>
        </is>
      </c>
      <c r="C1119" t="n">
        <v>20251111</v>
      </c>
      <c r="D1119" s="4" t="inlineStr">
        <is>
          <t>C106</t>
        </is>
      </c>
      <c r="E1119" s="4" t="inlineStr">
        <is>
          <t>P058</t>
        </is>
      </c>
      <c r="F1119" t="inlineStr">
        <is>
          <t>S</t>
        </is>
      </c>
      <c r="G1119" s="4" t="inlineStr">
        <is>
          <t>CH01</t>
        </is>
      </c>
      <c r="H1119" s="4" t="inlineStr">
        <is>
          <t>PR00</t>
        </is>
      </c>
      <c r="I1119" s="8" t="n">
        <v>74</v>
      </c>
      <c r="J1119" s="9" t="n">
        <v>0</v>
      </c>
      <c r="K1119" s="10">
        <f>I1119*(1-J1119)</f>
        <v/>
      </c>
      <c r="L1119" s="11" t="n">
        <v>1</v>
      </c>
      <c r="M1119" s="10">
        <f>K1119*L1119</f>
        <v/>
      </c>
      <c r="N1119" s="8" t="n">
        <v>36.64</v>
      </c>
      <c r="O1119" s="10">
        <f>N1119*L1119</f>
        <v/>
      </c>
      <c r="P1119" s="10">
        <f>M1119-O1119</f>
        <v/>
      </c>
      <c r="Q1119" s="11" t="inlineStr">
        <is>
          <t>Yes</t>
        </is>
      </c>
      <c r="R1119" s="11" t="n">
        <v>1</v>
      </c>
      <c r="S1119" s="10">
        <f>M1119-(R1119*K1119)</f>
        <v/>
      </c>
      <c r="T1119" s="12">
        <f>VLOOKUP(E1119,Dim_Product!$A$2:$Q$61,3,FALSE)</f>
        <v/>
      </c>
      <c r="U1119" s="12">
        <f>VLOOKUP(E1119,Dim_Product!$A$2:$Q$61,4,FALSE)</f>
        <v/>
      </c>
      <c r="V1119" s="12">
        <f>VLOOKUP(D1119,Dim_Customer!$A$2:$I$121,6,FALSE)</f>
        <v/>
      </c>
      <c r="W1119" s="12">
        <f>VLOOKUP(G1119,Dim_Channel!$A$2:$B$5,2,FALSE)</f>
        <v/>
      </c>
      <c r="X1119" s="12">
        <f>VLOOKUP(H1119,Dim_Promotion!$A$2:$G$11,2,FALSE)</f>
        <v/>
      </c>
    </row>
    <row r="1120">
      <c r="A1120" s="4" t="inlineStr">
        <is>
          <t>SL1119</t>
        </is>
      </c>
      <c r="B1120" t="inlineStr">
        <is>
          <t>O010560</t>
        </is>
      </c>
      <c r="C1120" t="n">
        <v>20250114</v>
      </c>
      <c r="D1120" s="4" t="inlineStr">
        <is>
          <t>C100</t>
        </is>
      </c>
      <c r="E1120" s="4" t="inlineStr">
        <is>
          <t>P010</t>
        </is>
      </c>
      <c r="F1120" t="inlineStr">
        <is>
          <t>M</t>
        </is>
      </c>
      <c r="G1120" s="4" t="inlineStr">
        <is>
          <t>CH02</t>
        </is>
      </c>
      <c r="H1120" s="4" t="inlineStr">
        <is>
          <t>PR00</t>
        </is>
      </c>
      <c r="I1120" s="8" t="n">
        <v>49</v>
      </c>
      <c r="J1120" s="9" t="n">
        <v>0</v>
      </c>
      <c r="K1120" s="10">
        <f>I1120*(1-J1120)</f>
        <v/>
      </c>
      <c r="L1120" s="11" t="n">
        <v>1</v>
      </c>
      <c r="M1120" s="10">
        <f>K1120*L1120</f>
        <v/>
      </c>
      <c r="N1120" s="8" t="n">
        <v>19.66</v>
      </c>
      <c r="O1120" s="10">
        <f>N1120*L1120</f>
        <v/>
      </c>
      <c r="P1120" s="10">
        <f>M1120-O1120</f>
        <v/>
      </c>
      <c r="Q1120" s="11" t="inlineStr">
        <is>
          <t>No</t>
        </is>
      </c>
      <c r="R1120" s="11" t="n">
        <v>0</v>
      </c>
      <c r="S1120" s="10">
        <f>M1120-(R1120*K1120)</f>
        <v/>
      </c>
      <c r="T1120" s="12">
        <f>VLOOKUP(E1120,Dim_Product!$A$2:$Q$61,3,FALSE)</f>
        <v/>
      </c>
      <c r="U1120" s="12">
        <f>VLOOKUP(E1120,Dim_Product!$A$2:$Q$61,4,FALSE)</f>
        <v/>
      </c>
      <c r="V1120" s="12">
        <f>VLOOKUP(D1120,Dim_Customer!$A$2:$I$121,6,FALSE)</f>
        <v/>
      </c>
      <c r="W1120" s="12">
        <f>VLOOKUP(G1120,Dim_Channel!$A$2:$B$5,2,FALSE)</f>
        <v/>
      </c>
      <c r="X1120" s="12">
        <f>VLOOKUP(H1120,Dim_Promotion!$A$2:$G$11,2,FALSE)</f>
        <v/>
      </c>
    </row>
    <row r="1121">
      <c r="A1121" s="4" t="inlineStr">
        <is>
          <t>SL1120</t>
        </is>
      </c>
      <c r="B1121" t="inlineStr">
        <is>
          <t>O010560</t>
        </is>
      </c>
      <c r="C1121" t="n">
        <v>20250909</v>
      </c>
      <c r="D1121" s="4" t="inlineStr">
        <is>
          <t>C003</t>
        </is>
      </c>
      <c r="E1121" s="4" t="inlineStr">
        <is>
          <t>P053</t>
        </is>
      </c>
      <c r="F1121" t="inlineStr">
        <is>
          <t>M</t>
        </is>
      </c>
      <c r="G1121" s="4" t="inlineStr">
        <is>
          <t>CH03</t>
        </is>
      </c>
      <c r="H1121" s="4" t="inlineStr">
        <is>
          <t>PR00</t>
        </is>
      </c>
      <c r="I1121" s="8" t="n">
        <v>75</v>
      </c>
      <c r="J1121" s="9" t="n">
        <v>0</v>
      </c>
      <c r="K1121" s="10">
        <f>I1121*(1-J1121)</f>
        <v/>
      </c>
      <c r="L1121" s="11" t="n">
        <v>2</v>
      </c>
      <c r="M1121" s="10">
        <f>K1121*L1121</f>
        <v/>
      </c>
      <c r="N1121" s="8" t="n">
        <v>34.8</v>
      </c>
      <c r="O1121" s="10">
        <f>N1121*L1121</f>
        <v/>
      </c>
      <c r="P1121" s="10">
        <f>M1121-O1121</f>
        <v/>
      </c>
      <c r="Q1121" s="11" t="inlineStr">
        <is>
          <t>No</t>
        </is>
      </c>
      <c r="R1121" s="11" t="n">
        <v>0</v>
      </c>
      <c r="S1121" s="10">
        <f>M1121-(R1121*K1121)</f>
        <v/>
      </c>
      <c r="T1121" s="12">
        <f>VLOOKUP(E1121,Dim_Product!$A$2:$Q$61,3,FALSE)</f>
        <v/>
      </c>
      <c r="U1121" s="12">
        <f>VLOOKUP(E1121,Dim_Product!$A$2:$Q$61,4,FALSE)</f>
        <v/>
      </c>
      <c r="V1121" s="12">
        <f>VLOOKUP(D1121,Dim_Customer!$A$2:$I$121,6,FALSE)</f>
        <v/>
      </c>
      <c r="W1121" s="12">
        <f>VLOOKUP(G1121,Dim_Channel!$A$2:$B$5,2,FALSE)</f>
        <v/>
      </c>
      <c r="X1121" s="12">
        <f>VLOOKUP(H1121,Dim_Promotion!$A$2:$G$11,2,FALSE)</f>
        <v/>
      </c>
    </row>
    <row r="1122">
      <c r="A1122" s="4" t="inlineStr">
        <is>
          <t>SL1121</t>
        </is>
      </c>
      <c r="B1122" t="inlineStr">
        <is>
          <t>O010561</t>
        </is>
      </c>
      <c r="C1122" t="n">
        <v>20250605</v>
      </c>
      <c r="D1122" s="4" t="inlineStr">
        <is>
          <t>C077</t>
        </is>
      </c>
      <c r="E1122" s="4" t="inlineStr">
        <is>
          <t>P007</t>
        </is>
      </c>
      <c r="F1122" t="inlineStr">
        <is>
          <t>L</t>
        </is>
      </c>
      <c r="G1122" s="4" t="inlineStr">
        <is>
          <t>CH03</t>
        </is>
      </c>
      <c r="H1122" s="4" t="inlineStr">
        <is>
          <t>PR00</t>
        </is>
      </c>
      <c r="I1122" s="8" t="n">
        <v>51</v>
      </c>
      <c r="J1122" s="9" t="n">
        <v>0</v>
      </c>
      <c r="K1122" s="10">
        <f>I1122*(1-J1122)</f>
        <v/>
      </c>
      <c r="L1122" s="11" t="n">
        <v>3</v>
      </c>
      <c r="M1122" s="10">
        <f>K1122*L1122</f>
        <v/>
      </c>
      <c r="N1122" s="8" t="n">
        <v>22.78</v>
      </c>
      <c r="O1122" s="10">
        <f>N1122*L1122</f>
        <v/>
      </c>
      <c r="P1122" s="10">
        <f>M1122-O1122</f>
        <v/>
      </c>
      <c r="Q1122" s="11" t="inlineStr">
        <is>
          <t>No</t>
        </is>
      </c>
      <c r="R1122" s="11" t="n">
        <v>0</v>
      </c>
      <c r="S1122" s="10">
        <f>M1122-(R1122*K1122)</f>
        <v/>
      </c>
      <c r="T1122" s="12">
        <f>VLOOKUP(E1122,Dim_Product!$A$2:$Q$61,3,FALSE)</f>
        <v/>
      </c>
      <c r="U1122" s="12">
        <f>VLOOKUP(E1122,Dim_Product!$A$2:$Q$61,4,FALSE)</f>
        <v/>
      </c>
      <c r="V1122" s="12">
        <f>VLOOKUP(D1122,Dim_Customer!$A$2:$I$121,6,FALSE)</f>
        <v/>
      </c>
      <c r="W1122" s="12">
        <f>VLOOKUP(G1122,Dim_Channel!$A$2:$B$5,2,FALSE)</f>
        <v/>
      </c>
      <c r="X1122" s="12">
        <f>VLOOKUP(H1122,Dim_Promotion!$A$2:$G$11,2,FALSE)</f>
        <v/>
      </c>
    </row>
    <row r="1123">
      <c r="A1123" s="4" t="inlineStr">
        <is>
          <t>SL1122</t>
        </is>
      </c>
      <c r="B1123" t="inlineStr">
        <is>
          <t>O010561</t>
        </is>
      </c>
      <c r="C1123" t="n">
        <v>20250830</v>
      </c>
      <c r="D1123" s="4" t="inlineStr">
        <is>
          <t>C078</t>
        </is>
      </c>
      <c r="E1123" s="4" t="inlineStr">
        <is>
          <t>P040</t>
        </is>
      </c>
      <c r="F1123" t="inlineStr">
        <is>
          <t>XL</t>
        </is>
      </c>
      <c r="G1123" s="4" t="inlineStr">
        <is>
          <t>CH01</t>
        </is>
      </c>
      <c r="H1123" s="4" t="inlineStr">
        <is>
          <t>PR00</t>
        </is>
      </c>
      <c r="I1123" s="8" t="n">
        <v>70</v>
      </c>
      <c r="J1123" s="9" t="n">
        <v>0.05</v>
      </c>
      <c r="K1123" s="10">
        <f>I1123*(1-J1123)</f>
        <v/>
      </c>
      <c r="L1123" s="11" t="n">
        <v>1</v>
      </c>
      <c r="M1123" s="10">
        <f>K1123*L1123</f>
        <v/>
      </c>
      <c r="N1123" s="8" t="n">
        <v>35.22</v>
      </c>
      <c r="O1123" s="10">
        <f>N1123*L1123</f>
        <v/>
      </c>
      <c r="P1123" s="10">
        <f>M1123-O1123</f>
        <v/>
      </c>
      <c r="Q1123" s="11" t="inlineStr">
        <is>
          <t>No</t>
        </is>
      </c>
      <c r="R1123" s="11" t="n">
        <v>0</v>
      </c>
      <c r="S1123" s="10">
        <f>M1123-(R1123*K1123)</f>
        <v/>
      </c>
      <c r="T1123" s="12">
        <f>VLOOKUP(E1123,Dim_Product!$A$2:$Q$61,3,FALSE)</f>
        <v/>
      </c>
      <c r="U1123" s="12">
        <f>VLOOKUP(E1123,Dim_Product!$A$2:$Q$61,4,FALSE)</f>
        <v/>
      </c>
      <c r="V1123" s="12">
        <f>VLOOKUP(D1123,Dim_Customer!$A$2:$I$121,6,FALSE)</f>
        <v/>
      </c>
      <c r="W1123" s="12">
        <f>VLOOKUP(G1123,Dim_Channel!$A$2:$B$5,2,FALSE)</f>
        <v/>
      </c>
      <c r="X1123" s="12">
        <f>VLOOKUP(H1123,Dim_Promotion!$A$2:$G$11,2,FALSE)</f>
        <v/>
      </c>
    </row>
    <row r="1124">
      <c r="A1124" s="4" t="inlineStr">
        <is>
          <t>SL1123</t>
        </is>
      </c>
      <c r="B1124" t="inlineStr">
        <is>
          <t>O010562</t>
        </is>
      </c>
      <c r="C1124" t="n">
        <v>20251213</v>
      </c>
      <c r="D1124" s="4" t="inlineStr">
        <is>
          <t>C014</t>
        </is>
      </c>
      <c r="E1124" s="4" t="inlineStr">
        <is>
          <t>P026</t>
        </is>
      </c>
      <c r="F1124" t="inlineStr">
        <is>
          <t>M</t>
        </is>
      </c>
      <c r="G1124" s="4" t="inlineStr">
        <is>
          <t>CH02</t>
        </is>
      </c>
      <c r="H1124" s="4" t="inlineStr">
        <is>
          <t>PR00</t>
        </is>
      </c>
      <c r="I1124" s="8" t="n">
        <v>93</v>
      </c>
      <c r="J1124" s="9" t="n">
        <v>0</v>
      </c>
      <c r="K1124" s="10">
        <f>I1124*(1-J1124)</f>
        <v/>
      </c>
      <c r="L1124" s="11" t="n">
        <v>1</v>
      </c>
      <c r="M1124" s="10">
        <f>K1124*L1124</f>
        <v/>
      </c>
      <c r="N1124" s="8" t="n">
        <v>44.31</v>
      </c>
      <c r="O1124" s="10">
        <f>N1124*L1124</f>
        <v/>
      </c>
      <c r="P1124" s="10">
        <f>M1124-O1124</f>
        <v/>
      </c>
      <c r="Q1124" s="11" t="inlineStr">
        <is>
          <t>No</t>
        </is>
      </c>
      <c r="R1124" s="11" t="n">
        <v>0</v>
      </c>
      <c r="S1124" s="10">
        <f>M1124-(R1124*K1124)</f>
        <v/>
      </c>
      <c r="T1124" s="12">
        <f>VLOOKUP(E1124,Dim_Product!$A$2:$Q$61,3,FALSE)</f>
        <v/>
      </c>
      <c r="U1124" s="12">
        <f>VLOOKUP(E1124,Dim_Product!$A$2:$Q$61,4,FALSE)</f>
        <v/>
      </c>
      <c r="V1124" s="12">
        <f>VLOOKUP(D1124,Dim_Customer!$A$2:$I$121,6,FALSE)</f>
        <v/>
      </c>
      <c r="W1124" s="12">
        <f>VLOOKUP(G1124,Dim_Channel!$A$2:$B$5,2,FALSE)</f>
        <v/>
      </c>
      <c r="X1124" s="12">
        <f>VLOOKUP(H1124,Dim_Promotion!$A$2:$G$11,2,FALSE)</f>
        <v/>
      </c>
    </row>
    <row r="1125">
      <c r="A1125" s="4" t="inlineStr">
        <is>
          <t>SL1124</t>
        </is>
      </c>
      <c r="B1125" t="inlineStr">
        <is>
          <t>O010562</t>
        </is>
      </c>
      <c r="C1125" t="n">
        <v>20250608</v>
      </c>
      <c r="D1125" s="4" t="inlineStr">
        <is>
          <t>C097</t>
        </is>
      </c>
      <c r="E1125" s="4" t="inlineStr">
        <is>
          <t>P059</t>
        </is>
      </c>
      <c r="F1125" t="inlineStr">
        <is>
          <t>M</t>
        </is>
      </c>
      <c r="G1125" s="4" t="inlineStr">
        <is>
          <t>CH02</t>
        </is>
      </c>
      <c r="H1125" s="4" t="inlineStr">
        <is>
          <t>PR00</t>
        </is>
      </c>
      <c r="I1125" s="8" t="n">
        <v>75</v>
      </c>
      <c r="J1125" s="9" t="n">
        <v>0</v>
      </c>
      <c r="K1125" s="10">
        <f>I1125*(1-J1125)</f>
        <v/>
      </c>
      <c r="L1125" s="11" t="n">
        <v>1</v>
      </c>
      <c r="M1125" s="10">
        <f>K1125*L1125</f>
        <v/>
      </c>
      <c r="N1125" s="8" t="n">
        <v>33.77</v>
      </c>
      <c r="O1125" s="10">
        <f>N1125*L1125</f>
        <v/>
      </c>
      <c r="P1125" s="10">
        <f>M1125-O1125</f>
        <v/>
      </c>
      <c r="Q1125" s="11" t="inlineStr">
        <is>
          <t>No</t>
        </is>
      </c>
      <c r="R1125" s="11" t="n">
        <v>0</v>
      </c>
      <c r="S1125" s="10">
        <f>M1125-(R1125*K1125)</f>
        <v/>
      </c>
      <c r="T1125" s="12">
        <f>VLOOKUP(E1125,Dim_Product!$A$2:$Q$61,3,FALSE)</f>
        <v/>
      </c>
      <c r="U1125" s="12">
        <f>VLOOKUP(E1125,Dim_Product!$A$2:$Q$61,4,FALSE)</f>
        <v/>
      </c>
      <c r="V1125" s="12">
        <f>VLOOKUP(D1125,Dim_Customer!$A$2:$I$121,6,FALSE)</f>
        <v/>
      </c>
      <c r="W1125" s="12">
        <f>VLOOKUP(G1125,Dim_Channel!$A$2:$B$5,2,FALSE)</f>
        <v/>
      </c>
      <c r="X1125" s="12">
        <f>VLOOKUP(H1125,Dim_Promotion!$A$2:$G$11,2,FALSE)</f>
        <v/>
      </c>
    </row>
    <row r="1126">
      <c r="A1126" s="4" t="inlineStr">
        <is>
          <t>SL1125</t>
        </is>
      </c>
      <c r="B1126" t="inlineStr">
        <is>
          <t>O010563</t>
        </is>
      </c>
      <c r="C1126" t="n">
        <v>20250910</v>
      </c>
      <c r="D1126" s="4" t="inlineStr">
        <is>
          <t>C040</t>
        </is>
      </c>
      <c r="E1126" s="4" t="inlineStr">
        <is>
          <t>P015</t>
        </is>
      </c>
      <c r="F1126" t="inlineStr">
        <is>
          <t>XL</t>
        </is>
      </c>
      <c r="G1126" s="4" t="inlineStr">
        <is>
          <t>CH04</t>
        </is>
      </c>
      <c r="H1126" s="4" t="inlineStr">
        <is>
          <t>PR00</t>
        </is>
      </c>
      <c r="I1126" s="8" t="n">
        <v>57</v>
      </c>
      <c r="J1126" s="9" t="n">
        <v>0</v>
      </c>
      <c r="K1126" s="10">
        <f>I1126*(1-J1126)</f>
        <v/>
      </c>
      <c r="L1126" s="11" t="n">
        <v>1</v>
      </c>
      <c r="M1126" s="10">
        <f>K1126*L1126</f>
        <v/>
      </c>
      <c r="N1126" s="8" t="n">
        <v>25.55</v>
      </c>
      <c r="O1126" s="10">
        <f>N1126*L1126</f>
        <v/>
      </c>
      <c r="P1126" s="10">
        <f>M1126-O1126</f>
        <v/>
      </c>
      <c r="Q1126" s="11" t="inlineStr">
        <is>
          <t>No</t>
        </is>
      </c>
      <c r="R1126" s="11" t="n">
        <v>0</v>
      </c>
      <c r="S1126" s="10">
        <f>M1126-(R1126*K1126)</f>
        <v/>
      </c>
      <c r="T1126" s="12">
        <f>VLOOKUP(E1126,Dim_Product!$A$2:$Q$61,3,FALSE)</f>
        <v/>
      </c>
      <c r="U1126" s="12">
        <f>VLOOKUP(E1126,Dim_Product!$A$2:$Q$61,4,FALSE)</f>
        <v/>
      </c>
      <c r="V1126" s="12">
        <f>VLOOKUP(D1126,Dim_Customer!$A$2:$I$121,6,FALSE)</f>
        <v/>
      </c>
      <c r="W1126" s="12">
        <f>VLOOKUP(G1126,Dim_Channel!$A$2:$B$5,2,FALSE)</f>
        <v/>
      </c>
      <c r="X1126" s="12">
        <f>VLOOKUP(H1126,Dim_Promotion!$A$2:$G$11,2,FALSE)</f>
        <v/>
      </c>
    </row>
    <row r="1127">
      <c r="A1127" s="4" t="inlineStr">
        <is>
          <t>SL1126</t>
        </is>
      </c>
      <c r="B1127" t="inlineStr">
        <is>
          <t>O010563</t>
        </is>
      </c>
      <c r="C1127" t="n">
        <v>20250610</v>
      </c>
      <c r="D1127" s="4" t="inlineStr">
        <is>
          <t>C007</t>
        </is>
      </c>
      <c r="E1127" s="4" t="inlineStr">
        <is>
          <t>P013</t>
        </is>
      </c>
      <c r="F1127" t="inlineStr">
        <is>
          <t>M</t>
        </is>
      </c>
      <c r="G1127" s="4" t="inlineStr">
        <is>
          <t>CH01</t>
        </is>
      </c>
      <c r="H1127" s="4" t="inlineStr">
        <is>
          <t>PR00</t>
        </is>
      </c>
      <c r="I1127" s="8" t="n">
        <v>60</v>
      </c>
      <c r="J1127" s="9" t="n">
        <v>0</v>
      </c>
      <c r="K1127" s="10">
        <f>I1127*(1-J1127)</f>
        <v/>
      </c>
      <c r="L1127" s="11" t="n">
        <v>2</v>
      </c>
      <c r="M1127" s="10">
        <f>K1127*L1127</f>
        <v/>
      </c>
      <c r="N1127" s="8" t="n">
        <v>26.64</v>
      </c>
      <c r="O1127" s="10">
        <f>N1127*L1127</f>
        <v/>
      </c>
      <c r="P1127" s="10">
        <f>M1127-O1127</f>
        <v/>
      </c>
      <c r="Q1127" s="11" t="inlineStr">
        <is>
          <t>No</t>
        </is>
      </c>
      <c r="R1127" s="11" t="n">
        <v>0</v>
      </c>
      <c r="S1127" s="10">
        <f>M1127-(R1127*K1127)</f>
        <v/>
      </c>
      <c r="T1127" s="12">
        <f>VLOOKUP(E1127,Dim_Product!$A$2:$Q$61,3,FALSE)</f>
        <v/>
      </c>
      <c r="U1127" s="12">
        <f>VLOOKUP(E1127,Dim_Product!$A$2:$Q$61,4,FALSE)</f>
        <v/>
      </c>
      <c r="V1127" s="12">
        <f>VLOOKUP(D1127,Dim_Customer!$A$2:$I$121,6,FALSE)</f>
        <v/>
      </c>
      <c r="W1127" s="12">
        <f>VLOOKUP(G1127,Dim_Channel!$A$2:$B$5,2,FALSE)</f>
        <v/>
      </c>
      <c r="X1127" s="12">
        <f>VLOOKUP(H1127,Dim_Promotion!$A$2:$G$11,2,FALSE)</f>
        <v/>
      </c>
    </row>
    <row r="1128">
      <c r="A1128" s="4" t="inlineStr">
        <is>
          <t>SL1127</t>
        </is>
      </c>
      <c r="B1128" t="inlineStr">
        <is>
          <t>O010564</t>
        </is>
      </c>
      <c r="C1128" t="n">
        <v>20250730</v>
      </c>
      <c r="D1128" s="4" t="inlineStr">
        <is>
          <t>C024</t>
        </is>
      </c>
      <c r="E1128" s="4" t="inlineStr">
        <is>
          <t>P037</t>
        </is>
      </c>
      <c r="F1128" t="inlineStr">
        <is>
          <t>L</t>
        </is>
      </c>
      <c r="G1128" s="4" t="inlineStr">
        <is>
          <t>CH02</t>
        </is>
      </c>
      <c r="H1128" s="4" t="inlineStr">
        <is>
          <t>PR00</t>
        </is>
      </c>
      <c r="I1128" s="8" t="n">
        <v>70</v>
      </c>
      <c r="J1128" s="9" t="n">
        <v>0</v>
      </c>
      <c r="K1128" s="10">
        <f>I1128*(1-J1128)</f>
        <v/>
      </c>
      <c r="L1128" s="11" t="n">
        <v>1</v>
      </c>
      <c r="M1128" s="10">
        <f>K1128*L1128</f>
        <v/>
      </c>
      <c r="N1128" s="8" t="n">
        <v>32.86</v>
      </c>
      <c r="O1128" s="10">
        <f>N1128*L1128</f>
        <v/>
      </c>
      <c r="P1128" s="10">
        <f>M1128-O1128</f>
        <v/>
      </c>
      <c r="Q1128" s="11" t="inlineStr">
        <is>
          <t>No</t>
        </is>
      </c>
      <c r="R1128" s="11" t="n">
        <v>0</v>
      </c>
      <c r="S1128" s="10">
        <f>M1128-(R1128*K1128)</f>
        <v/>
      </c>
      <c r="T1128" s="12">
        <f>VLOOKUP(E1128,Dim_Product!$A$2:$Q$61,3,FALSE)</f>
        <v/>
      </c>
      <c r="U1128" s="12">
        <f>VLOOKUP(E1128,Dim_Product!$A$2:$Q$61,4,FALSE)</f>
        <v/>
      </c>
      <c r="V1128" s="12">
        <f>VLOOKUP(D1128,Dim_Customer!$A$2:$I$121,6,FALSE)</f>
        <v/>
      </c>
      <c r="W1128" s="12">
        <f>VLOOKUP(G1128,Dim_Channel!$A$2:$B$5,2,FALSE)</f>
        <v/>
      </c>
      <c r="X1128" s="12">
        <f>VLOOKUP(H1128,Dim_Promotion!$A$2:$G$11,2,FALSE)</f>
        <v/>
      </c>
    </row>
    <row r="1129">
      <c r="A1129" s="4" t="inlineStr">
        <is>
          <t>SL1128</t>
        </is>
      </c>
      <c r="B1129" t="inlineStr">
        <is>
          <t>O010564</t>
        </is>
      </c>
      <c r="C1129" t="n">
        <v>20250619</v>
      </c>
      <c r="D1129" s="4" t="inlineStr">
        <is>
          <t>C070</t>
        </is>
      </c>
      <c r="E1129" s="4" t="inlineStr">
        <is>
          <t>P046</t>
        </is>
      </c>
      <c r="F1129" t="inlineStr">
        <is>
          <t>S</t>
        </is>
      </c>
      <c r="G1129" s="4" t="inlineStr">
        <is>
          <t>CH03</t>
        </is>
      </c>
      <c r="H1129" s="4" t="inlineStr">
        <is>
          <t>PR00</t>
        </is>
      </c>
      <c r="I1129" s="8" t="n">
        <v>66</v>
      </c>
      <c r="J1129" s="9" t="n">
        <v>0</v>
      </c>
      <c r="K1129" s="10">
        <f>I1129*(1-J1129)</f>
        <v/>
      </c>
      <c r="L1129" s="11" t="n">
        <v>2</v>
      </c>
      <c r="M1129" s="10">
        <f>K1129*L1129</f>
        <v/>
      </c>
      <c r="N1129" s="8" t="n">
        <v>33.41</v>
      </c>
      <c r="O1129" s="10">
        <f>N1129*L1129</f>
        <v/>
      </c>
      <c r="P1129" s="10">
        <f>M1129-O1129</f>
        <v/>
      </c>
      <c r="Q1129" s="11" t="inlineStr">
        <is>
          <t>No</t>
        </is>
      </c>
      <c r="R1129" s="11" t="n">
        <v>0</v>
      </c>
      <c r="S1129" s="10">
        <f>M1129-(R1129*K1129)</f>
        <v/>
      </c>
      <c r="T1129" s="12">
        <f>VLOOKUP(E1129,Dim_Product!$A$2:$Q$61,3,FALSE)</f>
        <v/>
      </c>
      <c r="U1129" s="12">
        <f>VLOOKUP(E1129,Dim_Product!$A$2:$Q$61,4,FALSE)</f>
        <v/>
      </c>
      <c r="V1129" s="12">
        <f>VLOOKUP(D1129,Dim_Customer!$A$2:$I$121,6,FALSE)</f>
        <v/>
      </c>
      <c r="W1129" s="12">
        <f>VLOOKUP(G1129,Dim_Channel!$A$2:$B$5,2,FALSE)</f>
        <v/>
      </c>
      <c r="X1129" s="12">
        <f>VLOOKUP(H1129,Dim_Promotion!$A$2:$G$11,2,FALSE)</f>
        <v/>
      </c>
    </row>
    <row r="1130">
      <c r="A1130" s="4" t="inlineStr">
        <is>
          <t>SL1129</t>
        </is>
      </c>
      <c r="B1130" t="inlineStr">
        <is>
          <t>O010565</t>
        </is>
      </c>
      <c r="C1130" t="n">
        <v>20251106</v>
      </c>
      <c r="D1130" s="4" t="inlineStr">
        <is>
          <t>C070</t>
        </is>
      </c>
      <c r="E1130" s="4" t="inlineStr">
        <is>
          <t>P040</t>
        </is>
      </c>
      <c r="F1130" t="inlineStr">
        <is>
          <t>XS</t>
        </is>
      </c>
      <c r="G1130" s="4" t="inlineStr">
        <is>
          <t>CH02</t>
        </is>
      </c>
      <c r="H1130" s="4" t="inlineStr">
        <is>
          <t>PR00</t>
        </is>
      </c>
      <c r="I1130" s="8" t="n">
        <v>68</v>
      </c>
      <c r="J1130" s="9" t="n">
        <v>0</v>
      </c>
      <c r="K1130" s="10">
        <f>I1130*(1-J1130)</f>
        <v/>
      </c>
      <c r="L1130" s="11" t="n">
        <v>1</v>
      </c>
      <c r="M1130" s="10">
        <f>K1130*L1130</f>
        <v/>
      </c>
      <c r="N1130" s="8" t="n">
        <v>34.75</v>
      </c>
      <c r="O1130" s="10">
        <f>N1130*L1130</f>
        <v/>
      </c>
      <c r="P1130" s="10">
        <f>M1130-O1130</f>
        <v/>
      </c>
      <c r="Q1130" s="11" t="inlineStr">
        <is>
          <t>No</t>
        </is>
      </c>
      <c r="R1130" s="11" t="n">
        <v>0</v>
      </c>
      <c r="S1130" s="10">
        <f>M1130-(R1130*K1130)</f>
        <v/>
      </c>
      <c r="T1130" s="12">
        <f>VLOOKUP(E1130,Dim_Product!$A$2:$Q$61,3,FALSE)</f>
        <v/>
      </c>
      <c r="U1130" s="12">
        <f>VLOOKUP(E1130,Dim_Product!$A$2:$Q$61,4,FALSE)</f>
        <v/>
      </c>
      <c r="V1130" s="12">
        <f>VLOOKUP(D1130,Dim_Customer!$A$2:$I$121,6,FALSE)</f>
        <v/>
      </c>
      <c r="W1130" s="12">
        <f>VLOOKUP(G1130,Dim_Channel!$A$2:$B$5,2,FALSE)</f>
        <v/>
      </c>
      <c r="X1130" s="12">
        <f>VLOOKUP(H1130,Dim_Promotion!$A$2:$G$11,2,FALSE)</f>
        <v/>
      </c>
    </row>
    <row r="1131">
      <c r="A1131" s="4" t="inlineStr">
        <is>
          <t>SL1130</t>
        </is>
      </c>
      <c r="B1131" t="inlineStr">
        <is>
          <t>O010565</t>
        </is>
      </c>
      <c r="C1131" t="n">
        <v>20250913</v>
      </c>
      <c r="D1131" s="4" t="inlineStr">
        <is>
          <t>C088</t>
        </is>
      </c>
      <c r="E1131" s="4" t="inlineStr">
        <is>
          <t>P055</t>
        </is>
      </c>
      <c r="F1131" t="inlineStr">
        <is>
          <t>M</t>
        </is>
      </c>
      <c r="G1131" s="4" t="inlineStr">
        <is>
          <t>CH01</t>
        </is>
      </c>
      <c r="H1131" s="4" t="inlineStr">
        <is>
          <t>PR00</t>
        </is>
      </c>
      <c r="I1131" s="8" t="n">
        <v>71</v>
      </c>
      <c r="J1131" s="9" t="n">
        <v>0</v>
      </c>
      <c r="K1131" s="10">
        <f>I1131*(1-J1131)</f>
        <v/>
      </c>
      <c r="L1131" s="11" t="n">
        <v>1</v>
      </c>
      <c r="M1131" s="10">
        <f>K1131*L1131</f>
        <v/>
      </c>
      <c r="N1131" s="8" t="n">
        <v>34.97</v>
      </c>
      <c r="O1131" s="10">
        <f>N1131*L1131</f>
        <v/>
      </c>
      <c r="P1131" s="10">
        <f>M1131-O1131</f>
        <v/>
      </c>
      <c r="Q1131" s="11" t="inlineStr">
        <is>
          <t>No</t>
        </is>
      </c>
      <c r="R1131" s="11" t="n">
        <v>0</v>
      </c>
      <c r="S1131" s="10">
        <f>M1131-(R1131*K1131)</f>
        <v/>
      </c>
      <c r="T1131" s="12">
        <f>VLOOKUP(E1131,Dim_Product!$A$2:$Q$61,3,FALSE)</f>
        <v/>
      </c>
      <c r="U1131" s="12">
        <f>VLOOKUP(E1131,Dim_Product!$A$2:$Q$61,4,FALSE)</f>
        <v/>
      </c>
      <c r="V1131" s="12">
        <f>VLOOKUP(D1131,Dim_Customer!$A$2:$I$121,6,FALSE)</f>
        <v/>
      </c>
      <c r="W1131" s="12">
        <f>VLOOKUP(G1131,Dim_Channel!$A$2:$B$5,2,FALSE)</f>
        <v/>
      </c>
      <c r="X1131" s="12">
        <f>VLOOKUP(H1131,Dim_Promotion!$A$2:$G$11,2,FALSE)</f>
        <v/>
      </c>
    </row>
    <row r="1132">
      <c r="A1132" s="4" t="inlineStr">
        <is>
          <t>SL1131</t>
        </is>
      </c>
      <c r="B1132" t="inlineStr">
        <is>
          <t>O010566</t>
        </is>
      </c>
      <c r="C1132" t="n">
        <v>20250125</v>
      </c>
      <c r="D1132" s="4" t="inlineStr">
        <is>
          <t>C001</t>
        </is>
      </c>
      <c r="E1132" s="4" t="inlineStr">
        <is>
          <t>P021</t>
        </is>
      </c>
      <c r="F1132" t="inlineStr">
        <is>
          <t>L</t>
        </is>
      </c>
      <c r="G1132" s="4" t="inlineStr">
        <is>
          <t>CH02</t>
        </is>
      </c>
      <c r="H1132" s="4" t="inlineStr">
        <is>
          <t>PR00</t>
        </is>
      </c>
      <c r="I1132" s="8" t="n">
        <v>54</v>
      </c>
      <c r="J1132" s="9" t="n">
        <v>0</v>
      </c>
      <c r="K1132" s="10">
        <f>I1132*(1-J1132)</f>
        <v/>
      </c>
      <c r="L1132" s="11" t="n">
        <v>1</v>
      </c>
      <c r="M1132" s="10">
        <f>K1132*L1132</f>
        <v/>
      </c>
      <c r="N1132" s="8" t="n">
        <v>27.71</v>
      </c>
      <c r="O1132" s="10">
        <f>N1132*L1132</f>
        <v/>
      </c>
      <c r="P1132" s="10">
        <f>M1132-O1132</f>
        <v/>
      </c>
      <c r="Q1132" s="11" t="inlineStr">
        <is>
          <t>No</t>
        </is>
      </c>
      <c r="R1132" s="11" t="n">
        <v>0</v>
      </c>
      <c r="S1132" s="10">
        <f>M1132-(R1132*K1132)</f>
        <v/>
      </c>
      <c r="T1132" s="12">
        <f>VLOOKUP(E1132,Dim_Product!$A$2:$Q$61,3,FALSE)</f>
        <v/>
      </c>
      <c r="U1132" s="12">
        <f>VLOOKUP(E1132,Dim_Product!$A$2:$Q$61,4,FALSE)</f>
        <v/>
      </c>
      <c r="V1132" s="12">
        <f>VLOOKUP(D1132,Dim_Customer!$A$2:$I$121,6,FALSE)</f>
        <v/>
      </c>
      <c r="W1132" s="12">
        <f>VLOOKUP(G1132,Dim_Channel!$A$2:$B$5,2,FALSE)</f>
        <v/>
      </c>
      <c r="X1132" s="12">
        <f>VLOOKUP(H1132,Dim_Promotion!$A$2:$G$11,2,FALSE)</f>
        <v/>
      </c>
    </row>
    <row r="1133">
      <c r="A1133" s="4" t="inlineStr">
        <is>
          <t>SL1132</t>
        </is>
      </c>
      <c r="B1133" t="inlineStr">
        <is>
          <t>O010566</t>
        </is>
      </c>
      <c r="C1133" t="n">
        <v>20250922</v>
      </c>
      <c r="D1133" s="4" t="inlineStr">
        <is>
          <t>C047</t>
        </is>
      </c>
      <c r="E1133" s="4" t="inlineStr">
        <is>
          <t>P001</t>
        </is>
      </c>
      <c r="F1133" t="inlineStr">
        <is>
          <t>XL</t>
        </is>
      </c>
      <c r="G1133" s="4" t="inlineStr">
        <is>
          <t>CH04</t>
        </is>
      </c>
      <c r="H1133" s="4" t="inlineStr">
        <is>
          <t>PR00</t>
        </is>
      </c>
      <c r="I1133" s="8" t="n">
        <v>40</v>
      </c>
      <c r="J1133" s="9" t="n">
        <v>0</v>
      </c>
      <c r="K1133" s="10">
        <f>I1133*(1-J1133)</f>
        <v/>
      </c>
      <c r="L1133" s="11" t="n">
        <v>2</v>
      </c>
      <c r="M1133" s="10">
        <f>K1133*L1133</f>
        <v/>
      </c>
      <c r="N1133" s="8" t="n">
        <v>17.19</v>
      </c>
      <c r="O1133" s="10">
        <f>N1133*L1133</f>
        <v/>
      </c>
      <c r="P1133" s="10">
        <f>M1133-O1133</f>
        <v/>
      </c>
      <c r="Q1133" s="11" t="inlineStr">
        <is>
          <t>No</t>
        </is>
      </c>
      <c r="R1133" s="11" t="n">
        <v>0</v>
      </c>
      <c r="S1133" s="10">
        <f>M1133-(R1133*K1133)</f>
        <v/>
      </c>
      <c r="T1133" s="12">
        <f>VLOOKUP(E1133,Dim_Product!$A$2:$Q$61,3,FALSE)</f>
        <v/>
      </c>
      <c r="U1133" s="12">
        <f>VLOOKUP(E1133,Dim_Product!$A$2:$Q$61,4,FALSE)</f>
        <v/>
      </c>
      <c r="V1133" s="12">
        <f>VLOOKUP(D1133,Dim_Customer!$A$2:$I$121,6,FALSE)</f>
        <v/>
      </c>
      <c r="W1133" s="12">
        <f>VLOOKUP(G1133,Dim_Channel!$A$2:$B$5,2,FALSE)</f>
        <v/>
      </c>
      <c r="X1133" s="12">
        <f>VLOOKUP(H1133,Dim_Promotion!$A$2:$G$11,2,FALSE)</f>
        <v/>
      </c>
    </row>
    <row r="1134">
      <c r="A1134" s="4" t="inlineStr">
        <is>
          <t>SL1133</t>
        </is>
      </c>
      <c r="B1134" t="inlineStr">
        <is>
          <t>O010567</t>
        </is>
      </c>
      <c r="C1134" t="n">
        <v>20250319</v>
      </c>
      <c r="D1134" s="4" t="inlineStr">
        <is>
          <t>C018</t>
        </is>
      </c>
      <c r="E1134" s="4" t="inlineStr">
        <is>
          <t>P018</t>
        </is>
      </c>
      <c r="F1134" t="inlineStr">
        <is>
          <t>M</t>
        </is>
      </c>
      <c r="G1134" s="4" t="inlineStr">
        <is>
          <t>CH02</t>
        </is>
      </c>
      <c r="H1134" s="4" t="inlineStr">
        <is>
          <t>PR00</t>
        </is>
      </c>
      <c r="I1134" s="8" t="n">
        <v>66</v>
      </c>
      <c r="J1134" s="9" t="n">
        <v>0</v>
      </c>
      <c r="K1134" s="10">
        <f>I1134*(1-J1134)</f>
        <v/>
      </c>
      <c r="L1134" s="11" t="n">
        <v>1</v>
      </c>
      <c r="M1134" s="10">
        <f>K1134*L1134</f>
        <v/>
      </c>
      <c r="N1134" s="8" t="n">
        <v>31.65</v>
      </c>
      <c r="O1134" s="10">
        <f>N1134*L1134</f>
        <v/>
      </c>
      <c r="P1134" s="10">
        <f>M1134-O1134</f>
        <v/>
      </c>
      <c r="Q1134" s="11" t="inlineStr">
        <is>
          <t>No</t>
        </is>
      </c>
      <c r="R1134" s="11" t="n">
        <v>0</v>
      </c>
      <c r="S1134" s="10">
        <f>M1134-(R1134*K1134)</f>
        <v/>
      </c>
      <c r="T1134" s="12">
        <f>VLOOKUP(E1134,Dim_Product!$A$2:$Q$61,3,FALSE)</f>
        <v/>
      </c>
      <c r="U1134" s="12">
        <f>VLOOKUP(E1134,Dim_Product!$A$2:$Q$61,4,FALSE)</f>
        <v/>
      </c>
      <c r="V1134" s="12">
        <f>VLOOKUP(D1134,Dim_Customer!$A$2:$I$121,6,FALSE)</f>
        <v/>
      </c>
      <c r="W1134" s="12">
        <f>VLOOKUP(G1134,Dim_Channel!$A$2:$B$5,2,FALSE)</f>
        <v/>
      </c>
      <c r="X1134" s="12">
        <f>VLOOKUP(H1134,Dim_Promotion!$A$2:$G$11,2,FALSE)</f>
        <v/>
      </c>
    </row>
    <row r="1135">
      <c r="A1135" s="4" t="inlineStr">
        <is>
          <t>SL1134</t>
        </is>
      </c>
      <c r="B1135" t="inlineStr">
        <is>
          <t>O010567</t>
        </is>
      </c>
      <c r="C1135" t="n">
        <v>20250918</v>
      </c>
      <c r="D1135" s="4" t="inlineStr">
        <is>
          <t>C037</t>
        </is>
      </c>
      <c r="E1135" s="4" t="inlineStr">
        <is>
          <t>P057</t>
        </is>
      </c>
      <c r="F1135" t="inlineStr">
        <is>
          <t>XL</t>
        </is>
      </c>
      <c r="G1135" s="4" t="inlineStr">
        <is>
          <t>CH04</t>
        </is>
      </c>
      <c r="H1135" s="4" t="inlineStr">
        <is>
          <t>PR00</t>
        </is>
      </c>
      <c r="I1135" s="8" t="n">
        <v>74</v>
      </c>
      <c r="J1135" s="9" t="n">
        <v>0</v>
      </c>
      <c r="K1135" s="10">
        <f>I1135*(1-J1135)</f>
        <v/>
      </c>
      <c r="L1135" s="11" t="n">
        <v>1</v>
      </c>
      <c r="M1135" s="10">
        <f>K1135*L1135</f>
        <v/>
      </c>
      <c r="N1135" s="8" t="n">
        <v>35.44</v>
      </c>
      <c r="O1135" s="10">
        <f>N1135*L1135</f>
        <v/>
      </c>
      <c r="P1135" s="10">
        <f>M1135-O1135</f>
        <v/>
      </c>
      <c r="Q1135" s="11" t="inlineStr">
        <is>
          <t>No</t>
        </is>
      </c>
      <c r="R1135" s="11" t="n">
        <v>0</v>
      </c>
      <c r="S1135" s="10">
        <f>M1135-(R1135*K1135)</f>
        <v/>
      </c>
      <c r="T1135" s="12">
        <f>VLOOKUP(E1135,Dim_Product!$A$2:$Q$61,3,FALSE)</f>
        <v/>
      </c>
      <c r="U1135" s="12">
        <f>VLOOKUP(E1135,Dim_Product!$A$2:$Q$61,4,FALSE)</f>
        <v/>
      </c>
      <c r="V1135" s="12">
        <f>VLOOKUP(D1135,Dim_Customer!$A$2:$I$121,6,FALSE)</f>
        <v/>
      </c>
      <c r="W1135" s="12">
        <f>VLOOKUP(G1135,Dim_Channel!$A$2:$B$5,2,FALSE)</f>
        <v/>
      </c>
      <c r="X1135" s="12">
        <f>VLOOKUP(H1135,Dim_Promotion!$A$2:$G$11,2,FALSE)</f>
        <v/>
      </c>
    </row>
    <row r="1136">
      <c r="A1136" s="4" t="inlineStr">
        <is>
          <t>SL1135</t>
        </is>
      </c>
      <c r="B1136" t="inlineStr">
        <is>
          <t>O010568</t>
        </is>
      </c>
      <c r="C1136" t="n">
        <v>20250823</v>
      </c>
      <c r="D1136" s="4" t="inlineStr">
        <is>
          <t>C033</t>
        </is>
      </c>
      <c r="E1136" s="4" t="inlineStr">
        <is>
          <t>P029</t>
        </is>
      </c>
      <c r="F1136" t="inlineStr">
        <is>
          <t>XS</t>
        </is>
      </c>
      <c r="G1136" s="4" t="inlineStr">
        <is>
          <t>CH04</t>
        </is>
      </c>
      <c r="H1136" s="4" t="inlineStr">
        <is>
          <t>PR00</t>
        </is>
      </c>
      <c r="I1136" s="8" t="n">
        <v>112</v>
      </c>
      <c r="J1136" s="9" t="n">
        <v>0</v>
      </c>
      <c r="K1136" s="10">
        <f>I1136*(1-J1136)</f>
        <v/>
      </c>
      <c r="L1136" s="11" t="n">
        <v>2</v>
      </c>
      <c r="M1136" s="10">
        <f>K1136*L1136</f>
        <v/>
      </c>
      <c r="N1136" s="8" t="n">
        <v>55.16</v>
      </c>
      <c r="O1136" s="10">
        <f>N1136*L1136</f>
        <v/>
      </c>
      <c r="P1136" s="10">
        <f>M1136-O1136</f>
        <v/>
      </c>
      <c r="Q1136" s="11" t="inlineStr">
        <is>
          <t>No</t>
        </is>
      </c>
      <c r="R1136" s="11" t="n">
        <v>0</v>
      </c>
      <c r="S1136" s="10">
        <f>M1136-(R1136*K1136)</f>
        <v/>
      </c>
      <c r="T1136" s="12">
        <f>VLOOKUP(E1136,Dim_Product!$A$2:$Q$61,3,FALSE)</f>
        <v/>
      </c>
      <c r="U1136" s="12">
        <f>VLOOKUP(E1136,Dim_Product!$A$2:$Q$61,4,FALSE)</f>
        <v/>
      </c>
      <c r="V1136" s="12">
        <f>VLOOKUP(D1136,Dim_Customer!$A$2:$I$121,6,FALSE)</f>
        <v/>
      </c>
      <c r="W1136" s="12">
        <f>VLOOKUP(G1136,Dim_Channel!$A$2:$B$5,2,FALSE)</f>
        <v/>
      </c>
      <c r="X1136" s="12">
        <f>VLOOKUP(H1136,Dim_Promotion!$A$2:$G$11,2,FALSE)</f>
        <v/>
      </c>
    </row>
    <row r="1137">
      <c r="A1137" s="4" t="inlineStr">
        <is>
          <t>SL1136</t>
        </is>
      </c>
      <c r="B1137" t="inlineStr">
        <is>
          <t>O010568</t>
        </is>
      </c>
      <c r="C1137" t="n">
        <v>20250917</v>
      </c>
      <c r="D1137" s="4" t="inlineStr">
        <is>
          <t>C059</t>
        </is>
      </c>
      <c r="E1137" s="4" t="inlineStr">
        <is>
          <t>P058</t>
        </is>
      </c>
      <c r="F1137" t="inlineStr">
        <is>
          <t>S</t>
        </is>
      </c>
      <c r="G1137" s="4" t="inlineStr">
        <is>
          <t>CH02</t>
        </is>
      </c>
      <c r="H1137" s="4" t="inlineStr">
        <is>
          <t>PR00</t>
        </is>
      </c>
      <c r="I1137" s="8" t="n">
        <v>74</v>
      </c>
      <c r="J1137" s="9" t="n">
        <v>0</v>
      </c>
      <c r="K1137" s="10">
        <f>I1137*(1-J1137)</f>
        <v/>
      </c>
      <c r="L1137" s="11" t="n">
        <v>1</v>
      </c>
      <c r="M1137" s="10">
        <f>K1137*L1137</f>
        <v/>
      </c>
      <c r="N1137" s="8" t="n">
        <v>36.45</v>
      </c>
      <c r="O1137" s="10">
        <f>N1137*L1137</f>
        <v/>
      </c>
      <c r="P1137" s="10">
        <f>M1137-O1137</f>
        <v/>
      </c>
      <c r="Q1137" s="11" t="inlineStr">
        <is>
          <t>No</t>
        </is>
      </c>
      <c r="R1137" s="11" t="n">
        <v>0</v>
      </c>
      <c r="S1137" s="10">
        <f>M1137-(R1137*K1137)</f>
        <v/>
      </c>
      <c r="T1137" s="12">
        <f>VLOOKUP(E1137,Dim_Product!$A$2:$Q$61,3,FALSE)</f>
        <v/>
      </c>
      <c r="U1137" s="12">
        <f>VLOOKUP(E1137,Dim_Product!$A$2:$Q$61,4,FALSE)</f>
        <v/>
      </c>
      <c r="V1137" s="12">
        <f>VLOOKUP(D1137,Dim_Customer!$A$2:$I$121,6,FALSE)</f>
        <v/>
      </c>
      <c r="W1137" s="12">
        <f>VLOOKUP(G1137,Dim_Channel!$A$2:$B$5,2,FALSE)</f>
        <v/>
      </c>
      <c r="X1137" s="12">
        <f>VLOOKUP(H1137,Dim_Promotion!$A$2:$G$11,2,FALSE)</f>
        <v/>
      </c>
    </row>
    <row r="1138">
      <c r="A1138" s="4" t="inlineStr">
        <is>
          <t>SL1137</t>
        </is>
      </c>
      <c r="B1138" t="inlineStr">
        <is>
          <t>O010569</t>
        </is>
      </c>
      <c r="C1138" t="n">
        <v>20250718</v>
      </c>
      <c r="D1138" s="4" t="inlineStr">
        <is>
          <t>C099</t>
        </is>
      </c>
      <c r="E1138" s="4" t="inlineStr">
        <is>
          <t>P058</t>
        </is>
      </c>
      <c r="F1138" t="inlineStr">
        <is>
          <t>XL</t>
        </is>
      </c>
      <c r="G1138" s="4" t="inlineStr">
        <is>
          <t>CH01</t>
        </is>
      </c>
      <c r="H1138" s="4" t="inlineStr">
        <is>
          <t>PR00</t>
        </is>
      </c>
      <c r="I1138" s="8" t="n">
        <v>75</v>
      </c>
      <c r="J1138" s="9" t="n">
        <v>0.05</v>
      </c>
      <c r="K1138" s="10">
        <f>I1138*(1-J1138)</f>
        <v/>
      </c>
      <c r="L1138" s="11" t="n">
        <v>1</v>
      </c>
      <c r="M1138" s="10">
        <f>K1138*L1138</f>
        <v/>
      </c>
      <c r="N1138" s="8" t="n">
        <v>36.43</v>
      </c>
      <c r="O1138" s="10">
        <f>N1138*L1138</f>
        <v/>
      </c>
      <c r="P1138" s="10">
        <f>M1138-O1138</f>
        <v/>
      </c>
      <c r="Q1138" s="11" t="inlineStr">
        <is>
          <t>No</t>
        </is>
      </c>
      <c r="R1138" s="11" t="n">
        <v>0</v>
      </c>
      <c r="S1138" s="10">
        <f>M1138-(R1138*K1138)</f>
        <v/>
      </c>
      <c r="T1138" s="12">
        <f>VLOOKUP(E1138,Dim_Product!$A$2:$Q$61,3,FALSE)</f>
        <v/>
      </c>
      <c r="U1138" s="12">
        <f>VLOOKUP(E1138,Dim_Product!$A$2:$Q$61,4,FALSE)</f>
        <v/>
      </c>
      <c r="V1138" s="12">
        <f>VLOOKUP(D1138,Dim_Customer!$A$2:$I$121,6,FALSE)</f>
        <v/>
      </c>
      <c r="W1138" s="12">
        <f>VLOOKUP(G1138,Dim_Channel!$A$2:$B$5,2,FALSE)</f>
        <v/>
      </c>
      <c r="X1138" s="12">
        <f>VLOOKUP(H1138,Dim_Promotion!$A$2:$G$11,2,FALSE)</f>
        <v/>
      </c>
    </row>
    <row r="1139">
      <c r="A1139" s="4" t="inlineStr">
        <is>
          <t>SL1138</t>
        </is>
      </c>
      <c r="B1139" t="inlineStr">
        <is>
          <t>O010569</t>
        </is>
      </c>
      <c r="C1139" t="n">
        <v>20250320</v>
      </c>
      <c r="D1139" s="4" t="inlineStr">
        <is>
          <t>C074</t>
        </is>
      </c>
      <c r="E1139" s="4" t="inlineStr">
        <is>
          <t>P055</t>
        </is>
      </c>
      <c r="F1139" t="inlineStr">
        <is>
          <t>M</t>
        </is>
      </c>
      <c r="G1139" s="4" t="inlineStr">
        <is>
          <t>CH01</t>
        </is>
      </c>
      <c r="H1139" s="4" t="inlineStr">
        <is>
          <t>PR00</t>
        </is>
      </c>
      <c r="I1139" s="8" t="n">
        <v>72</v>
      </c>
      <c r="J1139" s="9" t="n">
        <v>0</v>
      </c>
      <c r="K1139" s="10">
        <f>I1139*(1-J1139)</f>
        <v/>
      </c>
      <c r="L1139" s="11" t="n">
        <v>1</v>
      </c>
      <c r="M1139" s="10">
        <f>K1139*L1139</f>
        <v/>
      </c>
      <c r="N1139" s="8" t="n">
        <v>35.35</v>
      </c>
      <c r="O1139" s="10">
        <f>N1139*L1139</f>
        <v/>
      </c>
      <c r="P1139" s="10">
        <f>M1139-O1139</f>
        <v/>
      </c>
      <c r="Q1139" s="11" t="inlineStr">
        <is>
          <t>Yes</t>
        </is>
      </c>
      <c r="R1139" s="11" t="n">
        <v>1</v>
      </c>
      <c r="S1139" s="10">
        <f>M1139-(R1139*K1139)</f>
        <v/>
      </c>
      <c r="T1139" s="12">
        <f>VLOOKUP(E1139,Dim_Product!$A$2:$Q$61,3,FALSE)</f>
        <v/>
      </c>
      <c r="U1139" s="12">
        <f>VLOOKUP(E1139,Dim_Product!$A$2:$Q$61,4,FALSE)</f>
        <v/>
      </c>
      <c r="V1139" s="12">
        <f>VLOOKUP(D1139,Dim_Customer!$A$2:$I$121,6,FALSE)</f>
        <v/>
      </c>
      <c r="W1139" s="12">
        <f>VLOOKUP(G1139,Dim_Channel!$A$2:$B$5,2,FALSE)</f>
        <v/>
      </c>
      <c r="X1139" s="12">
        <f>VLOOKUP(H1139,Dim_Promotion!$A$2:$G$11,2,FALSE)</f>
        <v/>
      </c>
    </row>
    <row r="1140">
      <c r="A1140" s="4" t="inlineStr">
        <is>
          <t>SL1139</t>
        </is>
      </c>
      <c r="B1140" t="inlineStr">
        <is>
          <t>O010570</t>
        </is>
      </c>
      <c r="C1140" t="n">
        <v>20250901</v>
      </c>
      <c r="D1140" s="4" t="inlineStr">
        <is>
          <t>C052</t>
        </is>
      </c>
      <c r="E1140" s="4" t="inlineStr">
        <is>
          <t>P038</t>
        </is>
      </c>
      <c r="F1140" t="inlineStr">
        <is>
          <t>L</t>
        </is>
      </c>
      <c r="G1140" s="4" t="inlineStr">
        <is>
          <t>CH01</t>
        </is>
      </c>
      <c r="H1140" s="4" t="inlineStr">
        <is>
          <t>PR00</t>
        </is>
      </c>
      <c r="I1140" s="8" t="n">
        <v>74</v>
      </c>
      <c r="J1140" s="9" t="n">
        <v>0</v>
      </c>
      <c r="K1140" s="10">
        <f>I1140*(1-J1140)</f>
        <v/>
      </c>
      <c r="L1140" s="11" t="n">
        <v>2</v>
      </c>
      <c r="M1140" s="10">
        <f>K1140*L1140</f>
        <v/>
      </c>
      <c r="N1140" s="8" t="n">
        <v>33.11</v>
      </c>
      <c r="O1140" s="10">
        <f>N1140*L1140</f>
        <v/>
      </c>
      <c r="P1140" s="10">
        <f>M1140-O1140</f>
        <v/>
      </c>
      <c r="Q1140" s="11" t="inlineStr">
        <is>
          <t>No</t>
        </is>
      </c>
      <c r="R1140" s="11" t="n">
        <v>0</v>
      </c>
      <c r="S1140" s="10">
        <f>M1140-(R1140*K1140)</f>
        <v/>
      </c>
      <c r="T1140" s="12">
        <f>VLOOKUP(E1140,Dim_Product!$A$2:$Q$61,3,FALSE)</f>
        <v/>
      </c>
      <c r="U1140" s="12">
        <f>VLOOKUP(E1140,Dim_Product!$A$2:$Q$61,4,FALSE)</f>
        <v/>
      </c>
      <c r="V1140" s="12">
        <f>VLOOKUP(D1140,Dim_Customer!$A$2:$I$121,6,FALSE)</f>
        <v/>
      </c>
      <c r="W1140" s="12">
        <f>VLOOKUP(G1140,Dim_Channel!$A$2:$B$5,2,FALSE)</f>
        <v/>
      </c>
      <c r="X1140" s="12">
        <f>VLOOKUP(H1140,Dim_Promotion!$A$2:$G$11,2,FALSE)</f>
        <v/>
      </c>
    </row>
    <row r="1141">
      <c r="A1141" s="4" t="inlineStr">
        <is>
          <t>SL1140</t>
        </is>
      </c>
      <c r="B1141" t="inlineStr">
        <is>
          <t>O010570</t>
        </is>
      </c>
      <c r="C1141" t="n">
        <v>20250515</v>
      </c>
      <c r="D1141" s="4" t="inlineStr">
        <is>
          <t>C073</t>
        </is>
      </c>
      <c r="E1141" s="4" t="inlineStr">
        <is>
          <t>P003</t>
        </is>
      </c>
      <c r="F1141" t="inlineStr">
        <is>
          <t>M</t>
        </is>
      </c>
      <c r="G1141" s="4" t="inlineStr">
        <is>
          <t>CH04</t>
        </is>
      </c>
      <c r="H1141" s="4" t="inlineStr">
        <is>
          <t>PR00</t>
        </is>
      </c>
      <c r="I1141" s="8" t="n">
        <v>42</v>
      </c>
      <c r="J1141" s="9" t="n">
        <v>0</v>
      </c>
      <c r="K1141" s="10">
        <f>I1141*(1-J1141)</f>
        <v/>
      </c>
      <c r="L1141" s="11" t="n">
        <v>1</v>
      </c>
      <c r="M1141" s="10">
        <f>K1141*L1141</f>
        <v/>
      </c>
      <c r="N1141" s="8" t="n">
        <v>19.82</v>
      </c>
      <c r="O1141" s="10">
        <f>N1141*L1141</f>
        <v/>
      </c>
      <c r="P1141" s="10">
        <f>M1141-O1141</f>
        <v/>
      </c>
      <c r="Q1141" s="11" t="inlineStr">
        <is>
          <t>No</t>
        </is>
      </c>
      <c r="R1141" s="11" t="n">
        <v>0</v>
      </c>
      <c r="S1141" s="10">
        <f>M1141-(R1141*K1141)</f>
        <v/>
      </c>
      <c r="T1141" s="12">
        <f>VLOOKUP(E1141,Dim_Product!$A$2:$Q$61,3,FALSE)</f>
        <v/>
      </c>
      <c r="U1141" s="12">
        <f>VLOOKUP(E1141,Dim_Product!$A$2:$Q$61,4,FALSE)</f>
        <v/>
      </c>
      <c r="V1141" s="12">
        <f>VLOOKUP(D1141,Dim_Customer!$A$2:$I$121,6,FALSE)</f>
        <v/>
      </c>
      <c r="W1141" s="12">
        <f>VLOOKUP(G1141,Dim_Channel!$A$2:$B$5,2,FALSE)</f>
        <v/>
      </c>
      <c r="X1141" s="12">
        <f>VLOOKUP(H1141,Dim_Promotion!$A$2:$G$11,2,FALSE)</f>
        <v/>
      </c>
    </row>
    <row r="1142">
      <c r="A1142" s="4" t="inlineStr">
        <is>
          <t>SL1141</t>
        </is>
      </c>
      <c r="B1142" t="inlineStr">
        <is>
          <t>O010571</t>
        </is>
      </c>
      <c r="C1142" t="n">
        <v>20250713</v>
      </c>
      <c r="D1142" s="4" t="inlineStr">
        <is>
          <t>C026</t>
        </is>
      </c>
      <c r="E1142" s="4" t="inlineStr">
        <is>
          <t>P008</t>
        </is>
      </c>
      <c r="F1142" t="inlineStr">
        <is>
          <t>L</t>
        </is>
      </c>
      <c r="G1142" s="4" t="inlineStr">
        <is>
          <t>CH01</t>
        </is>
      </c>
      <c r="H1142" s="4" t="inlineStr">
        <is>
          <t>PR00</t>
        </is>
      </c>
      <c r="I1142" s="8" t="n">
        <v>54</v>
      </c>
      <c r="J1142" s="9" t="n">
        <v>0</v>
      </c>
      <c r="K1142" s="10">
        <f>I1142*(1-J1142)</f>
        <v/>
      </c>
      <c r="L1142" s="11" t="n">
        <v>2</v>
      </c>
      <c r="M1142" s="10">
        <f>K1142*L1142</f>
        <v/>
      </c>
      <c r="N1142" s="8" t="n">
        <v>23.71</v>
      </c>
      <c r="O1142" s="10">
        <f>N1142*L1142</f>
        <v/>
      </c>
      <c r="P1142" s="10">
        <f>M1142-O1142</f>
        <v/>
      </c>
      <c r="Q1142" s="11" t="inlineStr">
        <is>
          <t>No</t>
        </is>
      </c>
      <c r="R1142" s="11" t="n">
        <v>0</v>
      </c>
      <c r="S1142" s="10">
        <f>M1142-(R1142*K1142)</f>
        <v/>
      </c>
      <c r="T1142" s="12">
        <f>VLOOKUP(E1142,Dim_Product!$A$2:$Q$61,3,FALSE)</f>
        <v/>
      </c>
      <c r="U1142" s="12">
        <f>VLOOKUP(E1142,Dim_Product!$A$2:$Q$61,4,FALSE)</f>
        <v/>
      </c>
      <c r="V1142" s="12">
        <f>VLOOKUP(D1142,Dim_Customer!$A$2:$I$121,6,FALSE)</f>
        <v/>
      </c>
      <c r="W1142" s="12">
        <f>VLOOKUP(G1142,Dim_Channel!$A$2:$B$5,2,FALSE)</f>
        <v/>
      </c>
      <c r="X1142" s="12">
        <f>VLOOKUP(H1142,Dim_Promotion!$A$2:$G$11,2,FALSE)</f>
        <v/>
      </c>
    </row>
    <row r="1143">
      <c r="A1143" s="4" t="inlineStr">
        <is>
          <t>SL1142</t>
        </is>
      </c>
      <c r="B1143" t="inlineStr">
        <is>
          <t>O010571</t>
        </is>
      </c>
      <c r="C1143" t="n">
        <v>20251108</v>
      </c>
      <c r="D1143" s="4" t="inlineStr">
        <is>
          <t>C111</t>
        </is>
      </c>
      <c r="E1143" s="4" t="inlineStr">
        <is>
          <t>P056</t>
        </is>
      </c>
      <c r="F1143" t="inlineStr">
        <is>
          <t>L</t>
        </is>
      </c>
      <c r="G1143" s="4" t="inlineStr">
        <is>
          <t>CH02</t>
        </is>
      </c>
      <c r="H1143" s="4" t="inlineStr">
        <is>
          <t>PR00</t>
        </is>
      </c>
      <c r="I1143" s="8" t="n">
        <v>69</v>
      </c>
      <c r="J1143" s="9" t="n">
        <v>0</v>
      </c>
      <c r="K1143" s="10">
        <f>I1143*(1-J1143)</f>
        <v/>
      </c>
      <c r="L1143" s="11" t="n">
        <v>1</v>
      </c>
      <c r="M1143" s="10">
        <f>K1143*L1143</f>
        <v/>
      </c>
      <c r="N1143" s="8" t="n">
        <v>32.5</v>
      </c>
      <c r="O1143" s="10">
        <f>N1143*L1143</f>
        <v/>
      </c>
      <c r="P1143" s="10">
        <f>M1143-O1143</f>
        <v/>
      </c>
      <c r="Q1143" s="11" t="inlineStr">
        <is>
          <t>No</t>
        </is>
      </c>
      <c r="R1143" s="11" t="n">
        <v>0</v>
      </c>
      <c r="S1143" s="10">
        <f>M1143-(R1143*K1143)</f>
        <v/>
      </c>
      <c r="T1143" s="12">
        <f>VLOOKUP(E1143,Dim_Product!$A$2:$Q$61,3,FALSE)</f>
        <v/>
      </c>
      <c r="U1143" s="12">
        <f>VLOOKUP(E1143,Dim_Product!$A$2:$Q$61,4,FALSE)</f>
        <v/>
      </c>
      <c r="V1143" s="12">
        <f>VLOOKUP(D1143,Dim_Customer!$A$2:$I$121,6,FALSE)</f>
        <v/>
      </c>
      <c r="W1143" s="12">
        <f>VLOOKUP(G1143,Dim_Channel!$A$2:$B$5,2,FALSE)</f>
        <v/>
      </c>
      <c r="X1143" s="12">
        <f>VLOOKUP(H1143,Dim_Promotion!$A$2:$G$11,2,FALSE)</f>
        <v/>
      </c>
    </row>
    <row r="1144">
      <c r="A1144" s="4" t="inlineStr">
        <is>
          <t>SL1143</t>
        </is>
      </c>
      <c r="B1144" t="inlineStr">
        <is>
          <t>O010572</t>
        </is>
      </c>
      <c r="C1144" t="n">
        <v>20250518</v>
      </c>
      <c r="D1144" s="4" t="inlineStr">
        <is>
          <t>C098</t>
        </is>
      </c>
      <c r="E1144" s="4" t="inlineStr">
        <is>
          <t>P019</t>
        </is>
      </c>
      <c r="F1144" t="inlineStr">
        <is>
          <t>M</t>
        </is>
      </c>
      <c r="G1144" s="4" t="inlineStr">
        <is>
          <t>CH01</t>
        </is>
      </c>
      <c r="H1144" s="4" t="inlineStr">
        <is>
          <t>PR00</t>
        </is>
      </c>
      <c r="I1144" s="8" t="n">
        <v>64</v>
      </c>
      <c r="J1144" s="9" t="n">
        <v>0</v>
      </c>
      <c r="K1144" s="10">
        <f>I1144*(1-J1144)</f>
        <v/>
      </c>
      <c r="L1144" s="11" t="n">
        <v>1</v>
      </c>
      <c r="M1144" s="10">
        <f>K1144*L1144</f>
        <v/>
      </c>
      <c r="N1144" s="8" t="n">
        <v>32.53</v>
      </c>
      <c r="O1144" s="10">
        <f>N1144*L1144</f>
        <v/>
      </c>
      <c r="P1144" s="10">
        <f>M1144-O1144</f>
        <v/>
      </c>
      <c r="Q1144" s="11" t="inlineStr">
        <is>
          <t>No</t>
        </is>
      </c>
      <c r="R1144" s="11" t="n">
        <v>0</v>
      </c>
      <c r="S1144" s="10">
        <f>M1144-(R1144*K1144)</f>
        <v/>
      </c>
      <c r="T1144" s="12">
        <f>VLOOKUP(E1144,Dim_Product!$A$2:$Q$61,3,FALSE)</f>
        <v/>
      </c>
      <c r="U1144" s="12">
        <f>VLOOKUP(E1144,Dim_Product!$A$2:$Q$61,4,FALSE)</f>
        <v/>
      </c>
      <c r="V1144" s="12">
        <f>VLOOKUP(D1144,Dim_Customer!$A$2:$I$121,6,FALSE)</f>
        <v/>
      </c>
      <c r="W1144" s="12">
        <f>VLOOKUP(G1144,Dim_Channel!$A$2:$B$5,2,FALSE)</f>
        <v/>
      </c>
      <c r="X1144" s="12">
        <f>VLOOKUP(H1144,Dim_Promotion!$A$2:$G$11,2,FALSE)</f>
        <v/>
      </c>
    </row>
    <row r="1145">
      <c r="A1145" s="4" t="inlineStr">
        <is>
          <t>SL1144</t>
        </is>
      </c>
      <c r="B1145" t="inlineStr">
        <is>
          <t>O010572</t>
        </is>
      </c>
      <c r="C1145" t="n">
        <v>20250228</v>
      </c>
      <c r="D1145" s="4" t="inlineStr">
        <is>
          <t>C065</t>
        </is>
      </c>
      <c r="E1145" s="4" t="inlineStr">
        <is>
          <t>P021</t>
        </is>
      </c>
      <c r="F1145" t="inlineStr">
        <is>
          <t>L</t>
        </is>
      </c>
      <c r="G1145" s="4" t="inlineStr">
        <is>
          <t>CH01</t>
        </is>
      </c>
      <c r="H1145" s="4" t="inlineStr">
        <is>
          <t>PR00</t>
        </is>
      </c>
      <c r="I1145" s="8" t="n">
        <v>56</v>
      </c>
      <c r="J1145" s="9" t="n">
        <v>0</v>
      </c>
      <c r="K1145" s="10">
        <f>I1145*(1-J1145)</f>
        <v/>
      </c>
      <c r="L1145" s="11" t="n">
        <v>1</v>
      </c>
      <c r="M1145" s="10">
        <f>K1145*L1145</f>
        <v/>
      </c>
      <c r="N1145" s="8" t="n">
        <v>28.46</v>
      </c>
      <c r="O1145" s="10">
        <f>N1145*L1145</f>
        <v/>
      </c>
      <c r="P1145" s="10">
        <f>M1145-O1145</f>
        <v/>
      </c>
      <c r="Q1145" s="11" t="inlineStr">
        <is>
          <t>No</t>
        </is>
      </c>
      <c r="R1145" s="11" t="n">
        <v>0</v>
      </c>
      <c r="S1145" s="10">
        <f>M1145-(R1145*K1145)</f>
        <v/>
      </c>
      <c r="T1145" s="12">
        <f>VLOOKUP(E1145,Dim_Product!$A$2:$Q$61,3,FALSE)</f>
        <v/>
      </c>
      <c r="U1145" s="12">
        <f>VLOOKUP(E1145,Dim_Product!$A$2:$Q$61,4,FALSE)</f>
        <v/>
      </c>
      <c r="V1145" s="12">
        <f>VLOOKUP(D1145,Dim_Customer!$A$2:$I$121,6,FALSE)</f>
        <v/>
      </c>
      <c r="W1145" s="12">
        <f>VLOOKUP(G1145,Dim_Channel!$A$2:$B$5,2,FALSE)</f>
        <v/>
      </c>
      <c r="X1145" s="12">
        <f>VLOOKUP(H1145,Dim_Promotion!$A$2:$G$11,2,FALSE)</f>
        <v/>
      </c>
    </row>
    <row r="1146">
      <c r="A1146" s="4" t="inlineStr">
        <is>
          <t>SL1145</t>
        </is>
      </c>
      <c r="B1146" t="inlineStr">
        <is>
          <t>O010573</t>
        </is>
      </c>
      <c r="C1146" t="n">
        <v>20251010</v>
      </c>
      <c r="D1146" s="4" t="inlineStr">
        <is>
          <t>C106</t>
        </is>
      </c>
      <c r="E1146" s="4" t="inlineStr">
        <is>
          <t>P014</t>
        </is>
      </c>
      <c r="F1146" t="inlineStr">
        <is>
          <t>M</t>
        </is>
      </c>
      <c r="G1146" s="4" t="inlineStr">
        <is>
          <t>CH04</t>
        </is>
      </c>
      <c r="H1146" s="4" t="inlineStr">
        <is>
          <t>PR00</t>
        </is>
      </c>
      <c r="I1146" s="8" t="n">
        <v>62</v>
      </c>
      <c r="J1146" s="9" t="n">
        <v>0</v>
      </c>
      <c r="K1146" s="10">
        <f>I1146*(1-J1146)</f>
        <v/>
      </c>
      <c r="L1146" s="11" t="n">
        <v>1</v>
      </c>
      <c r="M1146" s="10">
        <f>K1146*L1146</f>
        <v/>
      </c>
      <c r="N1146" s="8" t="n">
        <v>27.81</v>
      </c>
      <c r="O1146" s="10">
        <f>N1146*L1146</f>
        <v/>
      </c>
      <c r="P1146" s="10">
        <f>M1146-O1146</f>
        <v/>
      </c>
      <c r="Q1146" s="11" t="inlineStr">
        <is>
          <t>No</t>
        </is>
      </c>
      <c r="R1146" s="11" t="n">
        <v>0</v>
      </c>
      <c r="S1146" s="10">
        <f>M1146-(R1146*K1146)</f>
        <v/>
      </c>
      <c r="T1146" s="12">
        <f>VLOOKUP(E1146,Dim_Product!$A$2:$Q$61,3,FALSE)</f>
        <v/>
      </c>
      <c r="U1146" s="12">
        <f>VLOOKUP(E1146,Dim_Product!$A$2:$Q$61,4,FALSE)</f>
        <v/>
      </c>
      <c r="V1146" s="12">
        <f>VLOOKUP(D1146,Dim_Customer!$A$2:$I$121,6,FALSE)</f>
        <v/>
      </c>
      <c r="W1146" s="12">
        <f>VLOOKUP(G1146,Dim_Channel!$A$2:$B$5,2,FALSE)</f>
        <v/>
      </c>
      <c r="X1146" s="12">
        <f>VLOOKUP(H1146,Dim_Promotion!$A$2:$G$11,2,FALSE)</f>
        <v/>
      </c>
    </row>
    <row r="1147">
      <c r="A1147" s="4" t="inlineStr">
        <is>
          <t>SL1146</t>
        </is>
      </c>
      <c r="B1147" t="inlineStr">
        <is>
          <t>O010573</t>
        </is>
      </c>
      <c r="C1147" t="n">
        <v>20250806</v>
      </c>
      <c r="D1147" s="4" t="inlineStr">
        <is>
          <t>C007</t>
        </is>
      </c>
      <c r="E1147" s="4" t="inlineStr">
        <is>
          <t>P019</t>
        </is>
      </c>
      <c r="F1147" t="inlineStr">
        <is>
          <t>L</t>
        </is>
      </c>
      <c r="G1147" s="4" t="inlineStr">
        <is>
          <t>CH01</t>
        </is>
      </c>
      <c r="H1147" s="4" t="inlineStr">
        <is>
          <t>PR00</t>
        </is>
      </c>
      <c r="I1147" s="8" t="n">
        <v>62</v>
      </c>
      <c r="J1147" s="9" t="n">
        <v>0</v>
      </c>
      <c r="K1147" s="10">
        <f>I1147*(1-J1147)</f>
        <v/>
      </c>
      <c r="L1147" s="11" t="n">
        <v>1</v>
      </c>
      <c r="M1147" s="10">
        <f>K1147*L1147</f>
        <v/>
      </c>
      <c r="N1147" s="8" t="n">
        <v>32.23</v>
      </c>
      <c r="O1147" s="10">
        <f>N1147*L1147</f>
        <v/>
      </c>
      <c r="P1147" s="10">
        <f>M1147-O1147</f>
        <v/>
      </c>
      <c r="Q1147" s="11" t="inlineStr">
        <is>
          <t>No</t>
        </is>
      </c>
      <c r="R1147" s="11" t="n">
        <v>0</v>
      </c>
      <c r="S1147" s="10">
        <f>M1147-(R1147*K1147)</f>
        <v/>
      </c>
      <c r="T1147" s="12">
        <f>VLOOKUP(E1147,Dim_Product!$A$2:$Q$61,3,FALSE)</f>
        <v/>
      </c>
      <c r="U1147" s="12">
        <f>VLOOKUP(E1147,Dim_Product!$A$2:$Q$61,4,FALSE)</f>
        <v/>
      </c>
      <c r="V1147" s="12">
        <f>VLOOKUP(D1147,Dim_Customer!$A$2:$I$121,6,FALSE)</f>
        <v/>
      </c>
      <c r="W1147" s="12">
        <f>VLOOKUP(G1147,Dim_Channel!$A$2:$B$5,2,FALSE)</f>
        <v/>
      </c>
      <c r="X1147" s="12">
        <f>VLOOKUP(H1147,Dim_Promotion!$A$2:$G$11,2,FALSE)</f>
        <v/>
      </c>
    </row>
    <row r="1148">
      <c r="A1148" s="4" t="inlineStr">
        <is>
          <t>SL1147</t>
        </is>
      </c>
      <c r="B1148" t="inlineStr">
        <is>
          <t>O010574</t>
        </is>
      </c>
      <c r="C1148" t="n">
        <v>20250504</v>
      </c>
      <c r="D1148" s="4" t="inlineStr">
        <is>
          <t>C028</t>
        </is>
      </c>
      <c r="E1148" s="4" t="inlineStr">
        <is>
          <t>P043</t>
        </is>
      </c>
      <c r="F1148" t="inlineStr">
        <is>
          <t>L</t>
        </is>
      </c>
      <c r="G1148" s="4" t="inlineStr">
        <is>
          <t>CH03</t>
        </is>
      </c>
      <c r="H1148" s="4" t="inlineStr">
        <is>
          <t>PR00</t>
        </is>
      </c>
      <c r="I1148" s="8" t="n">
        <v>82</v>
      </c>
      <c r="J1148" s="9" t="n">
        <v>0</v>
      </c>
      <c r="K1148" s="10">
        <f>I1148*(1-J1148)</f>
        <v/>
      </c>
      <c r="L1148" s="11" t="n">
        <v>1</v>
      </c>
      <c r="M1148" s="10">
        <f>K1148*L1148</f>
        <v/>
      </c>
      <c r="N1148" s="8" t="n">
        <v>39.06</v>
      </c>
      <c r="O1148" s="10">
        <f>N1148*L1148</f>
        <v/>
      </c>
      <c r="P1148" s="10">
        <f>M1148-O1148</f>
        <v/>
      </c>
      <c r="Q1148" s="11" t="inlineStr">
        <is>
          <t>No</t>
        </is>
      </c>
      <c r="R1148" s="11" t="n">
        <v>0</v>
      </c>
      <c r="S1148" s="10">
        <f>M1148-(R1148*K1148)</f>
        <v/>
      </c>
      <c r="T1148" s="12">
        <f>VLOOKUP(E1148,Dim_Product!$A$2:$Q$61,3,FALSE)</f>
        <v/>
      </c>
      <c r="U1148" s="12">
        <f>VLOOKUP(E1148,Dim_Product!$A$2:$Q$61,4,FALSE)</f>
        <v/>
      </c>
      <c r="V1148" s="12">
        <f>VLOOKUP(D1148,Dim_Customer!$A$2:$I$121,6,FALSE)</f>
        <v/>
      </c>
      <c r="W1148" s="12">
        <f>VLOOKUP(G1148,Dim_Channel!$A$2:$B$5,2,FALSE)</f>
        <v/>
      </c>
      <c r="X1148" s="12">
        <f>VLOOKUP(H1148,Dim_Promotion!$A$2:$G$11,2,FALSE)</f>
        <v/>
      </c>
    </row>
    <row r="1149">
      <c r="A1149" s="4" t="inlineStr">
        <is>
          <t>SL1148</t>
        </is>
      </c>
      <c r="B1149" t="inlineStr">
        <is>
          <t>O010574</t>
        </is>
      </c>
      <c r="C1149" t="n">
        <v>20250501</v>
      </c>
      <c r="D1149" s="4" t="inlineStr">
        <is>
          <t>C080</t>
        </is>
      </c>
      <c r="E1149" s="4" t="inlineStr">
        <is>
          <t>P041</t>
        </is>
      </c>
      <c r="F1149" t="inlineStr">
        <is>
          <t>XS</t>
        </is>
      </c>
      <c r="G1149" s="4" t="inlineStr">
        <is>
          <t>CH04</t>
        </is>
      </c>
      <c r="H1149" s="4" t="inlineStr">
        <is>
          <t>PR00</t>
        </is>
      </c>
      <c r="I1149" s="8" t="n">
        <v>78</v>
      </c>
      <c r="J1149" s="9" t="n">
        <v>0.08</v>
      </c>
      <c r="K1149" s="10">
        <f>I1149*(1-J1149)</f>
        <v/>
      </c>
      <c r="L1149" s="11" t="n">
        <v>1</v>
      </c>
      <c r="M1149" s="10">
        <f>K1149*L1149</f>
        <v/>
      </c>
      <c r="N1149" s="8" t="n">
        <v>38.64</v>
      </c>
      <c r="O1149" s="10">
        <f>N1149*L1149</f>
        <v/>
      </c>
      <c r="P1149" s="10">
        <f>M1149-O1149</f>
        <v/>
      </c>
      <c r="Q1149" s="11" t="inlineStr">
        <is>
          <t>No</t>
        </is>
      </c>
      <c r="R1149" s="11" t="n">
        <v>0</v>
      </c>
      <c r="S1149" s="10">
        <f>M1149-(R1149*K1149)</f>
        <v/>
      </c>
      <c r="T1149" s="12">
        <f>VLOOKUP(E1149,Dim_Product!$A$2:$Q$61,3,FALSE)</f>
        <v/>
      </c>
      <c r="U1149" s="12">
        <f>VLOOKUP(E1149,Dim_Product!$A$2:$Q$61,4,FALSE)</f>
        <v/>
      </c>
      <c r="V1149" s="12">
        <f>VLOOKUP(D1149,Dim_Customer!$A$2:$I$121,6,FALSE)</f>
        <v/>
      </c>
      <c r="W1149" s="12">
        <f>VLOOKUP(G1149,Dim_Channel!$A$2:$B$5,2,FALSE)</f>
        <v/>
      </c>
      <c r="X1149" s="12">
        <f>VLOOKUP(H1149,Dim_Promotion!$A$2:$G$11,2,FALSE)</f>
        <v/>
      </c>
    </row>
    <row r="1150">
      <c r="A1150" s="4" t="inlineStr">
        <is>
          <t>SL1149</t>
        </is>
      </c>
      <c r="B1150" t="inlineStr">
        <is>
          <t>O010575</t>
        </is>
      </c>
      <c r="C1150" t="n">
        <v>20250219</v>
      </c>
      <c r="D1150" s="4" t="inlineStr">
        <is>
          <t>C068</t>
        </is>
      </c>
      <c r="E1150" s="4" t="inlineStr">
        <is>
          <t>P027</t>
        </is>
      </c>
      <c r="F1150" t="inlineStr">
        <is>
          <t>L</t>
        </is>
      </c>
      <c r="G1150" s="4" t="inlineStr">
        <is>
          <t>CH01</t>
        </is>
      </c>
      <c r="H1150" s="4" t="inlineStr">
        <is>
          <t>PR00</t>
        </is>
      </c>
      <c r="I1150" s="8" t="n">
        <v>93</v>
      </c>
      <c r="J1150" s="9" t="n">
        <v>0</v>
      </c>
      <c r="K1150" s="10">
        <f>I1150*(1-J1150)</f>
        <v/>
      </c>
      <c r="L1150" s="11" t="n">
        <v>1</v>
      </c>
      <c r="M1150" s="10">
        <f>K1150*L1150</f>
        <v/>
      </c>
      <c r="N1150" s="8" t="n">
        <v>45.49</v>
      </c>
      <c r="O1150" s="10">
        <f>N1150*L1150</f>
        <v/>
      </c>
      <c r="P1150" s="10">
        <f>M1150-O1150</f>
        <v/>
      </c>
      <c r="Q1150" s="11" t="inlineStr">
        <is>
          <t>No</t>
        </is>
      </c>
      <c r="R1150" s="11" t="n">
        <v>0</v>
      </c>
      <c r="S1150" s="10">
        <f>M1150-(R1150*K1150)</f>
        <v/>
      </c>
      <c r="T1150" s="12">
        <f>VLOOKUP(E1150,Dim_Product!$A$2:$Q$61,3,FALSE)</f>
        <v/>
      </c>
      <c r="U1150" s="12">
        <f>VLOOKUP(E1150,Dim_Product!$A$2:$Q$61,4,FALSE)</f>
        <v/>
      </c>
      <c r="V1150" s="12">
        <f>VLOOKUP(D1150,Dim_Customer!$A$2:$I$121,6,FALSE)</f>
        <v/>
      </c>
      <c r="W1150" s="12">
        <f>VLOOKUP(G1150,Dim_Channel!$A$2:$B$5,2,FALSE)</f>
        <v/>
      </c>
      <c r="X1150" s="12">
        <f>VLOOKUP(H1150,Dim_Promotion!$A$2:$G$11,2,FALSE)</f>
        <v/>
      </c>
    </row>
    <row r="1151">
      <c r="A1151" s="4" t="inlineStr">
        <is>
          <t>SL1150</t>
        </is>
      </c>
      <c r="B1151" t="inlineStr">
        <is>
          <t>O010575</t>
        </is>
      </c>
      <c r="C1151" t="n">
        <v>20251013</v>
      </c>
      <c r="D1151" s="4" t="inlineStr">
        <is>
          <t>C021</t>
        </is>
      </c>
      <c r="E1151" s="4" t="inlineStr">
        <is>
          <t>P053</t>
        </is>
      </c>
      <c r="F1151" t="inlineStr">
        <is>
          <t>M</t>
        </is>
      </c>
      <c r="G1151" s="4" t="inlineStr">
        <is>
          <t>CH04</t>
        </is>
      </c>
      <c r="H1151" s="4" t="inlineStr">
        <is>
          <t>PR00</t>
        </is>
      </c>
      <c r="I1151" s="8" t="n">
        <v>74</v>
      </c>
      <c r="J1151" s="9" t="n">
        <v>0</v>
      </c>
      <c r="K1151" s="10">
        <f>I1151*(1-J1151)</f>
        <v/>
      </c>
      <c r="L1151" s="11" t="n">
        <v>2</v>
      </c>
      <c r="M1151" s="10">
        <f>K1151*L1151</f>
        <v/>
      </c>
      <c r="N1151" s="8" t="n">
        <v>34.51</v>
      </c>
      <c r="O1151" s="10">
        <f>N1151*L1151</f>
        <v/>
      </c>
      <c r="P1151" s="10">
        <f>M1151-O1151</f>
        <v/>
      </c>
      <c r="Q1151" s="11" t="inlineStr">
        <is>
          <t>No</t>
        </is>
      </c>
      <c r="R1151" s="11" t="n">
        <v>0</v>
      </c>
      <c r="S1151" s="10">
        <f>M1151-(R1151*K1151)</f>
        <v/>
      </c>
      <c r="T1151" s="12">
        <f>VLOOKUP(E1151,Dim_Product!$A$2:$Q$61,3,FALSE)</f>
        <v/>
      </c>
      <c r="U1151" s="12">
        <f>VLOOKUP(E1151,Dim_Product!$A$2:$Q$61,4,FALSE)</f>
        <v/>
      </c>
      <c r="V1151" s="12">
        <f>VLOOKUP(D1151,Dim_Customer!$A$2:$I$121,6,FALSE)</f>
        <v/>
      </c>
      <c r="W1151" s="12">
        <f>VLOOKUP(G1151,Dim_Channel!$A$2:$B$5,2,FALSE)</f>
        <v/>
      </c>
      <c r="X1151" s="12">
        <f>VLOOKUP(H1151,Dim_Promotion!$A$2:$G$11,2,FALSE)</f>
        <v/>
      </c>
    </row>
    <row r="1152">
      <c r="A1152" s="4" t="inlineStr">
        <is>
          <t>SL1151</t>
        </is>
      </c>
      <c r="B1152" t="inlineStr">
        <is>
          <t>O010576</t>
        </is>
      </c>
      <c r="C1152" t="n">
        <v>20251018</v>
      </c>
      <c r="D1152" s="4" t="inlineStr">
        <is>
          <t>C057</t>
        </is>
      </c>
      <c r="E1152" s="4" t="inlineStr">
        <is>
          <t>P008</t>
        </is>
      </c>
      <c r="F1152" t="inlineStr">
        <is>
          <t>L</t>
        </is>
      </c>
      <c r="G1152" s="4" t="inlineStr">
        <is>
          <t>CH04</t>
        </is>
      </c>
      <c r="H1152" s="4" t="inlineStr">
        <is>
          <t>PR00</t>
        </is>
      </c>
      <c r="I1152" s="8" t="n">
        <v>52</v>
      </c>
      <c r="J1152" s="9" t="n">
        <v>0</v>
      </c>
      <c r="K1152" s="10">
        <f>I1152*(1-J1152)</f>
        <v/>
      </c>
      <c r="L1152" s="11" t="n">
        <v>2</v>
      </c>
      <c r="M1152" s="10">
        <f>K1152*L1152</f>
        <v/>
      </c>
      <c r="N1152" s="8" t="n">
        <v>23.12</v>
      </c>
      <c r="O1152" s="10">
        <f>N1152*L1152</f>
        <v/>
      </c>
      <c r="P1152" s="10">
        <f>M1152-O1152</f>
        <v/>
      </c>
      <c r="Q1152" s="11" t="inlineStr">
        <is>
          <t>No</t>
        </is>
      </c>
      <c r="R1152" s="11" t="n">
        <v>0</v>
      </c>
      <c r="S1152" s="10">
        <f>M1152-(R1152*K1152)</f>
        <v/>
      </c>
      <c r="T1152" s="12">
        <f>VLOOKUP(E1152,Dim_Product!$A$2:$Q$61,3,FALSE)</f>
        <v/>
      </c>
      <c r="U1152" s="12">
        <f>VLOOKUP(E1152,Dim_Product!$A$2:$Q$61,4,FALSE)</f>
        <v/>
      </c>
      <c r="V1152" s="12">
        <f>VLOOKUP(D1152,Dim_Customer!$A$2:$I$121,6,FALSE)</f>
        <v/>
      </c>
      <c r="W1152" s="12">
        <f>VLOOKUP(G1152,Dim_Channel!$A$2:$B$5,2,FALSE)</f>
        <v/>
      </c>
      <c r="X1152" s="12">
        <f>VLOOKUP(H1152,Dim_Promotion!$A$2:$G$11,2,FALSE)</f>
        <v/>
      </c>
    </row>
    <row r="1153">
      <c r="A1153" s="4" t="inlineStr">
        <is>
          <t>SL1152</t>
        </is>
      </c>
      <c r="B1153" t="inlineStr">
        <is>
          <t>O010576</t>
        </is>
      </c>
      <c r="C1153" t="n">
        <v>20251126</v>
      </c>
      <c r="D1153" s="4" t="inlineStr">
        <is>
          <t>C092</t>
        </is>
      </c>
      <c r="E1153" s="4" t="inlineStr">
        <is>
          <t>P050</t>
        </is>
      </c>
      <c r="F1153" t="inlineStr">
        <is>
          <t>L</t>
        </is>
      </c>
      <c r="G1153" s="4" t="inlineStr">
        <is>
          <t>CH02</t>
        </is>
      </c>
      <c r="H1153" s="4" t="inlineStr">
        <is>
          <t>PR08</t>
        </is>
      </c>
      <c r="I1153" s="8" t="n">
        <v>64</v>
      </c>
      <c r="J1153" s="9" t="n">
        <v>0.25</v>
      </c>
      <c r="K1153" s="10">
        <f>I1153*(1-J1153)</f>
        <v/>
      </c>
      <c r="L1153" s="11" t="n">
        <v>3</v>
      </c>
      <c r="M1153" s="10">
        <f>K1153*L1153</f>
        <v/>
      </c>
      <c r="N1153" s="8" t="n">
        <v>30.86</v>
      </c>
      <c r="O1153" s="10">
        <f>N1153*L1153</f>
        <v/>
      </c>
      <c r="P1153" s="10">
        <f>M1153-O1153</f>
        <v/>
      </c>
      <c r="Q1153" s="11" t="inlineStr">
        <is>
          <t>No</t>
        </is>
      </c>
      <c r="R1153" s="11" t="n">
        <v>0</v>
      </c>
      <c r="S1153" s="10">
        <f>M1153-(R1153*K1153)</f>
        <v/>
      </c>
      <c r="T1153" s="12">
        <f>VLOOKUP(E1153,Dim_Product!$A$2:$Q$61,3,FALSE)</f>
        <v/>
      </c>
      <c r="U1153" s="12">
        <f>VLOOKUP(E1153,Dim_Product!$A$2:$Q$61,4,FALSE)</f>
        <v/>
      </c>
      <c r="V1153" s="12">
        <f>VLOOKUP(D1153,Dim_Customer!$A$2:$I$121,6,FALSE)</f>
        <v/>
      </c>
      <c r="W1153" s="12">
        <f>VLOOKUP(G1153,Dim_Channel!$A$2:$B$5,2,FALSE)</f>
        <v/>
      </c>
      <c r="X1153" s="12">
        <f>VLOOKUP(H1153,Dim_Promotion!$A$2:$G$11,2,FALSE)</f>
        <v/>
      </c>
    </row>
    <row r="1154">
      <c r="A1154" s="4" t="inlineStr">
        <is>
          <t>SL1153</t>
        </is>
      </c>
      <c r="B1154" t="inlineStr">
        <is>
          <t>O010577</t>
        </is>
      </c>
      <c r="C1154" t="n">
        <v>20250505</v>
      </c>
      <c r="D1154" s="4" t="inlineStr">
        <is>
          <t>C120</t>
        </is>
      </c>
      <c r="E1154" s="4" t="inlineStr">
        <is>
          <t>P021</t>
        </is>
      </c>
      <c r="F1154" t="inlineStr">
        <is>
          <t>L</t>
        </is>
      </c>
      <c r="G1154" s="4" t="inlineStr">
        <is>
          <t>CH01</t>
        </is>
      </c>
      <c r="H1154" s="4" t="inlineStr">
        <is>
          <t>PR00</t>
        </is>
      </c>
      <c r="I1154" s="8" t="n">
        <v>52</v>
      </c>
      <c r="J1154" s="9" t="n">
        <v>0</v>
      </c>
      <c r="K1154" s="10">
        <f>I1154*(1-J1154)</f>
        <v/>
      </c>
      <c r="L1154" s="11" t="n">
        <v>2</v>
      </c>
      <c r="M1154" s="10">
        <f>K1154*L1154</f>
        <v/>
      </c>
      <c r="N1154" s="8" t="n">
        <v>28.9</v>
      </c>
      <c r="O1154" s="10">
        <f>N1154*L1154</f>
        <v/>
      </c>
      <c r="P1154" s="10">
        <f>M1154-O1154</f>
        <v/>
      </c>
      <c r="Q1154" s="11" t="inlineStr">
        <is>
          <t>Yes</t>
        </is>
      </c>
      <c r="R1154" s="11" t="n">
        <v>1</v>
      </c>
      <c r="S1154" s="10">
        <f>M1154-(R1154*K1154)</f>
        <v/>
      </c>
      <c r="T1154" s="12">
        <f>VLOOKUP(E1154,Dim_Product!$A$2:$Q$61,3,FALSE)</f>
        <v/>
      </c>
      <c r="U1154" s="12">
        <f>VLOOKUP(E1154,Dim_Product!$A$2:$Q$61,4,FALSE)</f>
        <v/>
      </c>
      <c r="V1154" s="12">
        <f>VLOOKUP(D1154,Dim_Customer!$A$2:$I$121,6,FALSE)</f>
        <v/>
      </c>
      <c r="W1154" s="12">
        <f>VLOOKUP(G1154,Dim_Channel!$A$2:$B$5,2,FALSE)</f>
        <v/>
      </c>
      <c r="X1154" s="12">
        <f>VLOOKUP(H1154,Dim_Promotion!$A$2:$G$11,2,FALSE)</f>
        <v/>
      </c>
    </row>
    <row r="1155">
      <c r="A1155" s="4" t="inlineStr">
        <is>
          <t>SL1154</t>
        </is>
      </c>
      <c r="B1155" t="inlineStr">
        <is>
          <t>O010577</t>
        </is>
      </c>
      <c r="C1155" t="n">
        <v>20250516</v>
      </c>
      <c r="D1155" s="4" t="inlineStr">
        <is>
          <t>C005</t>
        </is>
      </c>
      <c r="E1155" s="4" t="inlineStr">
        <is>
          <t>P024</t>
        </is>
      </c>
      <c r="F1155" t="inlineStr">
        <is>
          <t>L</t>
        </is>
      </c>
      <c r="G1155" s="4" t="inlineStr">
        <is>
          <t>CH02</t>
        </is>
      </c>
      <c r="H1155" s="4" t="inlineStr">
        <is>
          <t>PR00</t>
        </is>
      </c>
      <c r="I1155" s="8" t="n">
        <v>62</v>
      </c>
      <c r="J1155" s="9" t="n">
        <v>0</v>
      </c>
      <c r="K1155" s="10">
        <f>I1155*(1-J1155)</f>
        <v/>
      </c>
      <c r="L1155" s="11" t="n">
        <v>1</v>
      </c>
      <c r="M1155" s="10">
        <f>K1155*L1155</f>
        <v/>
      </c>
      <c r="N1155" s="8" t="n">
        <v>27.08</v>
      </c>
      <c r="O1155" s="10">
        <f>N1155*L1155</f>
        <v/>
      </c>
      <c r="P1155" s="10">
        <f>M1155-O1155</f>
        <v/>
      </c>
      <c r="Q1155" s="11" t="inlineStr">
        <is>
          <t>No</t>
        </is>
      </c>
      <c r="R1155" s="11" t="n">
        <v>0</v>
      </c>
      <c r="S1155" s="10">
        <f>M1155-(R1155*K1155)</f>
        <v/>
      </c>
      <c r="T1155" s="12">
        <f>VLOOKUP(E1155,Dim_Product!$A$2:$Q$61,3,FALSE)</f>
        <v/>
      </c>
      <c r="U1155" s="12">
        <f>VLOOKUP(E1155,Dim_Product!$A$2:$Q$61,4,FALSE)</f>
        <v/>
      </c>
      <c r="V1155" s="12">
        <f>VLOOKUP(D1155,Dim_Customer!$A$2:$I$121,6,FALSE)</f>
        <v/>
      </c>
      <c r="W1155" s="12">
        <f>VLOOKUP(G1155,Dim_Channel!$A$2:$B$5,2,FALSE)</f>
        <v/>
      </c>
      <c r="X1155" s="12">
        <f>VLOOKUP(H1155,Dim_Promotion!$A$2:$G$11,2,FALSE)</f>
        <v/>
      </c>
    </row>
    <row r="1156">
      <c r="A1156" s="4" t="inlineStr">
        <is>
          <t>SL1155</t>
        </is>
      </c>
      <c r="B1156" t="inlineStr">
        <is>
          <t>O010578</t>
        </is>
      </c>
      <c r="C1156" t="n">
        <v>20251216</v>
      </c>
      <c r="D1156" s="4" t="inlineStr">
        <is>
          <t>C019</t>
        </is>
      </c>
      <c r="E1156" s="4" t="inlineStr">
        <is>
          <t>P029</t>
        </is>
      </c>
      <c r="F1156" t="inlineStr">
        <is>
          <t>XL</t>
        </is>
      </c>
      <c r="G1156" s="4" t="inlineStr">
        <is>
          <t>CH01</t>
        </is>
      </c>
      <c r="H1156" s="4" t="inlineStr">
        <is>
          <t>PR00</t>
        </is>
      </c>
      <c r="I1156" s="8" t="n">
        <v>111</v>
      </c>
      <c r="J1156" s="9" t="n">
        <v>0</v>
      </c>
      <c r="K1156" s="10">
        <f>I1156*(1-J1156)</f>
        <v/>
      </c>
      <c r="L1156" s="11" t="n">
        <v>1</v>
      </c>
      <c r="M1156" s="10">
        <f>K1156*L1156</f>
        <v/>
      </c>
      <c r="N1156" s="8" t="n">
        <v>55.86</v>
      </c>
      <c r="O1156" s="10">
        <f>N1156*L1156</f>
        <v/>
      </c>
      <c r="P1156" s="10">
        <f>M1156-O1156</f>
        <v/>
      </c>
      <c r="Q1156" s="11" t="inlineStr">
        <is>
          <t>No</t>
        </is>
      </c>
      <c r="R1156" s="11" t="n">
        <v>0</v>
      </c>
      <c r="S1156" s="10">
        <f>M1156-(R1156*K1156)</f>
        <v/>
      </c>
      <c r="T1156" s="12">
        <f>VLOOKUP(E1156,Dim_Product!$A$2:$Q$61,3,FALSE)</f>
        <v/>
      </c>
      <c r="U1156" s="12">
        <f>VLOOKUP(E1156,Dim_Product!$A$2:$Q$61,4,FALSE)</f>
        <v/>
      </c>
      <c r="V1156" s="12">
        <f>VLOOKUP(D1156,Dim_Customer!$A$2:$I$121,6,FALSE)</f>
        <v/>
      </c>
      <c r="W1156" s="12">
        <f>VLOOKUP(G1156,Dim_Channel!$A$2:$B$5,2,FALSE)</f>
        <v/>
      </c>
      <c r="X1156" s="12">
        <f>VLOOKUP(H1156,Dim_Promotion!$A$2:$G$11,2,FALSE)</f>
        <v/>
      </c>
    </row>
    <row r="1157">
      <c r="A1157" s="4" t="inlineStr">
        <is>
          <t>SL1156</t>
        </is>
      </c>
      <c r="B1157" t="inlineStr">
        <is>
          <t>O010578</t>
        </is>
      </c>
      <c r="C1157" t="n">
        <v>20251005</v>
      </c>
      <c r="D1157" s="4" t="inlineStr">
        <is>
          <t>C047</t>
        </is>
      </c>
      <c r="E1157" s="4" t="inlineStr">
        <is>
          <t>P004</t>
        </is>
      </c>
      <c r="F1157" t="inlineStr">
        <is>
          <t>XL</t>
        </is>
      </c>
      <c r="G1157" s="4" t="inlineStr">
        <is>
          <t>CH04</t>
        </is>
      </c>
      <c r="H1157" s="4" t="inlineStr">
        <is>
          <t>PR00</t>
        </is>
      </c>
      <c r="I1157" s="8" t="n">
        <v>42</v>
      </c>
      <c r="J1157" s="9" t="n">
        <v>0</v>
      </c>
      <c r="K1157" s="10">
        <f>I1157*(1-J1157)</f>
        <v/>
      </c>
      <c r="L1157" s="11" t="n">
        <v>1</v>
      </c>
      <c r="M1157" s="10">
        <f>K1157*L1157</f>
        <v/>
      </c>
      <c r="N1157" s="8" t="n">
        <v>18.69</v>
      </c>
      <c r="O1157" s="10">
        <f>N1157*L1157</f>
        <v/>
      </c>
      <c r="P1157" s="10">
        <f>M1157-O1157</f>
        <v/>
      </c>
      <c r="Q1157" s="11" t="inlineStr">
        <is>
          <t>No</t>
        </is>
      </c>
      <c r="R1157" s="11" t="n">
        <v>0</v>
      </c>
      <c r="S1157" s="10">
        <f>M1157-(R1157*K1157)</f>
        <v/>
      </c>
      <c r="T1157" s="12">
        <f>VLOOKUP(E1157,Dim_Product!$A$2:$Q$61,3,FALSE)</f>
        <v/>
      </c>
      <c r="U1157" s="12">
        <f>VLOOKUP(E1157,Dim_Product!$A$2:$Q$61,4,FALSE)</f>
        <v/>
      </c>
      <c r="V1157" s="12">
        <f>VLOOKUP(D1157,Dim_Customer!$A$2:$I$121,6,FALSE)</f>
        <v/>
      </c>
      <c r="W1157" s="12">
        <f>VLOOKUP(G1157,Dim_Channel!$A$2:$B$5,2,FALSE)</f>
        <v/>
      </c>
      <c r="X1157" s="12">
        <f>VLOOKUP(H1157,Dim_Promotion!$A$2:$G$11,2,FALSE)</f>
        <v/>
      </c>
    </row>
    <row r="1158">
      <c r="A1158" s="4" t="inlineStr">
        <is>
          <t>SL1157</t>
        </is>
      </c>
      <c r="B1158" t="inlineStr">
        <is>
          <t>O010579</t>
        </is>
      </c>
      <c r="C1158" t="n">
        <v>20250327</v>
      </c>
      <c r="D1158" s="4" t="inlineStr">
        <is>
          <t>C083</t>
        </is>
      </c>
      <c r="E1158" s="4" t="inlineStr">
        <is>
          <t>P001</t>
        </is>
      </c>
      <c r="F1158" t="inlineStr">
        <is>
          <t>S</t>
        </is>
      </c>
      <c r="G1158" s="4" t="inlineStr">
        <is>
          <t>CH01</t>
        </is>
      </c>
      <c r="H1158" s="4" t="inlineStr">
        <is>
          <t>PR00</t>
        </is>
      </c>
      <c r="I1158" s="8" t="n">
        <v>41</v>
      </c>
      <c r="J1158" s="9" t="n">
        <v>0.05</v>
      </c>
      <c r="K1158" s="10">
        <f>I1158*(1-J1158)</f>
        <v/>
      </c>
      <c r="L1158" s="11" t="n">
        <v>1</v>
      </c>
      <c r="M1158" s="10">
        <f>K1158*L1158</f>
        <v/>
      </c>
      <c r="N1158" s="8" t="n">
        <v>16.82</v>
      </c>
      <c r="O1158" s="10">
        <f>N1158*L1158</f>
        <v/>
      </c>
      <c r="P1158" s="10">
        <f>M1158-O1158</f>
        <v/>
      </c>
      <c r="Q1158" s="11" t="inlineStr">
        <is>
          <t>No</t>
        </is>
      </c>
      <c r="R1158" s="11" t="n">
        <v>0</v>
      </c>
      <c r="S1158" s="10">
        <f>M1158-(R1158*K1158)</f>
        <v/>
      </c>
      <c r="T1158" s="12">
        <f>VLOOKUP(E1158,Dim_Product!$A$2:$Q$61,3,FALSE)</f>
        <v/>
      </c>
      <c r="U1158" s="12">
        <f>VLOOKUP(E1158,Dim_Product!$A$2:$Q$61,4,FALSE)</f>
        <v/>
      </c>
      <c r="V1158" s="12">
        <f>VLOOKUP(D1158,Dim_Customer!$A$2:$I$121,6,FALSE)</f>
        <v/>
      </c>
      <c r="W1158" s="12">
        <f>VLOOKUP(G1158,Dim_Channel!$A$2:$B$5,2,FALSE)</f>
        <v/>
      </c>
      <c r="X1158" s="12">
        <f>VLOOKUP(H1158,Dim_Promotion!$A$2:$G$11,2,FALSE)</f>
        <v/>
      </c>
    </row>
    <row r="1159">
      <c r="A1159" s="4" t="inlineStr">
        <is>
          <t>SL1158</t>
        </is>
      </c>
      <c r="B1159" t="inlineStr">
        <is>
          <t>O010579</t>
        </is>
      </c>
      <c r="C1159" t="n">
        <v>20250701</v>
      </c>
      <c r="D1159" s="4" t="inlineStr">
        <is>
          <t>C069</t>
        </is>
      </c>
      <c r="E1159" s="4" t="inlineStr">
        <is>
          <t>P009</t>
        </is>
      </c>
      <c r="F1159" t="inlineStr">
        <is>
          <t>L</t>
        </is>
      </c>
      <c r="G1159" s="4" t="inlineStr">
        <is>
          <t>CH01</t>
        </is>
      </c>
      <c r="H1159" s="4" t="inlineStr">
        <is>
          <t>PR00</t>
        </is>
      </c>
      <c r="I1159" s="8" t="n">
        <v>48</v>
      </c>
      <c r="J1159" s="9" t="n">
        <v>0</v>
      </c>
      <c r="K1159" s="10">
        <f>I1159*(1-J1159)</f>
        <v/>
      </c>
      <c r="L1159" s="11" t="n">
        <v>1</v>
      </c>
      <c r="M1159" s="10">
        <f>K1159*L1159</f>
        <v/>
      </c>
      <c r="N1159" s="8" t="n">
        <v>18.99</v>
      </c>
      <c r="O1159" s="10">
        <f>N1159*L1159</f>
        <v/>
      </c>
      <c r="P1159" s="10">
        <f>M1159-O1159</f>
        <v/>
      </c>
      <c r="Q1159" s="11" t="inlineStr">
        <is>
          <t>No</t>
        </is>
      </c>
      <c r="R1159" s="11" t="n">
        <v>0</v>
      </c>
      <c r="S1159" s="10">
        <f>M1159-(R1159*K1159)</f>
        <v/>
      </c>
      <c r="T1159" s="12">
        <f>VLOOKUP(E1159,Dim_Product!$A$2:$Q$61,3,FALSE)</f>
        <v/>
      </c>
      <c r="U1159" s="12">
        <f>VLOOKUP(E1159,Dim_Product!$A$2:$Q$61,4,FALSE)</f>
        <v/>
      </c>
      <c r="V1159" s="12">
        <f>VLOOKUP(D1159,Dim_Customer!$A$2:$I$121,6,FALSE)</f>
        <v/>
      </c>
      <c r="W1159" s="12">
        <f>VLOOKUP(G1159,Dim_Channel!$A$2:$B$5,2,FALSE)</f>
        <v/>
      </c>
      <c r="X1159" s="12">
        <f>VLOOKUP(H1159,Dim_Promotion!$A$2:$G$11,2,FALSE)</f>
        <v/>
      </c>
    </row>
    <row r="1160">
      <c r="A1160" s="4" t="inlineStr">
        <is>
          <t>SL1159</t>
        </is>
      </c>
      <c r="B1160" t="inlineStr">
        <is>
          <t>O010580</t>
        </is>
      </c>
      <c r="C1160" t="n">
        <v>20250621</v>
      </c>
      <c r="D1160" s="4" t="inlineStr">
        <is>
          <t>C035</t>
        </is>
      </c>
      <c r="E1160" s="4" t="inlineStr">
        <is>
          <t>P028</t>
        </is>
      </c>
      <c r="F1160" t="inlineStr">
        <is>
          <t>XL</t>
        </is>
      </c>
      <c r="G1160" s="4" t="inlineStr">
        <is>
          <t>CH04</t>
        </is>
      </c>
      <c r="H1160" s="4" t="inlineStr">
        <is>
          <t>PR00</t>
        </is>
      </c>
      <c r="I1160" s="8" t="n">
        <v>99</v>
      </c>
      <c r="J1160" s="9" t="n">
        <v>0</v>
      </c>
      <c r="K1160" s="10">
        <f>I1160*(1-J1160)</f>
        <v/>
      </c>
      <c r="L1160" s="11" t="n">
        <v>2</v>
      </c>
      <c r="M1160" s="10">
        <f>K1160*L1160</f>
        <v/>
      </c>
      <c r="N1160" s="8" t="n">
        <v>49.5</v>
      </c>
      <c r="O1160" s="10">
        <f>N1160*L1160</f>
        <v/>
      </c>
      <c r="P1160" s="10">
        <f>M1160-O1160</f>
        <v/>
      </c>
      <c r="Q1160" s="11" t="inlineStr">
        <is>
          <t>No</t>
        </is>
      </c>
      <c r="R1160" s="11" t="n">
        <v>0</v>
      </c>
      <c r="S1160" s="10">
        <f>M1160-(R1160*K1160)</f>
        <v/>
      </c>
      <c r="T1160" s="12">
        <f>VLOOKUP(E1160,Dim_Product!$A$2:$Q$61,3,FALSE)</f>
        <v/>
      </c>
      <c r="U1160" s="12">
        <f>VLOOKUP(E1160,Dim_Product!$A$2:$Q$61,4,FALSE)</f>
        <v/>
      </c>
      <c r="V1160" s="12">
        <f>VLOOKUP(D1160,Dim_Customer!$A$2:$I$121,6,FALSE)</f>
        <v/>
      </c>
      <c r="W1160" s="12">
        <f>VLOOKUP(G1160,Dim_Channel!$A$2:$B$5,2,FALSE)</f>
        <v/>
      </c>
      <c r="X1160" s="12">
        <f>VLOOKUP(H1160,Dim_Promotion!$A$2:$G$11,2,FALSE)</f>
        <v/>
      </c>
    </row>
    <row r="1161">
      <c r="A1161" s="4" t="inlineStr">
        <is>
          <t>SL1160</t>
        </is>
      </c>
      <c r="B1161" t="inlineStr">
        <is>
          <t>O010580</t>
        </is>
      </c>
      <c r="C1161" t="n">
        <v>20250622</v>
      </c>
      <c r="D1161" s="4" t="inlineStr">
        <is>
          <t>C071</t>
        </is>
      </c>
      <c r="E1161" s="4" t="inlineStr">
        <is>
          <t>P013</t>
        </is>
      </c>
      <c r="F1161" t="inlineStr">
        <is>
          <t>S</t>
        </is>
      </c>
      <c r="G1161" s="4" t="inlineStr">
        <is>
          <t>CH04</t>
        </is>
      </c>
      <c r="H1161" s="4" t="inlineStr">
        <is>
          <t>PR05</t>
        </is>
      </c>
      <c r="I1161" s="8" t="n">
        <v>58</v>
      </c>
      <c r="J1161" s="9" t="n">
        <v>0.2</v>
      </c>
      <c r="K1161" s="10">
        <f>I1161*(1-J1161)</f>
        <v/>
      </c>
      <c r="L1161" s="11" t="n">
        <v>1</v>
      </c>
      <c r="M1161" s="10">
        <f>K1161*L1161</f>
        <v/>
      </c>
      <c r="N1161" s="8" t="n">
        <v>25.75</v>
      </c>
      <c r="O1161" s="10">
        <f>N1161*L1161</f>
        <v/>
      </c>
      <c r="P1161" s="10">
        <f>M1161-O1161</f>
        <v/>
      </c>
      <c r="Q1161" s="11" t="inlineStr">
        <is>
          <t>No</t>
        </is>
      </c>
      <c r="R1161" s="11" t="n">
        <v>0</v>
      </c>
      <c r="S1161" s="10">
        <f>M1161-(R1161*K1161)</f>
        <v/>
      </c>
      <c r="T1161" s="12">
        <f>VLOOKUP(E1161,Dim_Product!$A$2:$Q$61,3,FALSE)</f>
        <v/>
      </c>
      <c r="U1161" s="12">
        <f>VLOOKUP(E1161,Dim_Product!$A$2:$Q$61,4,FALSE)</f>
        <v/>
      </c>
      <c r="V1161" s="12">
        <f>VLOOKUP(D1161,Dim_Customer!$A$2:$I$121,6,FALSE)</f>
        <v/>
      </c>
      <c r="W1161" s="12">
        <f>VLOOKUP(G1161,Dim_Channel!$A$2:$B$5,2,FALSE)</f>
        <v/>
      </c>
      <c r="X1161" s="12">
        <f>VLOOKUP(H1161,Dim_Promotion!$A$2:$G$11,2,FALSE)</f>
        <v/>
      </c>
    </row>
    <row r="1162">
      <c r="A1162" s="4" t="inlineStr">
        <is>
          <t>SL1161</t>
        </is>
      </c>
      <c r="B1162" t="inlineStr">
        <is>
          <t>O010581</t>
        </is>
      </c>
      <c r="C1162" t="n">
        <v>20250415</v>
      </c>
      <c r="D1162" s="4" t="inlineStr">
        <is>
          <t>C101</t>
        </is>
      </c>
      <c r="E1162" s="4" t="inlineStr">
        <is>
          <t>P042</t>
        </is>
      </c>
      <c r="F1162" t="inlineStr">
        <is>
          <t>M</t>
        </is>
      </c>
      <c r="G1162" s="4" t="inlineStr">
        <is>
          <t>CH02</t>
        </is>
      </c>
      <c r="H1162" s="4" t="inlineStr">
        <is>
          <t>PR00</t>
        </is>
      </c>
      <c r="I1162" s="8" t="n">
        <v>74</v>
      </c>
      <c r="J1162" s="9" t="n">
        <v>0</v>
      </c>
      <c r="K1162" s="10">
        <f>I1162*(1-J1162)</f>
        <v/>
      </c>
      <c r="L1162" s="11" t="n">
        <v>1</v>
      </c>
      <c r="M1162" s="10">
        <f>K1162*L1162</f>
        <v/>
      </c>
      <c r="N1162" s="8" t="n">
        <v>36.64</v>
      </c>
      <c r="O1162" s="10">
        <f>N1162*L1162</f>
        <v/>
      </c>
      <c r="P1162" s="10">
        <f>M1162-O1162</f>
        <v/>
      </c>
      <c r="Q1162" s="11" t="inlineStr">
        <is>
          <t>No</t>
        </is>
      </c>
      <c r="R1162" s="11" t="n">
        <v>0</v>
      </c>
      <c r="S1162" s="10">
        <f>M1162-(R1162*K1162)</f>
        <v/>
      </c>
      <c r="T1162" s="12">
        <f>VLOOKUP(E1162,Dim_Product!$A$2:$Q$61,3,FALSE)</f>
        <v/>
      </c>
      <c r="U1162" s="12">
        <f>VLOOKUP(E1162,Dim_Product!$A$2:$Q$61,4,FALSE)</f>
        <v/>
      </c>
      <c r="V1162" s="12">
        <f>VLOOKUP(D1162,Dim_Customer!$A$2:$I$121,6,FALSE)</f>
        <v/>
      </c>
      <c r="W1162" s="12">
        <f>VLOOKUP(G1162,Dim_Channel!$A$2:$B$5,2,FALSE)</f>
        <v/>
      </c>
      <c r="X1162" s="12">
        <f>VLOOKUP(H1162,Dim_Promotion!$A$2:$G$11,2,FALSE)</f>
        <v/>
      </c>
    </row>
    <row r="1163">
      <c r="A1163" s="4" t="inlineStr">
        <is>
          <t>SL1162</t>
        </is>
      </c>
      <c r="B1163" t="inlineStr">
        <is>
          <t>O010581</t>
        </is>
      </c>
      <c r="C1163" t="n">
        <v>20250820</v>
      </c>
      <c r="D1163" s="4" t="inlineStr">
        <is>
          <t>C028</t>
        </is>
      </c>
      <c r="E1163" s="4" t="inlineStr">
        <is>
          <t>P057</t>
        </is>
      </c>
      <c r="F1163" t="inlineStr">
        <is>
          <t>L</t>
        </is>
      </c>
      <c r="G1163" s="4" t="inlineStr">
        <is>
          <t>CH02</t>
        </is>
      </c>
      <c r="H1163" s="4" t="inlineStr">
        <is>
          <t>PR00</t>
        </is>
      </c>
      <c r="I1163" s="8" t="n">
        <v>74</v>
      </c>
      <c r="J1163" s="9" t="n">
        <v>0</v>
      </c>
      <c r="K1163" s="10">
        <f>I1163*(1-J1163)</f>
        <v/>
      </c>
      <c r="L1163" s="11" t="n">
        <v>1</v>
      </c>
      <c r="M1163" s="10">
        <f>K1163*L1163</f>
        <v/>
      </c>
      <c r="N1163" s="8" t="n">
        <v>35.46</v>
      </c>
      <c r="O1163" s="10">
        <f>N1163*L1163</f>
        <v/>
      </c>
      <c r="P1163" s="10">
        <f>M1163-O1163</f>
        <v/>
      </c>
      <c r="Q1163" s="11" t="inlineStr">
        <is>
          <t>No</t>
        </is>
      </c>
      <c r="R1163" s="11" t="n">
        <v>0</v>
      </c>
      <c r="S1163" s="10">
        <f>M1163-(R1163*K1163)</f>
        <v/>
      </c>
      <c r="T1163" s="12">
        <f>VLOOKUP(E1163,Dim_Product!$A$2:$Q$61,3,FALSE)</f>
        <v/>
      </c>
      <c r="U1163" s="12">
        <f>VLOOKUP(E1163,Dim_Product!$A$2:$Q$61,4,FALSE)</f>
        <v/>
      </c>
      <c r="V1163" s="12">
        <f>VLOOKUP(D1163,Dim_Customer!$A$2:$I$121,6,FALSE)</f>
        <v/>
      </c>
      <c r="W1163" s="12">
        <f>VLOOKUP(G1163,Dim_Channel!$A$2:$B$5,2,FALSE)</f>
        <v/>
      </c>
      <c r="X1163" s="12">
        <f>VLOOKUP(H1163,Dim_Promotion!$A$2:$G$11,2,FALSE)</f>
        <v/>
      </c>
    </row>
    <row r="1164">
      <c r="A1164" s="4" t="inlineStr">
        <is>
          <t>SL1163</t>
        </is>
      </c>
      <c r="B1164" t="inlineStr">
        <is>
          <t>O010582</t>
        </is>
      </c>
      <c r="C1164" t="n">
        <v>20250321</v>
      </c>
      <c r="D1164" s="4" t="inlineStr">
        <is>
          <t>C047</t>
        </is>
      </c>
      <c r="E1164" s="4" t="inlineStr">
        <is>
          <t>P041</t>
        </is>
      </c>
      <c r="F1164" t="inlineStr">
        <is>
          <t>M</t>
        </is>
      </c>
      <c r="G1164" s="4" t="inlineStr">
        <is>
          <t>CH04</t>
        </is>
      </c>
      <c r="H1164" s="4" t="inlineStr">
        <is>
          <t>PR00</t>
        </is>
      </c>
      <c r="I1164" s="8" t="n">
        <v>78</v>
      </c>
      <c r="J1164" s="9" t="n">
        <v>0</v>
      </c>
      <c r="K1164" s="10">
        <f>I1164*(1-J1164)</f>
        <v/>
      </c>
      <c r="L1164" s="11" t="n">
        <v>1</v>
      </c>
      <c r="M1164" s="10">
        <f>K1164*L1164</f>
        <v/>
      </c>
      <c r="N1164" s="8" t="n">
        <v>37.52</v>
      </c>
      <c r="O1164" s="10">
        <f>N1164*L1164</f>
        <v/>
      </c>
      <c r="P1164" s="10">
        <f>M1164-O1164</f>
        <v/>
      </c>
      <c r="Q1164" s="11" t="inlineStr">
        <is>
          <t>No</t>
        </is>
      </c>
      <c r="R1164" s="11" t="n">
        <v>0</v>
      </c>
      <c r="S1164" s="10">
        <f>M1164-(R1164*K1164)</f>
        <v/>
      </c>
      <c r="T1164" s="12">
        <f>VLOOKUP(E1164,Dim_Product!$A$2:$Q$61,3,FALSE)</f>
        <v/>
      </c>
      <c r="U1164" s="12">
        <f>VLOOKUP(E1164,Dim_Product!$A$2:$Q$61,4,FALSE)</f>
        <v/>
      </c>
      <c r="V1164" s="12">
        <f>VLOOKUP(D1164,Dim_Customer!$A$2:$I$121,6,FALSE)</f>
        <v/>
      </c>
      <c r="W1164" s="12">
        <f>VLOOKUP(G1164,Dim_Channel!$A$2:$B$5,2,FALSE)</f>
        <v/>
      </c>
      <c r="X1164" s="12">
        <f>VLOOKUP(H1164,Dim_Promotion!$A$2:$G$11,2,FALSE)</f>
        <v/>
      </c>
    </row>
    <row r="1165">
      <c r="A1165" s="4" t="inlineStr">
        <is>
          <t>SL1164</t>
        </is>
      </c>
      <c r="B1165" t="inlineStr">
        <is>
          <t>O010582</t>
        </is>
      </c>
      <c r="C1165" t="n">
        <v>20250724</v>
      </c>
      <c r="D1165" s="4" t="inlineStr">
        <is>
          <t>C113</t>
        </is>
      </c>
      <c r="E1165" s="4" t="inlineStr">
        <is>
          <t>P028</t>
        </is>
      </c>
      <c r="F1165" t="inlineStr">
        <is>
          <t>M</t>
        </is>
      </c>
      <c r="G1165" s="4" t="inlineStr">
        <is>
          <t>CH01</t>
        </is>
      </c>
      <c r="H1165" s="4" t="inlineStr">
        <is>
          <t>PR00</t>
        </is>
      </c>
      <c r="I1165" s="8" t="n">
        <v>97</v>
      </c>
      <c r="J1165" s="9" t="n">
        <v>0</v>
      </c>
      <c r="K1165" s="10">
        <f>I1165*(1-J1165)</f>
        <v/>
      </c>
      <c r="L1165" s="11" t="n">
        <v>1</v>
      </c>
      <c r="M1165" s="10">
        <f>K1165*L1165</f>
        <v/>
      </c>
      <c r="N1165" s="8" t="n">
        <v>49.78</v>
      </c>
      <c r="O1165" s="10">
        <f>N1165*L1165</f>
        <v/>
      </c>
      <c r="P1165" s="10">
        <f>M1165-O1165</f>
        <v/>
      </c>
      <c r="Q1165" s="11" t="inlineStr">
        <is>
          <t>No</t>
        </is>
      </c>
      <c r="R1165" s="11" t="n">
        <v>0</v>
      </c>
      <c r="S1165" s="10">
        <f>M1165-(R1165*K1165)</f>
        <v/>
      </c>
      <c r="T1165" s="12">
        <f>VLOOKUP(E1165,Dim_Product!$A$2:$Q$61,3,FALSE)</f>
        <v/>
      </c>
      <c r="U1165" s="12">
        <f>VLOOKUP(E1165,Dim_Product!$A$2:$Q$61,4,FALSE)</f>
        <v/>
      </c>
      <c r="V1165" s="12">
        <f>VLOOKUP(D1165,Dim_Customer!$A$2:$I$121,6,FALSE)</f>
        <v/>
      </c>
      <c r="W1165" s="12">
        <f>VLOOKUP(G1165,Dim_Channel!$A$2:$B$5,2,FALSE)</f>
        <v/>
      </c>
      <c r="X1165" s="12">
        <f>VLOOKUP(H1165,Dim_Promotion!$A$2:$G$11,2,FALSE)</f>
        <v/>
      </c>
    </row>
    <row r="1166">
      <c r="A1166" s="4" t="inlineStr">
        <is>
          <t>SL1165</t>
        </is>
      </c>
      <c r="B1166" t="inlineStr">
        <is>
          <t>O010583</t>
        </is>
      </c>
      <c r="C1166" t="n">
        <v>20251004</v>
      </c>
      <c r="D1166" s="4" t="inlineStr">
        <is>
          <t>C024</t>
        </is>
      </c>
      <c r="E1166" s="4" t="inlineStr">
        <is>
          <t>P053</t>
        </is>
      </c>
      <c r="F1166" t="inlineStr">
        <is>
          <t>L</t>
        </is>
      </c>
      <c r="G1166" s="4" t="inlineStr">
        <is>
          <t>CH02</t>
        </is>
      </c>
      <c r="H1166" s="4" t="inlineStr">
        <is>
          <t>PR00</t>
        </is>
      </c>
      <c r="I1166" s="8" t="n">
        <v>76</v>
      </c>
      <c r="J1166" s="9" t="n">
        <v>0</v>
      </c>
      <c r="K1166" s="10">
        <f>I1166*(1-J1166)</f>
        <v/>
      </c>
      <c r="L1166" s="11" t="n">
        <v>1</v>
      </c>
      <c r="M1166" s="10">
        <f>K1166*L1166</f>
        <v/>
      </c>
      <c r="N1166" s="8" t="n">
        <v>33.46</v>
      </c>
      <c r="O1166" s="10">
        <f>N1166*L1166</f>
        <v/>
      </c>
      <c r="P1166" s="10">
        <f>M1166-O1166</f>
        <v/>
      </c>
      <c r="Q1166" s="11" t="inlineStr">
        <is>
          <t>No</t>
        </is>
      </c>
      <c r="R1166" s="11" t="n">
        <v>0</v>
      </c>
      <c r="S1166" s="10">
        <f>M1166-(R1166*K1166)</f>
        <v/>
      </c>
      <c r="T1166" s="12">
        <f>VLOOKUP(E1166,Dim_Product!$A$2:$Q$61,3,FALSE)</f>
        <v/>
      </c>
      <c r="U1166" s="12">
        <f>VLOOKUP(E1166,Dim_Product!$A$2:$Q$61,4,FALSE)</f>
        <v/>
      </c>
      <c r="V1166" s="12">
        <f>VLOOKUP(D1166,Dim_Customer!$A$2:$I$121,6,FALSE)</f>
        <v/>
      </c>
      <c r="W1166" s="12">
        <f>VLOOKUP(G1166,Dim_Channel!$A$2:$B$5,2,FALSE)</f>
        <v/>
      </c>
      <c r="X1166" s="12">
        <f>VLOOKUP(H1166,Dim_Promotion!$A$2:$G$11,2,FALSE)</f>
        <v/>
      </c>
    </row>
    <row r="1167">
      <c r="A1167" s="4" t="inlineStr">
        <is>
          <t>SL1166</t>
        </is>
      </c>
      <c r="B1167" t="inlineStr">
        <is>
          <t>O010583</t>
        </is>
      </c>
      <c r="C1167" t="n">
        <v>20250429</v>
      </c>
      <c r="D1167" s="4" t="inlineStr">
        <is>
          <t>C077</t>
        </is>
      </c>
      <c r="E1167" s="4" t="inlineStr">
        <is>
          <t>P027</t>
        </is>
      </c>
      <c r="F1167" t="inlineStr">
        <is>
          <t>L</t>
        </is>
      </c>
      <c r="G1167" s="4" t="inlineStr">
        <is>
          <t>CH01</t>
        </is>
      </c>
      <c r="H1167" s="4" t="inlineStr">
        <is>
          <t>PR00</t>
        </is>
      </c>
      <c r="I1167" s="8" t="n">
        <v>93</v>
      </c>
      <c r="J1167" s="9" t="n">
        <v>0</v>
      </c>
      <c r="K1167" s="10">
        <f>I1167*(1-J1167)</f>
        <v/>
      </c>
      <c r="L1167" s="11" t="n">
        <v>1</v>
      </c>
      <c r="M1167" s="10">
        <f>K1167*L1167</f>
        <v/>
      </c>
      <c r="N1167" s="8" t="n">
        <v>46.67</v>
      </c>
      <c r="O1167" s="10">
        <f>N1167*L1167</f>
        <v/>
      </c>
      <c r="P1167" s="10">
        <f>M1167-O1167</f>
        <v/>
      </c>
      <c r="Q1167" s="11" t="inlineStr">
        <is>
          <t>No</t>
        </is>
      </c>
      <c r="R1167" s="11" t="n">
        <v>0</v>
      </c>
      <c r="S1167" s="10">
        <f>M1167-(R1167*K1167)</f>
        <v/>
      </c>
      <c r="T1167" s="12">
        <f>VLOOKUP(E1167,Dim_Product!$A$2:$Q$61,3,FALSE)</f>
        <v/>
      </c>
      <c r="U1167" s="12">
        <f>VLOOKUP(E1167,Dim_Product!$A$2:$Q$61,4,FALSE)</f>
        <v/>
      </c>
      <c r="V1167" s="12">
        <f>VLOOKUP(D1167,Dim_Customer!$A$2:$I$121,6,FALSE)</f>
        <v/>
      </c>
      <c r="W1167" s="12">
        <f>VLOOKUP(G1167,Dim_Channel!$A$2:$B$5,2,FALSE)</f>
        <v/>
      </c>
      <c r="X1167" s="12">
        <f>VLOOKUP(H1167,Dim_Promotion!$A$2:$G$11,2,FALSE)</f>
        <v/>
      </c>
    </row>
    <row r="1168">
      <c r="A1168" s="4" t="inlineStr">
        <is>
          <t>SL1167</t>
        </is>
      </c>
      <c r="B1168" t="inlineStr">
        <is>
          <t>O010584</t>
        </is>
      </c>
      <c r="C1168" t="n">
        <v>20250705</v>
      </c>
      <c r="D1168" s="4" t="inlineStr">
        <is>
          <t>C020</t>
        </is>
      </c>
      <c r="E1168" s="4" t="inlineStr">
        <is>
          <t>P002</t>
        </is>
      </c>
      <c r="F1168" t="inlineStr">
        <is>
          <t>XL</t>
        </is>
      </c>
      <c r="G1168" s="4" t="inlineStr">
        <is>
          <t>CH01</t>
        </is>
      </c>
      <c r="H1168" s="4" t="inlineStr">
        <is>
          <t>PR00</t>
        </is>
      </c>
      <c r="I1168" s="8" t="n">
        <v>38</v>
      </c>
      <c r="J1168" s="9" t="n">
        <v>0</v>
      </c>
      <c r="K1168" s="10">
        <f>I1168*(1-J1168)</f>
        <v/>
      </c>
      <c r="L1168" s="11" t="n">
        <v>1</v>
      </c>
      <c r="M1168" s="10">
        <f>K1168*L1168</f>
        <v/>
      </c>
      <c r="N1168" s="8" t="n">
        <v>16.84</v>
      </c>
      <c r="O1168" s="10">
        <f>N1168*L1168</f>
        <v/>
      </c>
      <c r="P1168" s="10">
        <f>M1168-O1168</f>
        <v/>
      </c>
      <c r="Q1168" s="11" t="inlineStr">
        <is>
          <t>No</t>
        </is>
      </c>
      <c r="R1168" s="11" t="n">
        <v>0</v>
      </c>
      <c r="S1168" s="10">
        <f>M1168-(R1168*K1168)</f>
        <v/>
      </c>
      <c r="T1168" s="12">
        <f>VLOOKUP(E1168,Dim_Product!$A$2:$Q$61,3,FALSE)</f>
        <v/>
      </c>
      <c r="U1168" s="12">
        <f>VLOOKUP(E1168,Dim_Product!$A$2:$Q$61,4,FALSE)</f>
        <v/>
      </c>
      <c r="V1168" s="12">
        <f>VLOOKUP(D1168,Dim_Customer!$A$2:$I$121,6,FALSE)</f>
        <v/>
      </c>
      <c r="W1168" s="12">
        <f>VLOOKUP(G1168,Dim_Channel!$A$2:$B$5,2,FALSE)</f>
        <v/>
      </c>
      <c r="X1168" s="12">
        <f>VLOOKUP(H1168,Dim_Promotion!$A$2:$G$11,2,FALSE)</f>
        <v/>
      </c>
    </row>
    <row r="1169">
      <c r="A1169" s="4" t="inlineStr">
        <is>
          <t>SL1168</t>
        </is>
      </c>
      <c r="B1169" t="inlineStr">
        <is>
          <t>O010584</t>
        </is>
      </c>
      <c r="C1169" t="n">
        <v>20250418</v>
      </c>
      <c r="D1169" s="4" t="inlineStr">
        <is>
          <t>C063</t>
        </is>
      </c>
      <c r="E1169" s="4" t="inlineStr">
        <is>
          <t>P052</t>
        </is>
      </c>
      <c r="F1169" t="inlineStr">
        <is>
          <t>L</t>
        </is>
      </c>
      <c r="G1169" s="4" t="inlineStr">
        <is>
          <t>CH02</t>
        </is>
      </c>
      <c r="H1169" s="4" t="inlineStr">
        <is>
          <t>PR00</t>
        </is>
      </c>
      <c r="I1169" s="8" t="n">
        <v>64</v>
      </c>
      <c r="J1169" s="9" t="n">
        <v>0</v>
      </c>
      <c r="K1169" s="10">
        <f>I1169*(1-J1169)</f>
        <v/>
      </c>
      <c r="L1169" s="11" t="n">
        <v>1</v>
      </c>
      <c r="M1169" s="10">
        <f>K1169*L1169</f>
        <v/>
      </c>
      <c r="N1169" s="8" t="n">
        <v>31.72</v>
      </c>
      <c r="O1169" s="10">
        <f>N1169*L1169</f>
        <v/>
      </c>
      <c r="P1169" s="10">
        <f>M1169-O1169</f>
        <v/>
      </c>
      <c r="Q1169" s="11" t="inlineStr">
        <is>
          <t>No</t>
        </is>
      </c>
      <c r="R1169" s="11" t="n">
        <v>0</v>
      </c>
      <c r="S1169" s="10">
        <f>M1169-(R1169*K1169)</f>
        <v/>
      </c>
      <c r="T1169" s="12">
        <f>VLOOKUP(E1169,Dim_Product!$A$2:$Q$61,3,FALSE)</f>
        <v/>
      </c>
      <c r="U1169" s="12">
        <f>VLOOKUP(E1169,Dim_Product!$A$2:$Q$61,4,FALSE)</f>
        <v/>
      </c>
      <c r="V1169" s="12">
        <f>VLOOKUP(D1169,Dim_Customer!$A$2:$I$121,6,FALSE)</f>
        <v/>
      </c>
      <c r="W1169" s="12">
        <f>VLOOKUP(G1169,Dim_Channel!$A$2:$B$5,2,FALSE)</f>
        <v/>
      </c>
      <c r="X1169" s="12">
        <f>VLOOKUP(H1169,Dim_Promotion!$A$2:$G$11,2,FALSE)</f>
        <v/>
      </c>
    </row>
    <row r="1170">
      <c r="A1170" s="4" t="inlineStr">
        <is>
          <t>SL1169</t>
        </is>
      </c>
      <c r="B1170" t="inlineStr">
        <is>
          <t>O010585</t>
        </is>
      </c>
      <c r="C1170" t="n">
        <v>20250912</v>
      </c>
      <c r="D1170" s="4" t="inlineStr">
        <is>
          <t>C024</t>
        </is>
      </c>
      <c r="E1170" s="4" t="inlineStr">
        <is>
          <t>P013</t>
        </is>
      </c>
      <c r="F1170" t="inlineStr">
        <is>
          <t>XL</t>
        </is>
      </c>
      <c r="G1170" s="4" t="inlineStr">
        <is>
          <t>CH03</t>
        </is>
      </c>
      <c r="H1170" s="4" t="inlineStr">
        <is>
          <t>PR00</t>
        </is>
      </c>
      <c r="I1170" s="8" t="n">
        <v>58</v>
      </c>
      <c r="J1170" s="9" t="n">
        <v>0</v>
      </c>
      <c r="K1170" s="10">
        <f>I1170*(1-J1170)</f>
        <v/>
      </c>
      <c r="L1170" s="11" t="n">
        <v>1</v>
      </c>
      <c r="M1170" s="10">
        <f>K1170*L1170</f>
        <v/>
      </c>
      <c r="N1170" s="8" t="n">
        <v>25.91</v>
      </c>
      <c r="O1170" s="10">
        <f>N1170*L1170</f>
        <v/>
      </c>
      <c r="P1170" s="10">
        <f>M1170-O1170</f>
        <v/>
      </c>
      <c r="Q1170" s="11" t="inlineStr">
        <is>
          <t>No</t>
        </is>
      </c>
      <c r="R1170" s="11" t="n">
        <v>0</v>
      </c>
      <c r="S1170" s="10">
        <f>M1170-(R1170*K1170)</f>
        <v/>
      </c>
      <c r="T1170" s="12">
        <f>VLOOKUP(E1170,Dim_Product!$A$2:$Q$61,3,FALSE)</f>
        <v/>
      </c>
      <c r="U1170" s="12">
        <f>VLOOKUP(E1170,Dim_Product!$A$2:$Q$61,4,FALSE)</f>
        <v/>
      </c>
      <c r="V1170" s="12">
        <f>VLOOKUP(D1170,Dim_Customer!$A$2:$I$121,6,FALSE)</f>
        <v/>
      </c>
      <c r="W1170" s="12">
        <f>VLOOKUP(G1170,Dim_Channel!$A$2:$B$5,2,FALSE)</f>
        <v/>
      </c>
      <c r="X1170" s="12">
        <f>VLOOKUP(H1170,Dim_Promotion!$A$2:$G$11,2,FALSE)</f>
        <v/>
      </c>
    </row>
    <row r="1171">
      <c r="A1171" s="4" t="inlineStr">
        <is>
          <t>SL1170</t>
        </is>
      </c>
      <c r="B1171" t="inlineStr">
        <is>
          <t>O010585</t>
        </is>
      </c>
      <c r="C1171" t="n">
        <v>20251221</v>
      </c>
      <c r="D1171" s="4" t="inlineStr">
        <is>
          <t>C011</t>
        </is>
      </c>
      <c r="E1171" s="4" t="inlineStr">
        <is>
          <t>P033</t>
        </is>
      </c>
      <c r="F1171" t="inlineStr">
        <is>
          <t>S</t>
        </is>
      </c>
      <c r="G1171" s="4" t="inlineStr">
        <is>
          <t>CH04</t>
        </is>
      </c>
      <c r="H1171" s="4" t="inlineStr">
        <is>
          <t>PR00</t>
        </is>
      </c>
      <c r="I1171" s="8" t="n">
        <v>88</v>
      </c>
      <c r="J1171" s="9" t="n">
        <v>0</v>
      </c>
      <c r="K1171" s="10">
        <f>I1171*(1-J1171)</f>
        <v/>
      </c>
      <c r="L1171" s="11" t="n">
        <v>2</v>
      </c>
      <c r="M1171" s="10">
        <f>K1171*L1171</f>
        <v/>
      </c>
      <c r="N1171" s="8" t="n">
        <v>43.35</v>
      </c>
      <c r="O1171" s="10">
        <f>N1171*L1171</f>
        <v/>
      </c>
      <c r="P1171" s="10">
        <f>M1171-O1171</f>
        <v/>
      </c>
      <c r="Q1171" s="11" t="inlineStr">
        <is>
          <t>Yes</t>
        </is>
      </c>
      <c r="R1171" s="11" t="n">
        <v>1</v>
      </c>
      <c r="S1171" s="10">
        <f>M1171-(R1171*K1171)</f>
        <v/>
      </c>
      <c r="T1171" s="12">
        <f>VLOOKUP(E1171,Dim_Product!$A$2:$Q$61,3,FALSE)</f>
        <v/>
      </c>
      <c r="U1171" s="12">
        <f>VLOOKUP(E1171,Dim_Product!$A$2:$Q$61,4,FALSE)</f>
        <v/>
      </c>
      <c r="V1171" s="12">
        <f>VLOOKUP(D1171,Dim_Customer!$A$2:$I$121,6,FALSE)</f>
        <v/>
      </c>
      <c r="W1171" s="12">
        <f>VLOOKUP(G1171,Dim_Channel!$A$2:$B$5,2,FALSE)</f>
        <v/>
      </c>
      <c r="X1171" s="12">
        <f>VLOOKUP(H1171,Dim_Promotion!$A$2:$G$11,2,FALSE)</f>
        <v/>
      </c>
    </row>
    <row r="1172">
      <c r="A1172" s="4" t="inlineStr">
        <is>
          <t>SL1171</t>
        </is>
      </c>
      <c r="B1172" t="inlineStr">
        <is>
          <t>O010586</t>
        </is>
      </c>
      <c r="C1172" t="n">
        <v>20250906</v>
      </c>
      <c r="D1172" s="4" t="inlineStr">
        <is>
          <t>C100</t>
        </is>
      </c>
      <c r="E1172" s="4" t="inlineStr">
        <is>
          <t>P055</t>
        </is>
      </c>
      <c r="F1172" t="inlineStr">
        <is>
          <t>M</t>
        </is>
      </c>
      <c r="G1172" s="4" t="inlineStr">
        <is>
          <t>CH02</t>
        </is>
      </c>
      <c r="H1172" s="4" t="inlineStr">
        <is>
          <t>PR00</t>
        </is>
      </c>
      <c r="I1172" s="8" t="n">
        <v>70</v>
      </c>
      <c r="J1172" s="9" t="n">
        <v>0</v>
      </c>
      <c r="K1172" s="10">
        <f>I1172*(1-J1172)</f>
        <v/>
      </c>
      <c r="L1172" s="11" t="n">
        <v>1</v>
      </c>
      <c r="M1172" s="10">
        <f>K1172*L1172</f>
        <v/>
      </c>
      <c r="N1172" s="8" t="n">
        <v>34.65</v>
      </c>
      <c r="O1172" s="10">
        <f>N1172*L1172</f>
        <v/>
      </c>
      <c r="P1172" s="10">
        <f>M1172-O1172</f>
        <v/>
      </c>
      <c r="Q1172" s="11" t="inlineStr">
        <is>
          <t>No</t>
        </is>
      </c>
      <c r="R1172" s="11" t="n">
        <v>0</v>
      </c>
      <c r="S1172" s="10">
        <f>M1172-(R1172*K1172)</f>
        <v/>
      </c>
      <c r="T1172" s="12">
        <f>VLOOKUP(E1172,Dim_Product!$A$2:$Q$61,3,FALSE)</f>
        <v/>
      </c>
      <c r="U1172" s="12">
        <f>VLOOKUP(E1172,Dim_Product!$A$2:$Q$61,4,FALSE)</f>
        <v/>
      </c>
      <c r="V1172" s="12">
        <f>VLOOKUP(D1172,Dim_Customer!$A$2:$I$121,6,FALSE)</f>
        <v/>
      </c>
      <c r="W1172" s="12">
        <f>VLOOKUP(G1172,Dim_Channel!$A$2:$B$5,2,FALSE)</f>
        <v/>
      </c>
      <c r="X1172" s="12">
        <f>VLOOKUP(H1172,Dim_Promotion!$A$2:$G$11,2,FALSE)</f>
        <v/>
      </c>
    </row>
    <row r="1173">
      <c r="A1173" s="4" t="inlineStr">
        <is>
          <t>SL1172</t>
        </is>
      </c>
      <c r="B1173" t="inlineStr">
        <is>
          <t>O010586</t>
        </is>
      </c>
      <c r="C1173" t="n">
        <v>20250320</v>
      </c>
      <c r="D1173" s="4" t="inlineStr">
        <is>
          <t>C106</t>
        </is>
      </c>
      <c r="E1173" s="4" t="inlineStr">
        <is>
          <t>P011</t>
        </is>
      </c>
      <c r="F1173" t="inlineStr">
        <is>
          <t>M</t>
        </is>
      </c>
      <c r="G1173" s="4" t="inlineStr">
        <is>
          <t>CH03</t>
        </is>
      </c>
      <c r="H1173" s="4" t="inlineStr">
        <is>
          <t>PR00</t>
        </is>
      </c>
      <c r="I1173" s="8" t="n">
        <v>48</v>
      </c>
      <c r="J1173" s="9" t="n">
        <v>0</v>
      </c>
      <c r="K1173" s="10">
        <f>I1173*(1-J1173)</f>
        <v/>
      </c>
      <c r="L1173" s="11" t="n">
        <v>1</v>
      </c>
      <c r="M1173" s="10">
        <f>K1173*L1173</f>
        <v/>
      </c>
      <c r="N1173" s="8" t="n">
        <v>20.33</v>
      </c>
      <c r="O1173" s="10">
        <f>N1173*L1173</f>
        <v/>
      </c>
      <c r="P1173" s="10">
        <f>M1173-O1173</f>
        <v/>
      </c>
      <c r="Q1173" s="11" t="inlineStr">
        <is>
          <t>No</t>
        </is>
      </c>
      <c r="R1173" s="11" t="n">
        <v>0</v>
      </c>
      <c r="S1173" s="10">
        <f>M1173-(R1173*K1173)</f>
        <v/>
      </c>
      <c r="T1173" s="12">
        <f>VLOOKUP(E1173,Dim_Product!$A$2:$Q$61,3,FALSE)</f>
        <v/>
      </c>
      <c r="U1173" s="12">
        <f>VLOOKUP(E1173,Dim_Product!$A$2:$Q$61,4,FALSE)</f>
        <v/>
      </c>
      <c r="V1173" s="12">
        <f>VLOOKUP(D1173,Dim_Customer!$A$2:$I$121,6,FALSE)</f>
        <v/>
      </c>
      <c r="W1173" s="12">
        <f>VLOOKUP(G1173,Dim_Channel!$A$2:$B$5,2,FALSE)</f>
        <v/>
      </c>
      <c r="X1173" s="12">
        <f>VLOOKUP(H1173,Dim_Promotion!$A$2:$G$11,2,FALSE)</f>
        <v/>
      </c>
    </row>
    <row r="1174">
      <c r="A1174" s="4" t="inlineStr">
        <is>
          <t>SL1173</t>
        </is>
      </c>
      <c r="B1174" t="inlineStr">
        <is>
          <t>O010587</t>
        </is>
      </c>
      <c r="C1174" t="n">
        <v>20250621</v>
      </c>
      <c r="D1174" s="4" t="inlineStr">
        <is>
          <t>C020</t>
        </is>
      </c>
      <c r="E1174" s="4" t="inlineStr">
        <is>
          <t>P043</t>
        </is>
      </c>
      <c r="F1174" t="inlineStr">
        <is>
          <t>S</t>
        </is>
      </c>
      <c r="G1174" s="4" t="inlineStr">
        <is>
          <t>CH04</t>
        </is>
      </c>
      <c r="H1174" s="4" t="inlineStr">
        <is>
          <t>PR05</t>
        </is>
      </c>
      <c r="I1174" s="8" t="n">
        <v>81</v>
      </c>
      <c r="J1174" s="9" t="n">
        <v>0.2</v>
      </c>
      <c r="K1174" s="10">
        <f>I1174*(1-J1174)</f>
        <v/>
      </c>
      <c r="L1174" s="11" t="n">
        <v>1</v>
      </c>
      <c r="M1174" s="10">
        <f>K1174*L1174</f>
        <v/>
      </c>
      <c r="N1174" s="8" t="n">
        <v>38.96</v>
      </c>
      <c r="O1174" s="10">
        <f>N1174*L1174</f>
        <v/>
      </c>
      <c r="P1174" s="10">
        <f>M1174-O1174</f>
        <v/>
      </c>
      <c r="Q1174" s="11" t="inlineStr">
        <is>
          <t>No</t>
        </is>
      </c>
      <c r="R1174" s="11" t="n">
        <v>0</v>
      </c>
      <c r="S1174" s="10">
        <f>M1174-(R1174*K1174)</f>
        <v/>
      </c>
      <c r="T1174" s="12">
        <f>VLOOKUP(E1174,Dim_Product!$A$2:$Q$61,3,FALSE)</f>
        <v/>
      </c>
      <c r="U1174" s="12">
        <f>VLOOKUP(E1174,Dim_Product!$A$2:$Q$61,4,FALSE)</f>
        <v/>
      </c>
      <c r="V1174" s="12">
        <f>VLOOKUP(D1174,Dim_Customer!$A$2:$I$121,6,FALSE)</f>
        <v/>
      </c>
      <c r="W1174" s="12">
        <f>VLOOKUP(G1174,Dim_Channel!$A$2:$B$5,2,FALSE)</f>
        <v/>
      </c>
      <c r="X1174" s="12">
        <f>VLOOKUP(H1174,Dim_Promotion!$A$2:$G$11,2,FALSE)</f>
        <v/>
      </c>
    </row>
    <row r="1175">
      <c r="A1175" s="4" t="inlineStr">
        <is>
          <t>SL1174</t>
        </is>
      </c>
      <c r="B1175" t="inlineStr">
        <is>
          <t>O010587</t>
        </is>
      </c>
      <c r="C1175" t="n">
        <v>20250225</v>
      </c>
      <c r="D1175" s="4" t="inlineStr">
        <is>
          <t>C096</t>
        </is>
      </c>
      <c r="E1175" s="4" t="inlineStr">
        <is>
          <t>P040</t>
        </is>
      </c>
      <c r="F1175" t="inlineStr">
        <is>
          <t>S</t>
        </is>
      </c>
      <c r="G1175" s="4" t="inlineStr">
        <is>
          <t>CH01</t>
        </is>
      </c>
      <c r="H1175" s="4" t="inlineStr">
        <is>
          <t>PR00</t>
        </is>
      </c>
      <c r="I1175" s="8" t="n">
        <v>71</v>
      </c>
      <c r="J1175" s="9" t="n">
        <v>0.05</v>
      </c>
      <c r="K1175" s="10">
        <f>I1175*(1-J1175)</f>
        <v/>
      </c>
      <c r="L1175" s="11" t="n">
        <v>1</v>
      </c>
      <c r="M1175" s="10">
        <f>K1175*L1175</f>
        <v/>
      </c>
      <c r="N1175" s="8" t="n">
        <v>34.02</v>
      </c>
      <c r="O1175" s="10">
        <f>N1175*L1175</f>
        <v/>
      </c>
      <c r="P1175" s="10">
        <f>M1175-O1175</f>
        <v/>
      </c>
      <c r="Q1175" s="11" t="inlineStr">
        <is>
          <t>No</t>
        </is>
      </c>
      <c r="R1175" s="11" t="n">
        <v>0</v>
      </c>
      <c r="S1175" s="10">
        <f>M1175-(R1175*K1175)</f>
        <v/>
      </c>
      <c r="T1175" s="12">
        <f>VLOOKUP(E1175,Dim_Product!$A$2:$Q$61,3,FALSE)</f>
        <v/>
      </c>
      <c r="U1175" s="12">
        <f>VLOOKUP(E1175,Dim_Product!$A$2:$Q$61,4,FALSE)</f>
        <v/>
      </c>
      <c r="V1175" s="12">
        <f>VLOOKUP(D1175,Dim_Customer!$A$2:$I$121,6,FALSE)</f>
        <v/>
      </c>
      <c r="W1175" s="12">
        <f>VLOOKUP(G1175,Dim_Channel!$A$2:$B$5,2,FALSE)</f>
        <v/>
      </c>
      <c r="X1175" s="12">
        <f>VLOOKUP(H1175,Dim_Promotion!$A$2:$G$11,2,FALSE)</f>
        <v/>
      </c>
    </row>
    <row r="1176">
      <c r="A1176" s="4" t="inlineStr">
        <is>
          <t>SL1175</t>
        </is>
      </c>
      <c r="B1176" t="inlineStr">
        <is>
          <t>O010588</t>
        </is>
      </c>
      <c r="C1176" t="n">
        <v>20250715</v>
      </c>
      <c r="D1176" s="4" t="inlineStr">
        <is>
          <t>C120</t>
        </is>
      </c>
      <c r="E1176" s="4" t="inlineStr">
        <is>
          <t>P044</t>
        </is>
      </c>
      <c r="F1176" t="inlineStr">
        <is>
          <t>S</t>
        </is>
      </c>
      <c r="G1176" s="4" t="inlineStr">
        <is>
          <t>CH01</t>
        </is>
      </c>
      <c r="H1176" s="4" t="inlineStr">
        <is>
          <t>PR00</t>
        </is>
      </c>
      <c r="I1176" s="8" t="n">
        <v>76</v>
      </c>
      <c r="J1176" s="9" t="n">
        <v>0</v>
      </c>
      <c r="K1176" s="10">
        <f>I1176*(1-J1176)</f>
        <v/>
      </c>
      <c r="L1176" s="11" t="n">
        <v>1</v>
      </c>
      <c r="M1176" s="10">
        <f>K1176*L1176</f>
        <v/>
      </c>
      <c r="N1176" s="8" t="n">
        <v>35.26</v>
      </c>
      <c r="O1176" s="10">
        <f>N1176*L1176</f>
        <v/>
      </c>
      <c r="P1176" s="10">
        <f>M1176-O1176</f>
        <v/>
      </c>
      <c r="Q1176" s="11" t="inlineStr">
        <is>
          <t>No</t>
        </is>
      </c>
      <c r="R1176" s="11" t="n">
        <v>0</v>
      </c>
      <c r="S1176" s="10">
        <f>M1176-(R1176*K1176)</f>
        <v/>
      </c>
      <c r="T1176" s="12">
        <f>VLOOKUP(E1176,Dim_Product!$A$2:$Q$61,3,FALSE)</f>
        <v/>
      </c>
      <c r="U1176" s="12">
        <f>VLOOKUP(E1176,Dim_Product!$A$2:$Q$61,4,FALSE)</f>
        <v/>
      </c>
      <c r="V1176" s="12">
        <f>VLOOKUP(D1176,Dim_Customer!$A$2:$I$121,6,FALSE)</f>
        <v/>
      </c>
      <c r="W1176" s="12">
        <f>VLOOKUP(G1176,Dim_Channel!$A$2:$B$5,2,FALSE)</f>
        <v/>
      </c>
      <c r="X1176" s="12">
        <f>VLOOKUP(H1176,Dim_Promotion!$A$2:$G$11,2,FALSE)</f>
        <v/>
      </c>
    </row>
    <row r="1177">
      <c r="A1177" s="4" t="inlineStr">
        <is>
          <t>SL1176</t>
        </is>
      </c>
      <c r="B1177" t="inlineStr">
        <is>
          <t>O010588</t>
        </is>
      </c>
      <c r="C1177" t="n">
        <v>20251125</v>
      </c>
      <c r="D1177" s="4" t="inlineStr">
        <is>
          <t>C067</t>
        </is>
      </c>
      <c r="E1177" s="4" t="inlineStr">
        <is>
          <t>P016</t>
        </is>
      </c>
      <c r="F1177" t="inlineStr">
        <is>
          <t>M</t>
        </is>
      </c>
      <c r="G1177" s="4" t="inlineStr">
        <is>
          <t>CH03</t>
        </is>
      </c>
      <c r="H1177" s="4" t="inlineStr">
        <is>
          <t>PR08</t>
        </is>
      </c>
      <c r="I1177" s="8" t="n">
        <v>60</v>
      </c>
      <c r="J1177" s="9" t="n">
        <v>0.25</v>
      </c>
      <c r="K1177" s="10">
        <f>I1177*(1-J1177)</f>
        <v/>
      </c>
      <c r="L1177" s="11" t="n">
        <v>1</v>
      </c>
      <c r="M1177" s="10">
        <f>K1177*L1177</f>
        <v/>
      </c>
      <c r="N1177" s="8" t="n">
        <v>27.01</v>
      </c>
      <c r="O1177" s="10">
        <f>N1177*L1177</f>
        <v/>
      </c>
      <c r="P1177" s="10">
        <f>M1177-O1177</f>
        <v/>
      </c>
      <c r="Q1177" s="11" t="inlineStr">
        <is>
          <t>Yes</t>
        </is>
      </c>
      <c r="R1177" s="11" t="n">
        <v>1</v>
      </c>
      <c r="S1177" s="10">
        <f>M1177-(R1177*K1177)</f>
        <v/>
      </c>
      <c r="T1177" s="12">
        <f>VLOOKUP(E1177,Dim_Product!$A$2:$Q$61,3,FALSE)</f>
        <v/>
      </c>
      <c r="U1177" s="12">
        <f>VLOOKUP(E1177,Dim_Product!$A$2:$Q$61,4,FALSE)</f>
        <v/>
      </c>
      <c r="V1177" s="12">
        <f>VLOOKUP(D1177,Dim_Customer!$A$2:$I$121,6,FALSE)</f>
        <v/>
      </c>
      <c r="W1177" s="12">
        <f>VLOOKUP(G1177,Dim_Channel!$A$2:$B$5,2,FALSE)</f>
        <v/>
      </c>
      <c r="X1177" s="12">
        <f>VLOOKUP(H1177,Dim_Promotion!$A$2:$G$11,2,FALSE)</f>
        <v/>
      </c>
    </row>
    <row r="1178">
      <c r="A1178" s="4" t="inlineStr">
        <is>
          <t>SL1177</t>
        </is>
      </c>
      <c r="B1178" t="inlineStr">
        <is>
          <t>O010589</t>
        </is>
      </c>
      <c r="C1178" t="n">
        <v>20251205</v>
      </c>
      <c r="D1178" s="4" t="inlineStr">
        <is>
          <t>C077</t>
        </is>
      </c>
      <c r="E1178" s="4" t="inlineStr">
        <is>
          <t>P016</t>
        </is>
      </c>
      <c r="F1178" t="inlineStr">
        <is>
          <t>XL</t>
        </is>
      </c>
      <c r="G1178" s="4" t="inlineStr">
        <is>
          <t>CH02</t>
        </is>
      </c>
      <c r="H1178" s="4" t="inlineStr">
        <is>
          <t>PR00</t>
        </is>
      </c>
      <c r="I1178" s="8" t="n">
        <v>58</v>
      </c>
      <c r="J1178" s="9" t="n">
        <v>0</v>
      </c>
      <c r="K1178" s="10">
        <f>I1178*(1-J1178)</f>
        <v/>
      </c>
      <c r="L1178" s="11" t="n">
        <v>4</v>
      </c>
      <c r="M1178" s="10">
        <f>K1178*L1178</f>
        <v/>
      </c>
      <c r="N1178" s="8" t="n">
        <v>27.03</v>
      </c>
      <c r="O1178" s="10">
        <f>N1178*L1178</f>
        <v/>
      </c>
      <c r="P1178" s="10">
        <f>M1178-O1178</f>
        <v/>
      </c>
      <c r="Q1178" s="11" t="inlineStr">
        <is>
          <t>No</t>
        </is>
      </c>
      <c r="R1178" s="11" t="n">
        <v>0</v>
      </c>
      <c r="S1178" s="10">
        <f>M1178-(R1178*K1178)</f>
        <v/>
      </c>
      <c r="T1178" s="12">
        <f>VLOOKUP(E1178,Dim_Product!$A$2:$Q$61,3,FALSE)</f>
        <v/>
      </c>
      <c r="U1178" s="12">
        <f>VLOOKUP(E1178,Dim_Product!$A$2:$Q$61,4,FALSE)</f>
        <v/>
      </c>
      <c r="V1178" s="12">
        <f>VLOOKUP(D1178,Dim_Customer!$A$2:$I$121,6,FALSE)</f>
        <v/>
      </c>
      <c r="W1178" s="12">
        <f>VLOOKUP(G1178,Dim_Channel!$A$2:$B$5,2,FALSE)</f>
        <v/>
      </c>
      <c r="X1178" s="12">
        <f>VLOOKUP(H1178,Dim_Promotion!$A$2:$G$11,2,FALSE)</f>
        <v/>
      </c>
    </row>
    <row r="1179">
      <c r="A1179" s="4" t="inlineStr">
        <is>
          <t>SL1178</t>
        </is>
      </c>
      <c r="B1179" t="inlineStr">
        <is>
          <t>O010589</t>
        </is>
      </c>
      <c r="C1179" t="n">
        <v>20251126</v>
      </c>
      <c r="D1179" s="4" t="inlineStr">
        <is>
          <t>C095</t>
        </is>
      </c>
      <c r="E1179" s="4" t="inlineStr">
        <is>
          <t>P043</t>
        </is>
      </c>
      <c r="F1179" t="inlineStr">
        <is>
          <t>XL</t>
        </is>
      </c>
      <c r="G1179" s="4" t="inlineStr">
        <is>
          <t>CH04</t>
        </is>
      </c>
      <c r="H1179" s="4" t="inlineStr">
        <is>
          <t>PR08</t>
        </is>
      </c>
      <c r="I1179" s="8" t="n">
        <v>80</v>
      </c>
      <c r="J1179" s="9" t="n">
        <v>0.25</v>
      </c>
      <c r="K1179" s="10">
        <f>I1179*(1-J1179)</f>
        <v/>
      </c>
      <c r="L1179" s="11" t="n">
        <v>1</v>
      </c>
      <c r="M1179" s="10">
        <f>K1179*L1179</f>
        <v/>
      </c>
      <c r="N1179" s="8" t="n">
        <v>38.82</v>
      </c>
      <c r="O1179" s="10">
        <f>N1179*L1179</f>
        <v/>
      </c>
      <c r="P1179" s="10">
        <f>M1179-O1179</f>
        <v/>
      </c>
      <c r="Q1179" s="11" t="inlineStr">
        <is>
          <t>No</t>
        </is>
      </c>
      <c r="R1179" s="11" t="n">
        <v>0</v>
      </c>
      <c r="S1179" s="10">
        <f>M1179-(R1179*K1179)</f>
        <v/>
      </c>
      <c r="T1179" s="12">
        <f>VLOOKUP(E1179,Dim_Product!$A$2:$Q$61,3,FALSE)</f>
        <v/>
      </c>
      <c r="U1179" s="12">
        <f>VLOOKUP(E1179,Dim_Product!$A$2:$Q$61,4,FALSE)</f>
        <v/>
      </c>
      <c r="V1179" s="12">
        <f>VLOOKUP(D1179,Dim_Customer!$A$2:$I$121,6,FALSE)</f>
        <v/>
      </c>
      <c r="W1179" s="12">
        <f>VLOOKUP(G1179,Dim_Channel!$A$2:$B$5,2,FALSE)</f>
        <v/>
      </c>
      <c r="X1179" s="12">
        <f>VLOOKUP(H1179,Dim_Promotion!$A$2:$G$11,2,FALSE)</f>
        <v/>
      </c>
    </row>
    <row r="1180">
      <c r="A1180" s="4" t="inlineStr">
        <is>
          <t>SL1179</t>
        </is>
      </c>
      <c r="B1180" t="inlineStr">
        <is>
          <t>O010590</t>
        </is>
      </c>
      <c r="C1180" t="n">
        <v>20250104</v>
      </c>
      <c r="D1180" s="4" t="inlineStr">
        <is>
          <t>C030</t>
        </is>
      </c>
      <c r="E1180" s="4" t="inlineStr">
        <is>
          <t>P058</t>
        </is>
      </c>
      <c r="F1180" t="inlineStr">
        <is>
          <t>M</t>
        </is>
      </c>
      <c r="G1180" s="4" t="inlineStr">
        <is>
          <t>CH03</t>
        </is>
      </c>
      <c r="H1180" s="4" t="inlineStr">
        <is>
          <t>PR00</t>
        </is>
      </c>
      <c r="I1180" s="8" t="n">
        <v>74</v>
      </c>
      <c r="J1180" s="9" t="n">
        <v>0</v>
      </c>
      <c r="K1180" s="10">
        <f>I1180*(1-J1180)</f>
        <v/>
      </c>
      <c r="L1180" s="11" t="n">
        <v>1</v>
      </c>
      <c r="M1180" s="10">
        <f>K1180*L1180</f>
        <v/>
      </c>
      <c r="N1180" s="8" t="n">
        <v>36.12</v>
      </c>
      <c r="O1180" s="10">
        <f>N1180*L1180</f>
        <v/>
      </c>
      <c r="P1180" s="10">
        <f>M1180-O1180</f>
        <v/>
      </c>
      <c r="Q1180" s="11" t="inlineStr">
        <is>
          <t>No</t>
        </is>
      </c>
      <c r="R1180" s="11" t="n">
        <v>0</v>
      </c>
      <c r="S1180" s="10">
        <f>M1180-(R1180*K1180)</f>
        <v/>
      </c>
      <c r="T1180" s="12">
        <f>VLOOKUP(E1180,Dim_Product!$A$2:$Q$61,3,FALSE)</f>
        <v/>
      </c>
      <c r="U1180" s="12">
        <f>VLOOKUP(E1180,Dim_Product!$A$2:$Q$61,4,FALSE)</f>
        <v/>
      </c>
      <c r="V1180" s="12">
        <f>VLOOKUP(D1180,Dim_Customer!$A$2:$I$121,6,FALSE)</f>
        <v/>
      </c>
      <c r="W1180" s="12">
        <f>VLOOKUP(G1180,Dim_Channel!$A$2:$B$5,2,FALSE)</f>
        <v/>
      </c>
      <c r="X1180" s="12">
        <f>VLOOKUP(H1180,Dim_Promotion!$A$2:$G$11,2,FALSE)</f>
        <v/>
      </c>
    </row>
    <row r="1181">
      <c r="A1181" s="4" t="inlineStr">
        <is>
          <t>SL1180</t>
        </is>
      </c>
      <c r="B1181" t="inlineStr">
        <is>
          <t>O010590</t>
        </is>
      </c>
      <c r="C1181" t="n">
        <v>20250328</v>
      </c>
      <c r="D1181" s="4" t="inlineStr">
        <is>
          <t>C004</t>
        </is>
      </c>
      <c r="E1181" s="4" t="inlineStr">
        <is>
          <t>P014</t>
        </is>
      </c>
      <c r="F1181" t="inlineStr">
        <is>
          <t>L</t>
        </is>
      </c>
      <c r="G1181" s="4" t="inlineStr">
        <is>
          <t>CH01</t>
        </is>
      </c>
      <c r="H1181" s="4" t="inlineStr">
        <is>
          <t>PR00</t>
        </is>
      </c>
      <c r="I1181" s="8" t="n">
        <v>58</v>
      </c>
      <c r="J1181" s="9" t="n">
        <v>0</v>
      </c>
      <c r="K1181" s="10">
        <f>I1181*(1-J1181)</f>
        <v/>
      </c>
      <c r="L1181" s="11" t="n">
        <v>1</v>
      </c>
      <c r="M1181" s="10">
        <f>K1181*L1181</f>
        <v/>
      </c>
      <c r="N1181" s="8" t="n">
        <v>27.05</v>
      </c>
      <c r="O1181" s="10">
        <f>N1181*L1181</f>
        <v/>
      </c>
      <c r="P1181" s="10">
        <f>M1181-O1181</f>
        <v/>
      </c>
      <c r="Q1181" s="11" t="inlineStr">
        <is>
          <t>No</t>
        </is>
      </c>
      <c r="R1181" s="11" t="n">
        <v>0</v>
      </c>
      <c r="S1181" s="10">
        <f>M1181-(R1181*K1181)</f>
        <v/>
      </c>
      <c r="T1181" s="12">
        <f>VLOOKUP(E1181,Dim_Product!$A$2:$Q$61,3,FALSE)</f>
        <v/>
      </c>
      <c r="U1181" s="12">
        <f>VLOOKUP(E1181,Dim_Product!$A$2:$Q$61,4,FALSE)</f>
        <v/>
      </c>
      <c r="V1181" s="12">
        <f>VLOOKUP(D1181,Dim_Customer!$A$2:$I$121,6,FALSE)</f>
        <v/>
      </c>
      <c r="W1181" s="12">
        <f>VLOOKUP(G1181,Dim_Channel!$A$2:$B$5,2,FALSE)</f>
        <v/>
      </c>
      <c r="X1181" s="12">
        <f>VLOOKUP(H1181,Dim_Promotion!$A$2:$G$11,2,FALSE)</f>
        <v/>
      </c>
    </row>
    <row r="1182">
      <c r="A1182" s="4" t="inlineStr">
        <is>
          <t>SL1181</t>
        </is>
      </c>
      <c r="B1182" t="inlineStr">
        <is>
          <t>O010591</t>
        </is>
      </c>
      <c r="C1182" t="n">
        <v>20250416</v>
      </c>
      <c r="D1182" s="4" t="inlineStr">
        <is>
          <t>C036</t>
        </is>
      </c>
      <c r="E1182" s="4" t="inlineStr">
        <is>
          <t>P004</t>
        </is>
      </c>
      <c r="F1182" t="inlineStr">
        <is>
          <t>S</t>
        </is>
      </c>
      <c r="G1182" s="4" t="inlineStr">
        <is>
          <t>CH03</t>
        </is>
      </c>
      <c r="H1182" s="4" t="inlineStr">
        <is>
          <t>PR00</t>
        </is>
      </c>
      <c r="I1182" s="8" t="n">
        <v>43</v>
      </c>
      <c r="J1182" s="9" t="n">
        <v>0</v>
      </c>
      <c r="K1182" s="10">
        <f>I1182*(1-J1182)</f>
        <v/>
      </c>
      <c r="L1182" s="11" t="n">
        <v>1</v>
      </c>
      <c r="M1182" s="10">
        <f>K1182*L1182</f>
        <v/>
      </c>
      <c r="N1182" s="8" t="n">
        <v>19.29</v>
      </c>
      <c r="O1182" s="10">
        <f>N1182*L1182</f>
        <v/>
      </c>
      <c r="P1182" s="10">
        <f>M1182-O1182</f>
        <v/>
      </c>
      <c r="Q1182" s="11" t="inlineStr">
        <is>
          <t>No</t>
        </is>
      </c>
      <c r="R1182" s="11" t="n">
        <v>0</v>
      </c>
      <c r="S1182" s="10">
        <f>M1182-(R1182*K1182)</f>
        <v/>
      </c>
      <c r="T1182" s="12">
        <f>VLOOKUP(E1182,Dim_Product!$A$2:$Q$61,3,FALSE)</f>
        <v/>
      </c>
      <c r="U1182" s="12">
        <f>VLOOKUP(E1182,Dim_Product!$A$2:$Q$61,4,FALSE)</f>
        <v/>
      </c>
      <c r="V1182" s="12">
        <f>VLOOKUP(D1182,Dim_Customer!$A$2:$I$121,6,FALSE)</f>
        <v/>
      </c>
      <c r="W1182" s="12">
        <f>VLOOKUP(G1182,Dim_Channel!$A$2:$B$5,2,FALSE)</f>
        <v/>
      </c>
      <c r="X1182" s="12">
        <f>VLOOKUP(H1182,Dim_Promotion!$A$2:$G$11,2,FALSE)</f>
        <v/>
      </c>
    </row>
    <row r="1183">
      <c r="A1183" s="4" t="inlineStr">
        <is>
          <t>SL1182</t>
        </is>
      </c>
      <c r="B1183" t="inlineStr">
        <is>
          <t>O010591</t>
        </is>
      </c>
      <c r="C1183" t="n">
        <v>20250328</v>
      </c>
      <c r="D1183" s="4" t="inlineStr">
        <is>
          <t>C037</t>
        </is>
      </c>
      <c r="E1183" s="4" t="inlineStr">
        <is>
          <t>P006</t>
        </is>
      </c>
      <c r="F1183" t="inlineStr">
        <is>
          <t>XL</t>
        </is>
      </c>
      <c r="G1183" s="4" t="inlineStr">
        <is>
          <t>CH01</t>
        </is>
      </c>
      <c r="H1183" s="4" t="inlineStr">
        <is>
          <t>PR03</t>
        </is>
      </c>
      <c r="I1183" s="8" t="n">
        <v>44</v>
      </c>
      <c r="J1183" s="9" t="n">
        <v>0.08</v>
      </c>
      <c r="K1183" s="10">
        <f>I1183*(1-J1183)</f>
        <v/>
      </c>
      <c r="L1183" s="11" t="n">
        <v>1</v>
      </c>
      <c r="M1183" s="10">
        <f>K1183*L1183</f>
        <v/>
      </c>
      <c r="N1183" s="8" t="n">
        <v>21.48</v>
      </c>
      <c r="O1183" s="10">
        <f>N1183*L1183</f>
        <v/>
      </c>
      <c r="P1183" s="10">
        <f>M1183-O1183</f>
        <v/>
      </c>
      <c r="Q1183" s="11" t="inlineStr">
        <is>
          <t>No</t>
        </is>
      </c>
      <c r="R1183" s="11" t="n">
        <v>0</v>
      </c>
      <c r="S1183" s="10">
        <f>M1183-(R1183*K1183)</f>
        <v/>
      </c>
      <c r="T1183" s="12">
        <f>VLOOKUP(E1183,Dim_Product!$A$2:$Q$61,3,FALSE)</f>
        <v/>
      </c>
      <c r="U1183" s="12">
        <f>VLOOKUP(E1183,Dim_Product!$A$2:$Q$61,4,FALSE)</f>
        <v/>
      </c>
      <c r="V1183" s="12">
        <f>VLOOKUP(D1183,Dim_Customer!$A$2:$I$121,6,FALSE)</f>
        <v/>
      </c>
      <c r="W1183" s="12">
        <f>VLOOKUP(G1183,Dim_Channel!$A$2:$B$5,2,FALSE)</f>
        <v/>
      </c>
      <c r="X1183" s="12">
        <f>VLOOKUP(H1183,Dim_Promotion!$A$2:$G$11,2,FALSE)</f>
        <v/>
      </c>
    </row>
    <row r="1184">
      <c r="A1184" s="4" t="inlineStr">
        <is>
          <t>SL1183</t>
        </is>
      </c>
      <c r="B1184" t="inlineStr">
        <is>
          <t>O010592</t>
        </is>
      </c>
      <c r="C1184" t="n">
        <v>20250404</v>
      </c>
      <c r="D1184" s="4" t="inlineStr">
        <is>
          <t>C003</t>
        </is>
      </c>
      <c r="E1184" s="4" t="inlineStr">
        <is>
          <t>P023</t>
        </is>
      </c>
      <c r="F1184" t="inlineStr">
        <is>
          <t>XL</t>
        </is>
      </c>
      <c r="G1184" s="4" t="inlineStr">
        <is>
          <t>CH04</t>
        </is>
      </c>
      <c r="H1184" s="4" t="inlineStr">
        <is>
          <t>PR00</t>
        </is>
      </c>
      <c r="I1184" s="8" t="n">
        <v>56</v>
      </c>
      <c r="J1184" s="9" t="n">
        <v>0</v>
      </c>
      <c r="K1184" s="10">
        <f>I1184*(1-J1184)</f>
        <v/>
      </c>
      <c r="L1184" s="11" t="n">
        <v>1</v>
      </c>
      <c r="M1184" s="10">
        <f>K1184*L1184</f>
        <v/>
      </c>
      <c r="N1184" s="8" t="n">
        <v>26.06</v>
      </c>
      <c r="O1184" s="10">
        <f>N1184*L1184</f>
        <v/>
      </c>
      <c r="P1184" s="10">
        <f>M1184-O1184</f>
        <v/>
      </c>
      <c r="Q1184" s="11" t="inlineStr">
        <is>
          <t>No</t>
        </is>
      </c>
      <c r="R1184" s="11" t="n">
        <v>0</v>
      </c>
      <c r="S1184" s="10">
        <f>M1184-(R1184*K1184)</f>
        <v/>
      </c>
      <c r="T1184" s="12">
        <f>VLOOKUP(E1184,Dim_Product!$A$2:$Q$61,3,FALSE)</f>
        <v/>
      </c>
      <c r="U1184" s="12">
        <f>VLOOKUP(E1184,Dim_Product!$A$2:$Q$61,4,FALSE)</f>
        <v/>
      </c>
      <c r="V1184" s="12">
        <f>VLOOKUP(D1184,Dim_Customer!$A$2:$I$121,6,FALSE)</f>
        <v/>
      </c>
      <c r="W1184" s="12">
        <f>VLOOKUP(G1184,Dim_Channel!$A$2:$B$5,2,FALSE)</f>
        <v/>
      </c>
      <c r="X1184" s="12">
        <f>VLOOKUP(H1184,Dim_Promotion!$A$2:$G$11,2,FALSE)</f>
        <v/>
      </c>
    </row>
    <row r="1185">
      <c r="A1185" s="4" t="inlineStr">
        <is>
          <t>SL1184</t>
        </is>
      </c>
      <c r="B1185" t="inlineStr">
        <is>
          <t>O010592</t>
        </is>
      </c>
      <c r="C1185" t="n">
        <v>20251012</v>
      </c>
      <c r="D1185" s="4" t="inlineStr">
        <is>
          <t>C048</t>
        </is>
      </c>
      <c r="E1185" s="4" t="inlineStr">
        <is>
          <t>P057</t>
        </is>
      </c>
      <c r="F1185" t="inlineStr">
        <is>
          <t>XL</t>
        </is>
      </c>
      <c r="G1185" s="4" t="inlineStr">
        <is>
          <t>CH01</t>
        </is>
      </c>
      <c r="H1185" s="4" t="inlineStr">
        <is>
          <t>PR00</t>
        </is>
      </c>
      <c r="I1185" s="8" t="n">
        <v>72</v>
      </c>
      <c r="J1185" s="9" t="n">
        <v>0</v>
      </c>
      <c r="K1185" s="10">
        <f>I1185*(1-J1185)</f>
        <v/>
      </c>
      <c r="L1185" s="11" t="n">
        <v>1</v>
      </c>
      <c r="M1185" s="10">
        <f>K1185*L1185</f>
        <v/>
      </c>
      <c r="N1185" s="8" t="n">
        <v>35.47</v>
      </c>
      <c r="O1185" s="10">
        <f>N1185*L1185</f>
        <v/>
      </c>
      <c r="P1185" s="10">
        <f>M1185-O1185</f>
        <v/>
      </c>
      <c r="Q1185" s="11" t="inlineStr">
        <is>
          <t>No</t>
        </is>
      </c>
      <c r="R1185" s="11" t="n">
        <v>0</v>
      </c>
      <c r="S1185" s="10">
        <f>M1185-(R1185*K1185)</f>
        <v/>
      </c>
      <c r="T1185" s="12">
        <f>VLOOKUP(E1185,Dim_Product!$A$2:$Q$61,3,FALSE)</f>
        <v/>
      </c>
      <c r="U1185" s="12">
        <f>VLOOKUP(E1185,Dim_Product!$A$2:$Q$61,4,FALSE)</f>
        <v/>
      </c>
      <c r="V1185" s="12">
        <f>VLOOKUP(D1185,Dim_Customer!$A$2:$I$121,6,FALSE)</f>
        <v/>
      </c>
      <c r="W1185" s="12">
        <f>VLOOKUP(G1185,Dim_Channel!$A$2:$B$5,2,FALSE)</f>
        <v/>
      </c>
      <c r="X1185" s="12">
        <f>VLOOKUP(H1185,Dim_Promotion!$A$2:$G$11,2,FALSE)</f>
        <v/>
      </c>
    </row>
    <row r="1186">
      <c r="A1186" s="4" t="inlineStr">
        <is>
          <t>SL1185</t>
        </is>
      </c>
      <c r="B1186" t="inlineStr">
        <is>
          <t>O010593</t>
        </is>
      </c>
      <c r="C1186" t="n">
        <v>20251117</v>
      </c>
      <c r="D1186" s="4" t="inlineStr">
        <is>
          <t>C016</t>
        </is>
      </c>
      <c r="E1186" s="4" t="inlineStr">
        <is>
          <t>P003</t>
        </is>
      </c>
      <c r="F1186" t="inlineStr">
        <is>
          <t>XL</t>
        </is>
      </c>
      <c r="G1186" s="4" t="inlineStr">
        <is>
          <t>CH03</t>
        </is>
      </c>
      <c r="H1186" s="4" t="inlineStr">
        <is>
          <t>PR00</t>
        </is>
      </c>
      <c r="I1186" s="8" t="n">
        <v>40</v>
      </c>
      <c r="J1186" s="9" t="n">
        <v>0</v>
      </c>
      <c r="K1186" s="10">
        <f>I1186*(1-J1186)</f>
        <v/>
      </c>
      <c r="L1186" s="11" t="n">
        <v>1</v>
      </c>
      <c r="M1186" s="10">
        <f>K1186*L1186</f>
        <v/>
      </c>
      <c r="N1186" s="8" t="n">
        <v>19.93</v>
      </c>
      <c r="O1186" s="10">
        <f>N1186*L1186</f>
        <v/>
      </c>
      <c r="P1186" s="10">
        <f>M1186-O1186</f>
        <v/>
      </c>
      <c r="Q1186" s="11" t="inlineStr">
        <is>
          <t>No</t>
        </is>
      </c>
      <c r="R1186" s="11" t="n">
        <v>0</v>
      </c>
      <c r="S1186" s="10">
        <f>M1186-(R1186*K1186)</f>
        <v/>
      </c>
      <c r="T1186" s="12">
        <f>VLOOKUP(E1186,Dim_Product!$A$2:$Q$61,3,FALSE)</f>
        <v/>
      </c>
      <c r="U1186" s="12">
        <f>VLOOKUP(E1186,Dim_Product!$A$2:$Q$61,4,FALSE)</f>
        <v/>
      </c>
      <c r="V1186" s="12">
        <f>VLOOKUP(D1186,Dim_Customer!$A$2:$I$121,6,FALSE)</f>
        <v/>
      </c>
      <c r="W1186" s="12">
        <f>VLOOKUP(G1186,Dim_Channel!$A$2:$B$5,2,FALSE)</f>
        <v/>
      </c>
      <c r="X1186" s="12">
        <f>VLOOKUP(H1186,Dim_Promotion!$A$2:$G$11,2,FALSE)</f>
        <v/>
      </c>
    </row>
    <row r="1187">
      <c r="A1187" s="4" t="inlineStr">
        <is>
          <t>SL1186</t>
        </is>
      </c>
      <c r="B1187" t="inlineStr">
        <is>
          <t>O010593</t>
        </is>
      </c>
      <c r="C1187" t="n">
        <v>20250714</v>
      </c>
      <c r="D1187" s="4" t="inlineStr">
        <is>
          <t>C067</t>
        </is>
      </c>
      <c r="E1187" s="4" t="inlineStr">
        <is>
          <t>P003</t>
        </is>
      </c>
      <c r="F1187" t="inlineStr">
        <is>
          <t>S</t>
        </is>
      </c>
      <c r="G1187" s="4" t="inlineStr">
        <is>
          <t>CH03</t>
        </is>
      </c>
      <c r="H1187" s="4" t="inlineStr">
        <is>
          <t>PR00</t>
        </is>
      </c>
      <c r="I1187" s="8" t="n">
        <v>40</v>
      </c>
      <c r="J1187" s="9" t="n">
        <v>0</v>
      </c>
      <c r="K1187" s="10">
        <f>I1187*(1-J1187)</f>
        <v/>
      </c>
      <c r="L1187" s="11" t="n">
        <v>1</v>
      </c>
      <c r="M1187" s="10">
        <f>K1187*L1187</f>
        <v/>
      </c>
      <c r="N1187" s="8" t="n">
        <v>19.64</v>
      </c>
      <c r="O1187" s="10">
        <f>N1187*L1187</f>
        <v/>
      </c>
      <c r="P1187" s="10">
        <f>M1187-O1187</f>
        <v/>
      </c>
      <c r="Q1187" s="11" t="inlineStr">
        <is>
          <t>No</t>
        </is>
      </c>
      <c r="R1187" s="11" t="n">
        <v>0</v>
      </c>
      <c r="S1187" s="10">
        <f>M1187-(R1187*K1187)</f>
        <v/>
      </c>
      <c r="T1187" s="12">
        <f>VLOOKUP(E1187,Dim_Product!$A$2:$Q$61,3,FALSE)</f>
        <v/>
      </c>
      <c r="U1187" s="12">
        <f>VLOOKUP(E1187,Dim_Product!$A$2:$Q$61,4,FALSE)</f>
        <v/>
      </c>
      <c r="V1187" s="12">
        <f>VLOOKUP(D1187,Dim_Customer!$A$2:$I$121,6,FALSE)</f>
        <v/>
      </c>
      <c r="W1187" s="12">
        <f>VLOOKUP(G1187,Dim_Channel!$A$2:$B$5,2,FALSE)</f>
        <v/>
      </c>
      <c r="X1187" s="12">
        <f>VLOOKUP(H1187,Dim_Promotion!$A$2:$G$11,2,FALSE)</f>
        <v/>
      </c>
    </row>
    <row r="1188">
      <c r="A1188" s="4" t="inlineStr">
        <is>
          <t>SL1187</t>
        </is>
      </c>
      <c r="B1188" t="inlineStr">
        <is>
          <t>O010594</t>
        </is>
      </c>
      <c r="C1188" t="n">
        <v>20251223</v>
      </c>
      <c r="D1188" s="4" t="inlineStr">
        <is>
          <t>C008</t>
        </is>
      </c>
      <c r="E1188" s="4" t="inlineStr">
        <is>
          <t>P026</t>
        </is>
      </c>
      <c r="F1188" t="inlineStr">
        <is>
          <t>S</t>
        </is>
      </c>
      <c r="G1188" s="4" t="inlineStr">
        <is>
          <t>CH01</t>
        </is>
      </c>
      <c r="H1188" s="4" t="inlineStr">
        <is>
          <t>PR00</t>
        </is>
      </c>
      <c r="I1188" s="8" t="n">
        <v>93</v>
      </c>
      <c r="J1188" s="9" t="n">
        <v>0</v>
      </c>
      <c r="K1188" s="10">
        <f>I1188*(1-J1188)</f>
        <v/>
      </c>
      <c r="L1188" s="11" t="n">
        <v>1</v>
      </c>
      <c r="M1188" s="10">
        <f>K1188*L1188</f>
        <v/>
      </c>
      <c r="N1188" s="8" t="n">
        <v>46.72</v>
      </c>
      <c r="O1188" s="10">
        <f>N1188*L1188</f>
        <v/>
      </c>
      <c r="P1188" s="10">
        <f>M1188-O1188</f>
        <v/>
      </c>
      <c r="Q1188" s="11" t="inlineStr">
        <is>
          <t>No</t>
        </is>
      </c>
      <c r="R1188" s="11" t="n">
        <v>0</v>
      </c>
      <c r="S1188" s="10">
        <f>M1188-(R1188*K1188)</f>
        <v/>
      </c>
      <c r="T1188" s="12">
        <f>VLOOKUP(E1188,Dim_Product!$A$2:$Q$61,3,FALSE)</f>
        <v/>
      </c>
      <c r="U1188" s="12">
        <f>VLOOKUP(E1188,Dim_Product!$A$2:$Q$61,4,FALSE)</f>
        <v/>
      </c>
      <c r="V1188" s="12">
        <f>VLOOKUP(D1188,Dim_Customer!$A$2:$I$121,6,FALSE)</f>
        <v/>
      </c>
      <c r="W1188" s="12">
        <f>VLOOKUP(G1188,Dim_Channel!$A$2:$B$5,2,FALSE)</f>
        <v/>
      </c>
      <c r="X1188" s="12">
        <f>VLOOKUP(H1188,Dim_Promotion!$A$2:$G$11,2,FALSE)</f>
        <v/>
      </c>
    </row>
    <row r="1189">
      <c r="A1189" s="4" t="inlineStr">
        <is>
          <t>SL1188</t>
        </is>
      </c>
      <c r="B1189" t="inlineStr">
        <is>
          <t>O010594</t>
        </is>
      </c>
      <c r="C1189" t="n">
        <v>20250517</v>
      </c>
      <c r="D1189" s="4" t="inlineStr">
        <is>
          <t>C036</t>
        </is>
      </c>
      <c r="E1189" s="4" t="inlineStr">
        <is>
          <t>P028</t>
        </is>
      </c>
      <c r="F1189" t="inlineStr">
        <is>
          <t>M</t>
        </is>
      </c>
      <c r="G1189" s="4" t="inlineStr">
        <is>
          <t>CH01</t>
        </is>
      </c>
      <c r="H1189" s="4" t="inlineStr">
        <is>
          <t>PR00</t>
        </is>
      </c>
      <c r="I1189" s="8" t="n">
        <v>97</v>
      </c>
      <c r="J1189" s="9" t="n">
        <v>0.08</v>
      </c>
      <c r="K1189" s="10">
        <f>I1189*(1-J1189)</f>
        <v/>
      </c>
      <c r="L1189" s="11" t="n">
        <v>1</v>
      </c>
      <c r="M1189" s="10">
        <f>K1189*L1189</f>
        <v/>
      </c>
      <c r="N1189" s="8" t="n">
        <v>49.52</v>
      </c>
      <c r="O1189" s="10">
        <f>N1189*L1189</f>
        <v/>
      </c>
      <c r="P1189" s="10">
        <f>M1189-O1189</f>
        <v/>
      </c>
      <c r="Q1189" s="11" t="inlineStr">
        <is>
          <t>No</t>
        </is>
      </c>
      <c r="R1189" s="11" t="n">
        <v>0</v>
      </c>
      <c r="S1189" s="10">
        <f>M1189-(R1189*K1189)</f>
        <v/>
      </c>
      <c r="T1189" s="12">
        <f>VLOOKUP(E1189,Dim_Product!$A$2:$Q$61,3,FALSE)</f>
        <v/>
      </c>
      <c r="U1189" s="12">
        <f>VLOOKUP(E1189,Dim_Product!$A$2:$Q$61,4,FALSE)</f>
        <v/>
      </c>
      <c r="V1189" s="12">
        <f>VLOOKUP(D1189,Dim_Customer!$A$2:$I$121,6,FALSE)</f>
        <v/>
      </c>
      <c r="W1189" s="12">
        <f>VLOOKUP(G1189,Dim_Channel!$A$2:$B$5,2,FALSE)</f>
        <v/>
      </c>
      <c r="X1189" s="12">
        <f>VLOOKUP(H1189,Dim_Promotion!$A$2:$G$11,2,FALSE)</f>
        <v/>
      </c>
    </row>
    <row r="1190">
      <c r="A1190" s="4" t="inlineStr">
        <is>
          <t>SL1189</t>
        </is>
      </c>
      <c r="B1190" t="inlineStr">
        <is>
          <t>O010595</t>
        </is>
      </c>
      <c r="C1190" t="n">
        <v>20250623</v>
      </c>
      <c r="D1190" s="4" t="inlineStr">
        <is>
          <t>C055</t>
        </is>
      </c>
      <c r="E1190" s="4" t="inlineStr">
        <is>
          <t>P035</t>
        </is>
      </c>
      <c r="F1190" t="inlineStr">
        <is>
          <t>M</t>
        </is>
      </c>
      <c r="G1190" s="4" t="inlineStr">
        <is>
          <t>CH02</t>
        </is>
      </c>
      <c r="H1190" s="4" t="inlineStr">
        <is>
          <t>PR00</t>
        </is>
      </c>
      <c r="I1190" s="8" t="n">
        <v>88</v>
      </c>
      <c r="J1190" s="9" t="n">
        <v>0</v>
      </c>
      <c r="K1190" s="10">
        <f>I1190*(1-J1190)</f>
        <v/>
      </c>
      <c r="L1190" s="11" t="n">
        <v>1</v>
      </c>
      <c r="M1190" s="10">
        <f>K1190*L1190</f>
        <v/>
      </c>
      <c r="N1190" s="8" t="n">
        <v>42.54</v>
      </c>
      <c r="O1190" s="10">
        <f>N1190*L1190</f>
        <v/>
      </c>
      <c r="P1190" s="10">
        <f>M1190-O1190</f>
        <v/>
      </c>
      <c r="Q1190" s="11" t="inlineStr">
        <is>
          <t>No</t>
        </is>
      </c>
      <c r="R1190" s="11" t="n">
        <v>0</v>
      </c>
      <c r="S1190" s="10">
        <f>M1190-(R1190*K1190)</f>
        <v/>
      </c>
      <c r="T1190" s="12">
        <f>VLOOKUP(E1190,Dim_Product!$A$2:$Q$61,3,FALSE)</f>
        <v/>
      </c>
      <c r="U1190" s="12">
        <f>VLOOKUP(E1190,Dim_Product!$A$2:$Q$61,4,FALSE)</f>
        <v/>
      </c>
      <c r="V1190" s="12">
        <f>VLOOKUP(D1190,Dim_Customer!$A$2:$I$121,6,FALSE)</f>
        <v/>
      </c>
      <c r="W1190" s="12">
        <f>VLOOKUP(G1190,Dim_Channel!$A$2:$B$5,2,FALSE)</f>
        <v/>
      </c>
      <c r="X1190" s="12">
        <f>VLOOKUP(H1190,Dim_Promotion!$A$2:$G$11,2,FALSE)</f>
        <v/>
      </c>
    </row>
    <row r="1191">
      <c r="A1191" s="4" t="inlineStr">
        <is>
          <t>SL1190</t>
        </is>
      </c>
      <c r="B1191" t="inlineStr">
        <is>
          <t>O010595</t>
        </is>
      </c>
      <c r="C1191" t="n">
        <v>20251230</v>
      </c>
      <c r="D1191" s="4" t="inlineStr">
        <is>
          <t>C033</t>
        </is>
      </c>
      <c r="E1191" s="4" t="inlineStr">
        <is>
          <t>P049</t>
        </is>
      </c>
      <c r="F1191" t="inlineStr">
        <is>
          <t>M</t>
        </is>
      </c>
      <c r="G1191" s="4" t="inlineStr">
        <is>
          <t>CH01</t>
        </is>
      </c>
      <c r="H1191" s="4" t="inlineStr">
        <is>
          <t>PR00</t>
        </is>
      </c>
      <c r="I1191" s="8" t="n">
        <v>70</v>
      </c>
      <c r="J1191" s="9" t="n">
        <v>0.05</v>
      </c>
      <c r="K1191" s="10">
        <f>I1191*(1-J1191)</f>
        <v/>
      </c>
      <c r="L1191" s="11" t="n">
        <v>1</v>
      </c>
      <c r="M1191" s="10">
        <f>K1191*L1191</f>
        <v/>
      </c>
      <c r="N1191" s="8" t="n">
        <v>29.25</v>
      </c>
      <c r="O1191" s="10">
        <f>N1191*L1191</f>
        <v/>
      </c>
      <c r="P1191" s="10">
        <f>M1191-O1191</f>
        <v/>
      </c>
      <c r="Q1191" s="11" t="inlineStr">
        <is>
          <t>Yes</t>
        </is>
      </c>
      <c r="R1191" s="11" t="n">
        <v>1</v>
      </c>
      <c r="S1191" s="10">
        <f>M1191-(R1191*K1191)</f>
        <v/>
      </c>
      <c r="T1191" s="12">
        <f>VLOOKUP(E1191,Dim_Product!$A$2:$Q$61,3,FALSE)</f>
        <v/>
      </c>
      <c r="U1191" s="12">
        <f>VLOOKUP(E1191,Dim_Product!$A$2:$Q$61,4,FALSE)</f>
        <v/>
      </c>
      <c r="V1191" s="12">
        <f>VLOOKUP(D1191,Dim_Customer!$A$2:$I$121,6,FALSE)</f>
        <v/>
      </c>
      <c r="W1191" s="12">
        <f>VLOOKUP(G1191,Dim_Channel!$A$2:$B$5,2,FALSE)</f>
        <v/>
      </c>
      <c r="X1191" s="12">
        <f>VLOOKUP(H1191,Dim_Promotion!$A$2:$G$11,2,FALSE)</f>
        <v/>
      </c>
    </row>
    <row r="1192">
      <c r="A1192" s="4" t="inlineStr">
        <is>
          <t>SL1191</t>
        </is>
      </c>
      <c r="B1192" t="inlineStr">
        <is>
          <t>O010596</t>
        </is>
      </c>
      <c r="C1192" t="n">
        <v>20250614</v>
      </c>
      <c r="D1192" s="4" t="inlineStr">
        <is>
          <t>C013</t>
        </is>
      </c>
      <c r="E1192" s="4" t="inlineStr">
        <is>
          <t>P017</t>
        </is>
      </c>
      <c r="F1192" t="inlineStr">
        <is>
          <t>M</t>
        </is>
      </c>
      <c r="G1192" s="4" t="inlineStr">
        <is>
          <t>CH03</t>
        </is>
      </c>
      <c r="H1192" s="4" t="inlineStr">
        <is>
          <t>PR00</t>
        </is>
      </c>
      <c r="I1192" s="8" t="n">
        <v>66</v>
      </c>
      <c r="J1192" s="9" t="n">
        <v>0</v>
      </c>
      <c r="K1192" s="10">
        <f>I1192*(1-J1192)</f>
        <v/>
      </c>
      <c r="L1192" s="11" t="n">
        <v>1</v>
      </c>
      <c r="M1192" s="10">
        <f>K1192*L1192</f>
        <v/>
      </c>
      <c r="N1192" s="8" t="n">
        <v>32.29</v>
      </c>
      <c r="O1192" s="10">
        <f>N1192*L1192</f>
        <v/>
      </c>
      <c r="P1192" s="10">
        <f>M1192-O1192</f>
        <v/>
      </c>
      <c r="Q1192" s="11" t="inlineStr">
        <is>
          <t>No</t>
        </is>
      </c>
      <c r="R1192" s="11" t="n">
        <v>0</v>
      </c>
      <c r="S1192" s="10">
        <f>M1192-(R1192*K1192)</f>
        <v/>
      </c>
      <c r="T1192" s="12">
        <f>VLOOKUP(E1192,Dim_Product!$A$2:$Q$61,3,FALSE)</f>
        <v/>
      </c>
      <c r="U1192" s="12">
        <f>VLOOKUP(E1192,Dim_Product!$A$2:$Q$61,4,FALSE)</f>
        <v/>
      </c>
      <c r="V1192" s="12">
        <f>VLOOKUP(D1192,Dim_Customer!$A$2:$I$121,6,FALSE)</f>
        <v/>
      </c>
      <c r="W1192" s="12">
        <f>VLOOKUP(G1192,Dim_Channel!$A$2:$B$5,2,FALSE)</f>
        <v/>
      </c>
      <c r="X1192" s="12">
        <f>VLOOKUP(H1192,Dim_Promotion!$A$2:$G$11,2,FALSE)</f>
        <v/>
      </c>
    </row>
    <row r="1193">
      <c r="A1193" s="4" t="inlineStr">
        <is>
          <t>SL1192</t>
        </is>
      </c>
      <c r="B1193" t="inlineStr">
        <is>
          <t>O010596</t>
        </is>
      </c>
      <c r="C1193" t="n">
        <v>20251202</v>
      </c>
      <c r="D1193" s="4" t="inlineStr">
        <is>
          <t>C003</t>
        </is>
      </c>
      <c r="E1193" s="4" t="inlineStr">
        <is>
          <t>P044</t>
        </is>
      </c>
      <c r="F1193" t="inlineStr">
        <is>
          <t>S</t>
        </is>
      </c>
      <c r="G1193" s="4" t="inlineStr">
        <is>
          <t>CH04</t>
        </is>
      </c>
      <c r="H1193" s="4" t="inlineStr">
        <is>
          <t>PR00</t>
        </is>
      </c>
      <c r="I1193" s="8" t="n">
        <v>80</v>
      </c>
      <c r="J1193" s="9" t="n">
        <v>0</v>
      </c>
      <c r="K1193" s="10">
        <f>I1193*(1-J1193)</f>
        <v/>
      </c>
      <c r="L1193" s="11" t="n">
        <v>2</v>
      </c>
      <c r="M1193" s="10">
        <f>K1193*L1193</f>
        <v/>
      </c>
      <c r="N1193" s="8" t="n">
        <v>36.1</v>
      </c>
      <c r="O1193" s="10">
        <f>N1193*L1193</f>
        <v/>
      </c>
      <c r="P1193" s="10">
        <f>M1193-O1193</f>
        <v/>
      </c>
      <c r="Q1193" s="11" t="inlineStr">
        <is>
          <t>No</t>
        </is>
      </c>
      <c r="R1193" s="11" t="n">
        <v>0</v>
      </c>
      <c r="S1193" s="10">
        <f>M1193-(R1193*K1193)</f>
        <v/>
      </c>
      <c r="T1193" s="12">
        <f>VLOOKUP(E1193,Dim_Product!$A$2:$Q$61,3,FALSE)</f>
        <v/>
      </c>
      <c r="U1193" s="12">
        <f>VLOOKUP(E1193,Dim_Product!$A$2:$Q$61,4,FALSE)</f>
        <v/>
      </c>
      <c r="V1193" s="12">
        <f>VLOOKUP(D1193,Dim_Customer!$A$2:$I$121,6,FALSE)</f>
        <v/>
      </c>
      <c r="W1193" s="12">
        <f>VLOOKUP(G1193,Dim_Channel!$A$2:$B$5,2,FALSE)</f>
        <v/>
      </c>
      <c r="X1193" s="12">
        <f>VLOOKUP(H1193,Dim_Promotion!$A$2:$G$11,2,FALSE)</f>
        <v/>
      </c>
    </row>
    <row r="1194">
      <c r="A1194" s="4" t="inlineStr">
        <is>
          <t>SL1193</t>
        </is>
      </c>
      <c r="B1194" t="inlineStr">
        <is>
          <t>O010597</t>
        </is>
      </c>
      <c r="C1194" t="n">
        <v>20250401</v>
      </c>
      <c r="D1194" s="4" t="inlineStr">
        <is>
          <t>C041</t>
        </is>
      </c>
      <c r="E1194" s="4" t="inlineStr">
        <is>
          <t>P003</t>
        </is>
      </c>
      <c r="F1194" t="inlineStr">
        <is>
          <t>L</t>
        </is>
      </c>
      <c r="G1194" s="4" t="inlineStr">
        <is>
          <t>CH03</t>
        </is>
      </c>
      <c r="H1194" s="4" t="inlineStr">
        <is>
          <t>PR00</t>
        </is>
      </c>
      <c r="I1194" s="8" t="n">
        <v>44</v>
      </c>
      <c r="J1194" s="9" t="n">
        <v>0</v>
      </c>
      <c r="K1194" s="10">
        <f>I1194*(1-J1194)</f>
        <v/>
      </c>
      <c r="L1194" s="11" t="n">
        <v>2</v>
      </c>
      <c r="M1194" s="10">
        <f>K1194*L1194</f>
        <v/>
      </c>
      <c r="N1194" s="8" t="n">
        <v>20.72</v>
      </c>
      <c r="O1194" s="10">
        <f>N1194*L1194</f>
        <v/>
      </c>
      <c r="P1194" s="10">
        <f>M1194-O1194</f>
        <v/>
      </c>
      <c r="Q1194" s="11" t="inlineStr">
        <is>
          <t>No</t>
        </is>
      </c>
      <c r="R1194" s="11" t="n">
        <v>0</v>
      </c>
      <c r="S1194" s="10">
        <f>M1194-(R1194*K1194)</f>
        <v/>
      </c>
      <c r="T1194" s="12">
        <f>VLOOKUP(E1194,Dim_Product!$A$2:$Q$61,3,FALSE)</f>
        <v/>
      </c>
      <c r="U1194" s="12">
        <f>VLOOKUP(E1194,Dim_Product!$A$2:$Q$61,4,FALSE)</f>
        <v/>
      </c>
      <c r="V1194" s="12">
        <f>VLOOKUP(D1194,Dim_Customer!$A$2:$I$121,6,FALSE)</f>
        <v/>
      </c>
      <c r="W1194" s="12">
        <f>VLOOKUP(G1194,Dim_Channel!$A$2:$B$5,2,FALSE)</f>
        <v/>
      </c>
      <c r="X1194" s="12">
        <f>VLOOKUP(H1194,Dim_Promotion!$A$2:$G$11,2,FALSE)</f>
        <v/>
      </c>
    </row>
    <row r="1195">
      <c r="A1195" s="4" t="inlineStr">
        <is>
          <t>SL1194</t>
        </is>
      </c>
      <c r="B1195" t="inlineStr">
        <is>
          <t>O010597</t>
        </is>
      </c>
      <c r="C1195" t="n">
        <v>20250816</v>
      </c>
      <c r="D1195" s="4" t="inlineStr">
        <is>
          <t>C082</t>
        </is>
      </c>
      <c r="E1195" s="4" t="inlineStr">
        <is>
          <t>P012</t>
        </is>
      </c>
      <c r="F1195" t="inlineStr">
        <is>
          <t>M</t>
        </is>
      </c>
      <c r="G1195" s="4" t="inlineStr">
        <is>
          <t>CH03</t>
        </is>
      </c>
      <c r="H1195" s="4" t="inlineStr">
        <is>
          <t>PR00</t>
        </is>
      </c>
      <c r="I1195" s="8" t="n">
        <v>45</v>
      </c>
      <c r="J1195" s="9" t="n">
        <v>0</v>
      </c>
      <c r="K1195" s="10">
        <f>I1195*(1-J1195)</f>
        <v/>
      </c>
      <c r="L1195" s="11" t="n">
        <v>1</v>
      </c>
      <c r="M1195" s="10">
        <f>K1195*L1195</f>
        <v/>
      </c>
      <c r="N1195" s="8" t="n">
        <v>22.29</v>
      </c>
      <c r="O1195" s="10">
        <f>N1195*L1195</f>
        <v/>
      </c>
      <c r="P1195" s="10">
        <f>M1195-O1195</f>
        <v/>
      </c>
      <c r="Q1195" s="11" t="inlineStr">
        <is>
          <t>No</t>
        </is>
      </c>
      <c r="R1195" s="11" t="n">
        <v>0</v>
      </c>
      <c r="S1195" s="10">
        <f>M1195-(R1195*K1195)</f>
        <v/>
      </c>
      <c r="T1195" s="12">
        <f>VLOOKUP(E1195,Dim_Product!$A$2:$Q$61,3,FALSE)</f>
        <v/>
      </c>
      <c r="U1195" s="12">
        <f>VLOOKUP(E1195,Dim_Product!$A$2:$Q$61,4,FALSE)</f>
        <v/>
      </c>
      <c r="V1195" s="12">
        <f>VLOOKUP(D1195,Dim_Customer!$A$2:$I$121,6,FALSE)</f>
        <v/>
      </c>
      <c r="W1195" s="12">
        <f>VLOOKUP(G1195,Dim_Channel!$A$2:$B$5,2,FALSE)</f>
        <v/>
      </c>
      <c r="X1195" s="12">
        <f>VLOOKUP(H1195,Dim_Promotion!$A$2:$G$11,2,FALSE)</f>
        <v/>
      </c>
    </row>
    <row r="1196">
      <c r="A1196" s="4" t="inlineStr">
        <is>
          <t>SL1195</t>
        </is>
      </c>
      <c r="B1196" t="inlineStr">
        <is>
          <t>O010598</t>
        </is>
      </c>
      <c r="C1196" t="n">
        <v>20250613</v>
      </c>
      <c r="D1196" s="4" t="inlineStr">
        <is>
          <t>C013</t>
        </is>
      </c>
      <c r="E1196" s="4" t="inlineStr">
        <is>
          <t>P008</t>
        </is>
      </c>
      <c r="F1196" t="inlineStr">
        <is>
          <t>XL</t>
        </is>
      </c>
      <c r="G1196" s="4" t="inlineStr">
        <is>
          <t>CH02</t>
        </is>
      </c>
      <c r="H1196" s="4" t="inlineStr">
        <is>
          <t>PR04</t>
        </is>
      </c>
      <c r="I1196" s="8" t="n">
        <v>52</v>
      </c>
      <c r="J1196" s="9" t="n">
        <v>0.12</v>
      </c>
      <c r="K1196" s="10">
        <f>I1196*(1-J1196)</f>
        <v/>
      </c>
      <c r="L1196" s="11" t="n">
        <v>1</v>
      </c>
      <c r="M1196" s="10">
        <f>K1196*L1196</f>
        <v/>
      </c>
      <c r="N1196" s="8" t="n">
        <v>22.78</v>
      </c>
      <c r="O1196" s="10">
        <f>N1196*L1196</f>
        <v/>
      </c>
      <c r="P1196" s="10">
        <f>M1196-O1196</f>
        <v/>
      </c>
      <c r="Q1196" s="11" t="inlineStr">
        <is>
          <t>No</t>
        </is>
      </c>
      <c r="R1196" s="11" t="n">
        <v>0</v>
      </c>
      <c r="S1196" s="10">
        <f>M1196-(R1196*K1196)</f>
        <v/>
      </c>
      <c r="T1196" s="12">
        <f>VLOOKUP(E1196,Dim_Product!$A$2:$Q$61,3,FALSE)</f>
        <v/>
      </c>
      <c r="U1196" s="12">
        <f>VLOOKUP(E1196,Dim_Product!$A$2:$Q$61,4,FALSE)</f>
        <v/>
      </c>
      <c r="V1196" s="12">
        <f>VLOOKUP(D1196,Dim_Customer!$A$2:$I$121,6,FALSE)</f>
        <v/>
      </c>
      <c r="W1196" s="12">
        <f>VLOOKUP(G1196,Dim_Channel!$A$2:$B$5,2,FALSE)</f>
        <v/>
      </c>
      <c r="X1196" s="12">
        <f>VLOOKUP(H1196,Dim_Promotion!$A$2:$G$11,2,FALSE)</f>
        <v/>
      </c>
    </row>
    <row r="1197">
      <c r="A1197" s="4" t="inlineStr">
        <is>
          <t>SL1196</t>
        </is>
      </c>
      <c r="B1197" t="inlineStr">
        <is>
          <t>O010598</t>
        </is>
      </c>
      <c r="C1197" t="n">
        <v>20250324</v>
      </c>
      <c r="D1197" s="4" t="inlineStr">
        <is>
          <t>C089</t>
        </is>
      </c>
      <c r="E1197" s="4" t="inlineStr">
        <is>
          <t>P058</t>
        </is>
      </c>
      <c r="F1197" t="inlineStr">
        <is>
          <t>L</t>
        </is>
      </c>
      <c r="G1197" s="4" t="inlineStr">
        <is>
          <t>CH02</t>
        </is>
      </c>
      <c r="H1197" s="4" t="inlineStr">
        <is>
          <t>PR00</t>
        </is>
      </c>
      <c r="I1197" s="8" t="n">
        <v>76</v>
      </c>
      <c r="J1197" s="9" t="n">
        <v>0</v>
      </c>
      <c r="K1197" s="10">
        <f>I1197*(1-J1197)</f>
        <v/>
      </c>
      <c r="L1197" s="11" t="n">
        <v>1</v>
      </c>
      <c r="M1197" s="10">
        <f>K1197*L1197</f>
        <v/>
      </c>
      <c r="N1197" s="8" t="n">
        <v>35.31</v>
      </c>
      <c r="O1197" s="10">
        <f>N1197*L1197</f>
        <v/>
      </c>
      <c r="P1197" s="10">
        <f>M1197-O1197</f>
        <v/>
      </c>
      <c r="Q1197" s="11" t="inlineStr">
        <is>
          <t>No</t>
        </is>
      </c>
      <c r="R1197" s="11" t="n">
        <v>0</v>
      </c>
      <c r="S1197" s="10">
        <f>M1197-(R1197*K1197)</f>
        <v/>
      </c>
      <c r="T1197" s="12">
        <f>VLOOKUP(E1197,Dim_Product!$A$2:$Q$61,3,FALSE)</f>
        <v/>
      </c>
      <c r="U1197" s="12">
        <f>VLOOKUP(E1197,Dim_Product!$A$2:$Q$61,4,FALSE)</f>
        <v/>
      </c>
      <c r="V1197" s="12">
        <f>VLOOKUP(D1197,Dim_Customer!$A$2:$I$121,6,FALSE)</f>
        <v/>
      </c>
      <c r="W1197" s="12">
        <f>VLOOKUP(G1197,Dim_Channel!$A$2:$B$5,2,FALSE)</f>
        <v/>
      </c>
      <c r="X1197" s="12">
        <f>VLOOKUP(H1197,Dim_Promotion!$A$2:$G$11,2,FALSE)</f>
        <v/>
      </c>
    </row>
    <row r="1198">
      <c r="A1198" s="4" t="inlineStr">
        <is>
          <t>SL1197</t>
        </is>
      </c>
      <c r="B1198" t="inlineStr">
        <is>
          <t>O010599</t>
        </is>
      </c>
      <c r="C1198" t="n">
        <v>20251206</v>
      </c>
      <c r="D1198" s="4" t="inlineStr">
        <is>
          <t>C114</t>
        </is>
      </c>
      <c r="E1198" s="4" t="inlineStr">
        <is>
          <t>P039</t>
        </is>
      </c>
      <c r="F1198" t="inlineStr">
        <is>
          <t>M</t>
        </is>
      </c>
      <c r="G1198" s="4" t="inlineStr">
        <is>
          <t>CH02</t>
        </is>
      </c>
      <c r="H1198" s="4" t="inlineStr">
        <is>
          <t>PR00</t>
        </is>
      </c>
      <c r="I1198" s="8" t="n">
        <v>76</v>
      </c>
      <c r="J1198" s="9" t="n">
        <v>0</v>
      </c>
      <c r="K1198" s="10">
        <f>I1198*(1-J1198)</f>
        <v/>
      </c>
      <c r="L1198" s="11" t="n">
        <v>2</v>
      </c>
      <c r="M1198" s="10">
        <f>K1198*L1198</f>
        <v/>
      </c>
      <c r="N1198" s="8" t="n">
        <v>35.51</v>
      </c>
      <c r="O1198" s="10">
        <f>N1198*L1198</f>
        <v/>
      </c>
      <c r="P1198" s="10">
        <f>M1198-O1198</f>
        <v/>
      </c>
      <c r="Q1198" s="11" t="inlineStr">
        <is>
          <t>No</t>
        </is>
      </c>
      <c r="R1198" s="11" t="n">
        <v>0</v>
      </c>
      <c r="S1198" s="10">
        <f>M1198-(R1198*K1198)</f>
        <v/>
      </c>
      <c r="T1198" s="12">
        <f>VLOOKUP(E1198,Dim_Product!$A$2:$Q$61,3,FALSE)</f>
        <v/>
      </c>
      <c r="U1198" s="12">
        <f>VLOOKUP(E1198,Dim_Product!$A$2:$Q$61,4,FALSE)</f>
        <v/>
      </c>
      <c r="V1198" s="12">
        <f>VLOOKUP(D1198,Dim_Customer!$A$2:$I$121,6,FALSE)</f>
        <v/>
      </c>
      <c r="W1198" s="12">
        <f>VLOOKUP(G1198,Dim_Channel!$A$2:$B$5,2,FALSE)</f>
        <v/>
      </c>
      <c r="X1198" s="12">
        <f>VLOOKUP(H1198,Dim_Promotion!$A$2:$G$11,2,FALSE)</f>
        <v/>
      </c>
    </row>
    <row r="1199">
      <c r="A1199" s="4" t="inlineStr">
        <is>
          <t>SL1198</t>
        </is>
      </c>
      <c r="B1199" t="inlineStr">
        <is>
          <t>O010599</t>
        </is>
      </c>
      <c r="C1199" t="n">
        <v>20251122</v>
      </c>
      <c r="D1199" s="4" t="inlineStr">
        <is>
          <t>C086</t>
        </is>
      </c>
      <c r="E1199" s="4" t="inlineStr">
        <is>
          <t>P039</t>
        </is>
      </c>
      <c r="F1199" t="inlineStr">
        <is>
          <t>L</t>
        </is>
      </c>
      <c r="G1199" s="4" t="inlineStr">
        <is>
          <t>CH04</t>
        </is>
      </c>
      <c r="H1199" s="4" t="inlineStr">
        <is>
          <t>PR00</t>
        </is>
      </c>
      <c r="I1199" s="8" t="n">
        <v>72</v>
      </c>
      <c r="J1199" s="9" t="n">
        <v>0</v>
      </c>
      <c r="K1199" s="10">
        <f>I1199*(1-J1199)</f>
        <v/>
      </c>
      <c r="L1199" s="11" t="n">
        <v>1</v>
      </c>
      <c r="M1199" s="10">
        <f>K1199*L1199</f>
        <v/>
      </c>
      <c r="N1199" s="8" t="n">
        <v>36.76</v>
      </c>
      <c r="O1199" s="10">
        <f>N1199*L1199</f>
        <v/>
      </c>
      <c r="P1199" s="10">
        <f>M1199-O1199</f>
        <v/>
      </c>
      <c r="Q1199" s="11" t="inlineStr">
        <is>
          <t>No</t>
        </is>
      </c>
      <c r="R1199" s="11" t="n">
        <v>0</v>
      </c>
      <c r="S1199" s="10">
        <f>M1199-(R1199*K1199)</f>
        <v/>
      </c>
      <c r="T1199" s="12">
        <f>VLOOKUP(E1199,Dim_Product!$A$2:$Q$61,3,FALSE)</f>
        <v/>
      </c>
      <c r="U1199" s="12">
        <f>VLOOKUP(E1199,Dim_Product!$A$2:$Q$61,4,FALSE)</f>
        <v/>
      </c>
      <c r="V1199" s="12">
        <f>VLOOKUP(D1199,Dim_Customer!$A$2:$I$121,6,FALSE)</f>
        <v/>
      </c>
      <c r="W1199" s="12">
        <f>VLOOKUP(G1199,Dim_Channel!$A$2:$B$5,2,FALSE)</f>
        <v/>
      </c>
      <c r="X1199" s="12">
        <f>VLOOKUP(H1199,Dim_Promotion!$A$2:$G$11,2,FALSE)</f>
        <v/>
      </c>
    </row>
    <row r="1200">
      <c r="A1200" s="4" t="inlineStr">
        <is>
          <t>SL1199</t>
        </is>
      </c>
      <c r="B1200" t="inlineStr">
        <is>
          <t>O010600</t>
        </is>
      </c>
      <c r="C1200" t="n">
        <v>20250820</v>
      </c>
      <c r="D1200" s="4" t="inlineStr">
        <is>
          <t>C065</t>
        </is>
      </c>
      <c r="E1200" s="4" t="inlineStr">
        <is>
          <t>P025</t>
        </is>
      </c>
      <c r="F1200" t="inlineStr">
        <is>
          <t>S</t>
        </is>
      </c>
      <c r="G1200" s="4" t="inlineStr">
        <is>
          <t>CH04</t>
        </is>
      </c>
      <c r="H1200" s="4" t="inlineStr">
        <is>
          <t>PR00</t>
        </is>
      </c>
      <c r="I1200" s="8" t="n">
        <v>97</v>
      </c>
      <c r="J1200" s="9" t="n">
        <v>0</v>
      </c>
      <c r="K1200" s="10">
        <f>I1200*(1-J1200)</f>
        <v/>
      </c>
      <c r="L1200" s="11" t="n">
        <v>1</v>
      </c>
      <c r="M1200" s="10">
        <f>K1200*L1200</f>
        <v/>
      </c>
      <c r="N1200" s="8" t="n">
        <v>44.88</v>
      </c>
      <c r="O1200" s="10">
        <f>N1200*L1200</f>
        <v/>
      </c>
      <c r="P1200" s="10">
        <f>M1200-O1200</f>
        <v/>
      </c>
      <c r="Q1200" s="11" t="inlineStr">
        <is>
          <t>No</t>
        </is>
      </c>
      <c r="R1200" s="11" t="n">
        <v>0</v>
      </c>
      <c r="S1200" s="10">
        <f>M1200-(R1200*K1200)</f>
        <v/>
      </c>
      <c r="T1200" s="12">
        <f>VLOOKUP(E1200,Dim_Product!$A$2:$Q$61,3,FALSE)</f>
        <v/>
      </c>
      <c r="U1200" s="12">
        <f>VLOOKUP(E1200,Dim_Product!$A$2:$Q$61,4,FALSE)</f>
        <v/>
      </c>
      <c r="V1200" s="12">
        <f>VLOOKUP(D1200,Dim_Customer!$A$2:$I$121,6,FALSE)</f>
        <v/>
      </c>
      <c r="W1200" s="12">
        <f>VLOOKUP(G1200,Dim_Channel!$A$2:$B$5,2,FALSE)</f>
        <v/>
      </c>
      <c r="X1200" s="12">
        <f>VLOOKUP(H1200,Dim_Promotion!$A$2:$G$11,2,FALSE)</f>
        <v/>
      </c>
    </row>
    <row r="1201">
      <c r="A1201" s="4" t="inlineStr">
        <is>
          <t>SL1200</t>
        </is>
      </c>
      <c r="B1201" t="inlineStr">
        <is>
          <t>O010600</t>
        </is>
      </c>
      <c r="C1201" t="n">
        <v>20250127</v>
      </c>
      <c r="D1201" s="4" t="inlineStr">
        <is>
          <t>C109</t>
        </is>
      </c>
      <c r="E1201" s="4" t="inlineStr">
        <is>
          <t>P004</t>
        </is>
      </c>
      <c r="F1201" t="inlineStr">
        <is>
          <t>M</t>
        </is>
      </c>
      <c r="G1201" s="4" t="inlineStr">
        <is>
          <t>CH02</t>
        </is>
      </c>
      <c r="H1201" s="4" t="inlineStr">
        <is>
          <t>PR00</t>
        </is>
      </c>
      <c r="I1201" s="8" t="n">
        <v>42</v>
      </c>
      <c r="J1201" s="9" t="n">
        <v>0</v>
      </c>
      <c r="K1201" s="10">
        <f>I1201*(1-J1201)</f>
        <v/>
      </c>
      <c r="L1201" s="11" t="n">
        <v>2</v>
      </c>
      <c r="M1201" s="10">
        <f>K1201*L1201</f>
        <v/>
      </c>
      <c r="N1201" s="8" t="n">
        <v>19.13</v>
      </c>
      <c r="O1201" s="10">
        <f>N1201*L1201</f>
        <v/>
      </c>
      <c r="P1201" s="10">
        <f>M1201-O1201</f>
        <v/>
      </c>
      <c r="Q1201" s="11" t="inlineStr">
        <is>
          <t>No</t>
        </is>
      </c>
      <c r="R1201" s="11" t="n">
        <v>0</v>
      </c>
      <c r="S1201" s="10">
        <f>M1201-(R1201*K1201)</f>
        <v/>
      </c>
      <c r="T1201" s="12">
        <f>VLOOKUP(E1201,Dim_Product!$A$2:$Q$61,3,FALSE)</f>
        <v/>
      </c>
      <c r="U1201" s="12">
        <f>VLOOKUP(E1201,Dim_Product!$A$2:$Q$61,4,FALSE)</f>
        <v/>
      </c>
      <c r="V1201" s="12">
        <f>VLOOKUP(D1201,Dim_Customer!$A$2:$I$121,6,FALSE)</f>
        <v/>
      </c>
      <c r="W1201" s="12">
        <f>VLOOKUP(G1201,Dim_Channel!$A$2:$B$5,2,FALSE)</f>
        <v/>
      </c>
      <c r="X1201" s="12">
        <f>VLOOKUP(H1201,Dim_Promotion!$A$2:$G$11,2,FALSE)</f>
        <v/>
      </c>
    </row>
    <row r="1202">
      <c r="A1202" s="4" t="inlineStr">
        <is>
          <t>SL1201</t>
        </is>
      </c>
      <c r="B1202" t="inlineStr">
        <is>
          <t>O010601</t>
        </is>
      </c>
      <c r="C1202" t="n">
        <v>20250617</v>
      </c>
      <c r="D1202" s="4" t="inlineStr">
        <is>
          <t>C095</t>
        </is>
      </c>
      <c r="E1202" s="4" t="inlineStr">
        <is>
          <t>P025</t>
        </is>
      </c>
      <c r="F1202" t="inlineStr">
        <is>
          <t>M</t>
        </is>
      </c>
      <c r="G1202" s="4" t="inlineStr">
        <is>
          <t>CH01</t>
        </is>
      </c>
      <c r="H1202" s="4" t="inlineStr">
        <is>
          <t>PR00</t>
        </is>
      </c>
      <c r="I1202" s="8" t="n">
        <v>95</v>
      </c>
      <c r="J1202" s="9" t="n">
        <v>0</v>
      </c>
      <c r="K1202" s="10">
        <f>I1202*(1-J1202)</f>
        <v/>
      </c>
      <c r="L1202" s="11" t="n">
        <v>1</v>
      </c>
      <c r="M1202" s="10">
        <f>K1202*L1202</f>
        <v/>
      </c>
      <c r="N1202" s="8" t="n">
        <v>45.23</v>
      </c>
      <c r="O1202" s="10">
        <f>N1202*L1202</f>
        <v/>
      </c>
      <c r="P1202" s="10">
        <f>M1202-O1202</f>
        <v/>
      </c>
      <c r="Q1202" s="11" t="inlineStr">
        <is>
          <t>No</t>
        </is>
      </c>
      <c r="R1202" s="11" t="n">
        <v>0</v>
      </c>
      <c r="S1202" s="10">
        <f>M1202-(R1202*K1202)</f>
        <v/>
      </c>
      <c r="T1202" s="12">
        <f>VLOOKUP(E1202,Dim_Product!$A$2:$Q$61,3,FALSE)</f>
        <v/>
      </c>
      <c r="U1202" s="12">
        <f>VLOOKUP(E1202,Dim_Product!$A$2:$Q$61,4,FALSE)</f>
        <v/>
      </c>
      <c r="V1202" s="12">
        <f>VLOOKUP(D1202,Dim_Customer!$A$2:$I$121,6,FALSE)</f>
        <v/>
      </c>
      <c r="W1202" s="12">
        <f>VLOOKUP(G1202,Dim_Channel!$A$2:$B$5,2,FALSE)</f>
        <v/>
      </c>
      <c r="X1202" s="12">
        <f>VLOOKUP(H1202,Dim_Promotion!$A$2:$G$11,2,FALSE)</f>
        <v/>
      </c>
    </row>
    <row r="1203">
      <c r="A1203" s="4" t="inlineStr">
        <is>
          <t>SL1202</t>
        </is>
      </c>
      <c r="B1203" t="inlineStr">
        <is>
          <t>O010601</t>
        </is>
      </c>
      <c r="C1203" t="n">
        <v>20250927</v>
      </c>
      <c r="D1203" s="4" t="inlineStr">
        <is>
          <t>C108</t>
        </is>
      </c>
      <c r="E1203" s="4" t="inlineStr">
        <is>
          <t>P010</t>
        </is>
      </c>
      <c r="F1203" t="inlineStr">
        <is>
          <t>L</t>
        </is>
      </c>
      <c r="G1203" s="4" t="inlineStr">
        <is>
          <t>CH01</t>
        </is>
      </c>
      <c r="H1203" s="4" t="inlineStr">
        <is>
          <t>PR00</t>
        </is>
      </c>
      <c r="I1203" s="8" t="n">
        <v>46</v>
      </c>
      <c r="J1203" s="9" t="n">
        <v>0</v>
      </c>
      <c r="K1203" s="10">
        <f>I1203*(1-J1203)</f>
        <v/>
      </c>
      <c r="L1203" s="11" t="n">
        <v>3</v>
      </c>
      <c r="M1203" s="10">
        <f>K1203*L1203</f>
        <v/>
      </c>
      <c r="N1203" s="8" t="n">
        <v>20.21</v>
      </c>
      <c r="O1203" s="10">
        <f>N1203*L1203</f>
        <v/>
      </c>
      <c r="P1203" s="10">
        <f>M1203-O1203</f>
        <v/>
      </c>
      <c r="Q1203" s="11" t="inlineStr">
        <is>
          <t>No</t>
        </is>
      </c>
      <c r="R1203" s="11" t="n">
        <v>0</v>
      </c>
      <c r="S1203" s="10">
        <f>M1203-(R1203*K1203)</f>
        <v/>
      </c>
      <c r="T1203" s="12">
        <f>VLOOKUP(E1203,Dim_Product!$A$2:$Q$61,3,FALSE)</f>
        <v/>
      </c>
      <c r="U1203" s="12">
        <f>VLOOKUP(E1203,Dim_Product!$A$2:$Q$61,4,FALSE)</f>
        <v/>
      </c>
      <c r="V1203" s="12">
        <f>VLOOKUP(D1203,Dim_Customer!$A$2:$I$121,6,FALSE)</f>
        <v/>
      </c>
      <c r="W1203" s="12">
        <f>VLOOKUP(G1203,Dim_Channel!$A$2:$B$5,2,FALSE)</f>
        <v/>
      </c>
      <c r="X1203" s="12">
        <f>VLOOKUP(H1203,Dim_Promotion!$A$2:$G$11,2,FALSE)</f>
        <v/>
      </c>
    </row>
    <row r="1204">
      <c r="A1204" s="4" t="inlineStr">
        <is>
          <t>SL1203</t>
        </is>
      </c>
      <c r="B1204" t="inlineStr">
        <is>
          <t>O010602</t>
        </is>
      </c>
      <c r="C1204" t="n">
        <v>20251109</v>
      </c>
      <c r="D1204" s="4" t="inlineStr">
        <is>
          <t>C102</t>
        </is>
      </c>
      <c r="E1204" s="4" t="inlineStr">
        <is>
          <t>P009</t>
        </is>
      </c>
      <c r="F1204" t="inlineStr">
        <is>
          <t>L</t>
        </is>
      </c>
      <c r="G1204" s="4" t="inlineStr">
        <is>
          <t>CH01</t>
        </is>
      </c>
      <c r="H1204" s="4" t="inlineStr">
        <is>
          <t>PR00</t>
        </is>
      </c>
      <c r="I1204" s="8" t="n">
        <v>50</v>
      </c>
      <c r="J1204" s="9" t="n">
        <v>0</v>
      </c>
      <c r="K1204" s="10">
        <f>I1204*(1-J1204)</f>
        <v/>
      </c>
      <c r="L1204" s="11" t="n">
        <v>3</v>
      </c>
      <c r="M1204" s="10">
        <f>K1204*L1204</f>
        <v/>
      </c>
      <c r="N1204" s="8" t="n">
        <v>19.38</v>
      </c>
      <c r="O1204" s="10">
        <f>N1204*L1204</f>
        <v/>
      </c>
      <c r="P1204" s="10">
        <f>M1204-O1204</f>
        <v/>
      </c>
      <c r="Q1204" s="11" t="inlineStr">
        <is>
          <t>No</t>
        </is>
      </c>
      <c r="R1204" s="11" t="n">
        <v>0</v>
      </c>
      <c r="S1204" s="10">
        <f>M1204-(R1204*K1204)</f>
        <v/>
      </c>
      <c r="T1204" s="12">
        <f>VLOOKUP(E1204,Dim_Product!$A$2:$Q$61,3,FALSE)</f>
        <v/>
      </c>
      <c r="U1204" s="12">
        <f>VLOOKUP(E1204,Dim_Product!$A$2:$Q$61,4,FALSE)</f>
        <v/>
      </c>
      <c r="V1204" s="12">
        <f>VLOOKUP(D1204,Dim_Customer!$A$2:$I$121,6,FALSE)</f>
        <v/>
      </c>
      <c r="W1204" s="12">
        <f>VLOOKUP(G1204,Dim_Channel!$A$2:$B$5,2,FALSE)</f>
        <v/>
      </c>
      <c r="X1204" s="12">
        <f>VLOOKUP(H1204,Dim_Promotion!$A$2:$G$11,2,FALSE)</f>
        <v/>
      </c>
    </row>
    <row r="1205">
      <c r="A1205" s="4" t="inlineStr">
        <is>
          <t>SL1204</t>
        </is>
      </c>
      <c r="B1205" t="inlineStr">
        <is>
          <t>O010602</t>
        </is>
      </c>
      <c r="C1205" t="n">
        <v>20250902</v>
      </c>
      <c r="D1205" s="4" t="inlineStr">
        <is>
          <t>C035</t>
        </is>
      </c>
      <c r="E1205" s="4" t="inlineStr">
        <is>
          <t>P003</t>
        </is>
      </c>
      <c r="F1205" t="inlineStr">
        <is>
          <t>L</t>
        </is>
      </c>
      <c r="G1205" s="4" t="inlineStr">
        <is>
          <t>CH01</t>
        </is>
      </c>
      <c r="H1205" s="4" t="inlineStr">
        <is>
          <t>PR00</t>
        </is>
      </c>
      <c r="I1205" s="8" t="n">
        <v>43</v>
      </c>
      <c r="J1205" s="9" t="n">
        <v>0</v>
      </c>
      <c r="K1205" s="10">
        <f>I1205*(1-J1205)</f>
        <v/>
      </c>
      <c r="L1205" s="11" t="n">
        <v>1</v>
      </c>
      <c r="M1205" s="10">
        <f>K1205*L1205</f>
        <v/>
      </c>
      <c r="N1205" s="8" t="n">
        <v>20.11</v>
      </c>
      <c r="O1205" s="10">
        <f>N1205*L1205</f>
        <v/>
      </c>
      <c r="P1205" s="10">
        <f>M1205-O1205</f>
        <v/>
      </c>
      <c r="Q1205" s="11" t="inlineStr">
        <is>
          <t>No</t>
        </is>
      </c>
      <c r="R1205" s="11" t="n">
        <v>0</v>
      </c>
      <c r="S1205" s="10">
        <f>M1205-(R1205*K1205)</f>
        <v/>
      </c>
      <c r="T1205" s="12">
        <f>VLOOKUP(E1205,Dim_Product!$A$2:$Q$61,3,FALSE)</f>
        <v/>
      </c>
      <c r="U1205" s="12">
        <f>VLOOKUP(E1205,Dim_Product!$A$2:$Q$61,4,FALSE)</f>
        <v/>
      </c>
      <c r="V1205" s="12">
        <f>VLOOKUP(D1205,Dim_Customer!$A$2:$I$121,6,FALSE)</f>
        <v/>
      </c>
      <c r="W1205" s="12">
        <f>VLOOKUP(G1205,Dim_Channel!$A$2:$B$5,2,FALSE)</f>
        <v/>
      </c>
      <c r="X1205" s="12">
        <f>VLOOKUP(H1205,Dim_Promotion!$A$2:$G$11,2,FALSE)</f>
        <v/>
      </c>
    </row>
    <row r="1206">
      <c r="A1206" s="4" t="inlineStr">
        <is>
          <t>SL1205</t>
        </is>
      </c>
      <c r="B1206" t="inlineStr">
        <is>
          <t>O010603</t>
        </is>
      </c>
      <c r="C1206" t="n">
        <v>20250808</v>
      </c>
      <c r="D1206" s="4" t="inlineStr">
        <is>
          <t>C023</t>
        </is>
      </c>
      <c r="E1206" s="4" t="inlineStr">
        <is>
          <t>P028</t>
        </is>
      </c>
      <c r="F1206" t="inlineStr">
        <is>
          <t>XL</t>
        </is>
      </c>
      <c r="G1206" s="4" t="inlineStr">
        <is>
          <t>CH02</t>
        </is>
      </c>
      <c r="H1206" s="4" t="inlineStr">
        <is>
          <t>PR00</t>
        </is>
      </c>
      <c r="I1206" s="8" t="n">
        <v>98</v>
      </c>
      <c r="J1206" s="9" t="n">
        <v>0</v>
      </c>
      <c r="K1206" s="10">
        <f>I1206*(1-J1206)</f>
        <v/>
      </c>
      <c r="L1206" s="11" t="n">
        <v>1</v>
      </c>
      <c r="M1206" s="10">
        <f>K1206*L1206</f>
        <v/>
      </c>
      <c r="N1206" s="8" t="n">
        <v>49.28</v>
      </c>
      <c r="O1206" s="10">
        <f>N1206*L1206</f>
        <v/>
      </c>
      <c r="P1206" s="10">
        <f>M1206-O1206</f>
        <v/>
      </c>
      <c r="Q1206" s="11" t="inlineStr">
        <is>
          <t>No</t>
        </is>
      </c>
      <c r="R1206" s="11" t="n">
        <v>0</v>
      </c>
      <c r="S1206" s="10">
        <f>M1206-(R1206*K1206)</f>
        <v/>
      </c>
      <c r="T1206" s="12">
        <f>VLOOKUP(E1206,Dim_Product!$A$2:$Q$61,3,FALSE)</f>
        <v/>
      </c>
      <c r="U1206" s="12">
        <f>VLOOKUP(E1206,Dim_Product!$A$2:$Q$61,4,FALSE)</f>
        <v/>
      </c>
      <c r="V1206" s="12">
        <f>VLOOKUP(D1206,Dim_Customer!$A$2:$I$121,6,FALSE)</f>
        <v/>
      </c>
      <c r="W1206" s="12">
        <f>VLOOKUP(G1206,Dim_Channel!$A$2:$B$5,2,FALSE)</f>
        <v/>
      </c>
      <c r="X1206" s="12">
        <f>VLOOKUP(H1206,Dim_Promotion!$A$2:$G$11,2,FALSE)</f>
        <v/>
      </c>
    </row>
    <row r="1207">
      <c r="A1207" s="4" t="inlineStr">
        <is>
          <t>SL1206</t>
        </is>
      </c>
      <c r="B1207" t="inlineStr">
        <is>
          <t>O010603</t>
        </is>
      </c>
      <c r="C1207" t="n">
        <v>20251126</v>
      </c>
      <c r="D1207" s="4" t="inlineStr">
        <is>
          <t>C085</t>
        </is>
      </c>
      <c r="E1207" s="4" t="inlineStr">
        <is>
          <t>P039</t>
        </is>
      </c>
      <c r="F1207" t="inlineStr">
        <is>
          <t>S</t>
        </is>
      </c>
      <c r="G1207" s="4" t="inlineStr">
        <is>
          <t>CH01</t>
        </is>
      </c>
      <c r="H1207" s="4" t="inlineStr">
        <is>
          <t>PR08</t>
        </is>
      </c>
      <c r="I1207" s="8" t="n">
        <v>75</v>
      </c>
      <c r="J1207" s="9" t="n">
        <v>0.25</v>
      </c>
      <c r="K1207" s="10">
        <f>I1207*(1-J1207)</f>
        <v/>
      </c>
      <c r="L1207" s="11" t="n">
        <v>1</v>
      </c>
      <c r="M1207" s="10">
        <f>K1207*L1207</f>
        <v/>
      </c>
      <c r="N1207" s="8" t="n">
        <v>35.89</v>
      </c>
      <c r="O1207" s="10">
        <f>N1207*L1207</f>
        <v/>
      </c>
      <c r="P1207" s="10">
        <f>M1207-O1207</f>
        <v/>
      </c>
      <c r="Q1207" s="11" t="inlineStr">
        <is>
          <t>No</t>
        </is>
      </c>
      <c r="R1207" s="11" t="n">
        <v>0</v>
      </c>
      <c r="S1207" s="10">
        <f>M1207-(R1207*K1207)</f>
        <v/>
      </c>
      <c r="T1207" s="12">
        <f>VLOOKUP(E1207,Dim_Product!$A$2:$Q$61,3,FALSE)</f>
        <v/>
      </c>
      <c r="U1207" s="12">
        <f>VLOOKUP(E1207,Dim_Product!$A$2:$Q$61,4,FALSE)</f>
        <v/>
      </c>
      <c r="V1207" s="12">
        <f>VLOOKUP(D1207,Dim_Customer!$A$2:$I$121,6,FALSE)</f>
        <v/>
      </c>
      <c r="W1207" s="12">
        <f>VLOOKUP(G1207,Dim_Channel!$A$2:$B$5,2,FALSE)</f>
        <v/>
      </c>
      <c r="X1207" s="12">
        <f>VLOOKUP(H1207,Dim_Promotion!$A$2:$G$11,2,FALSE)</f>
        <v/>
      </c>
    </row>
    <row r="1208">
      <c r="A1208" s="4" t="inlineStr">
        <is>
          <t>SL1207</t>
        </is>
      </c>
      <c r="B1208" t="inlineStr">
        <is>
          <t>O010604</t>
        </is>
      </c>
      <c r="C1208" t="n">
        <v>20250608</v>
      </c>
      <c r="D1208" s="4" t="inlineStr">
        <is>
          <t>C093</t>
        </is>
      </c>
      <c r="E1208" s="4" t="inlineStr">
        <is>
          <t>P015</t>
        </is>
      </c>
      <c r="F1208" t="inlineStr">
        <is>
          <t>S</t>
        </is>
      </c>
      <c r="G1208" s="4" t="inlineStr">
        <is>
          <t>CH03</t>
        </is>
      </c>
      <c r="H1208" s="4" t="inlineStr">
        <is>
          <t>PR00</t>
        </is>
      </c>
      <c r="I1208" s="8" t="n">
        <v>54</v>
      </c>
      <c r="J1208" s="9" t="n">
        <v>0</v>
      </c>
      <c r="K1208" s="10">
        <f>I1208*(1-J1208)</f>
        <v/>
      </c>
      <c r="L1208" s="11" t="n">
        <v>1</v>
      </c>
      <c r="M1208" s="10">
        <f>K1208*L1208</f>
        <v/>
      </c>
      <c r="N1208" s="8" t="n">
        <v>25.72</v>
      </c>
      <c r="O1208" s="10">
        <f>N1208*L1208</f>
        <v/>
      </c>
      <c r="P1208" s="10">
        <f>M1208-O1208</f>
        <v/>
      </c>
      <c r="Q1208" s="11" t="inlineStr">
        <is>
          <t>No</t>
        </is>
      </c>
      <c r="R1208" s="11" t="n">
        <v>0</v>
      </c>
      <c r="S1208" s="10">
        <f>M1208-(R1208*K1208)</f>
        <v/>
      </c>
      <c r="T1208" s="12">
        <f>VLOOKUP(E1208,Dim_Product!$A$2:$Q$61,3,FALSE)</f>
        <v/>
      </c>
      <c r="U1208" s="12">
        <f>VLOOKUP(E1208,Dim_Product!$A$2:$Q$61,4,FALSE)</f>
        <v/>
      </c>
      <c r="V1208" s="12">
        <f>VLOOKUP(D1208,Dim_Customer!$A$2:$I$121,6,FALSE)</f>
        <v/>
      </c>
      <c r="W1208" s="12">
        <f>VLOOKUP(G1208,Dim_Channel!$A$2:$B$5,2,FALSE)</f>
        <v/>
      </c>
      <c r="X1208" s="12">
        <f>VLOOKUP(H1208,Dim_Promotion!$A$2:$G$11,2,FALSE)</f>
        <v/>
      </c>
    </row>
    <row r="1209">
      <c r="A1209" s="4" t="inlineStr">
        <is>
          <t>SL1208</t>
        </is>
      </c>
      <c r="B1209" t="inlineStr">
        <is>
          <t>O010604</t>
        </is>
      </c>
      <c r="C1209" t="n">
        <v>20250606</v>
      </c>
      <c r="D1209" s="4" t="inlineStr">
        <is>
          <t>C120</t>
        </is>
      </c>
      <c r="E1209" s="4" t="inlineStr">
        <is>
          <t>P049</t>
        </is>
      </c>
      <c r="F1209" t="inlineStr">
        <is>
          <t>L</t>
        </is>
      </c>
      <c r="G1209" s="4" t="inlineStr">
        <is>
          <t>CH01</t>
        </is>
      </c>
      <c r="H1209" s="4" t="inlineStr">
        <is>
          <t>PR00</t>
        </is>
      </c>
      <c r="I1209" s="8" t="n">
        <v>70</v>
      </c>
      <c r="J1209" s="9" t="n">
        <v>0</v>
      </c>
      <c r="K1209" s="10">
        <f>I1209*(1-J1209)</f>
        <v/>
      </c>
      <c r="L1209" s="11" t="n">
        <v>1</v>
      </c>
      <c r="M1209" s="10">
        <f>K1209*L1209</f>
        <v/>
      </c>
      <c r="N1209" s="8" t="n">
        <v>29.12</v>
      </c>
      <c r="O1209" s="10">
        <f>N1209*L1209</f>
        <v/>
      </c>
      <c r="P1209" s="10">
        <f>M1209-O1209</f>
        <v/>
      </c>
      <c r="Q1209" s="11" t="inlineStr">
        <is>
          <t>No</t>
        </is>
      </c>
      <c r="R1209" s="11" t="n">
        <v>0</v>
      </c>
      <c r="S1209" s="10">
        <f>M1209-(R1209*K1209)</f>
        <v/>
      </c>
      <c r="T1209" s="12">
        <f>VLOOKUP(E1209,Dim_Product!$A$2:$Q$61,3,FALSE)</f>
        <v/>
      </c>
      <c r="U1209" s="12">
        <f>VLOOKUP(E1209,Dim_Product!$A$2:$Q$61,4,FALSE)</f>
        <v/>
      </c>
      <c r="V1209" s="12">
        <f>VLOOKUP(D1209,Dim_Customer!$A$2:$I$121,6,FALSE)</f>
        <v/>
      </c>
      <c r="W1209" s="12">
        <f>VLOOKUP(G1209,Dim_Channel!$A$2:$B$5,2,FALSE)</f>
        <v/>
      </c>
      <c r="X1209" s="12">
        <f>VLOOKUP(H1209,Dim_Promotion!$A$2:$G$11,2,FALSE)</f>
        <v/>
      </c>
    </row>
    <row r="1210">
      <c r="A1210" s="4" t="inlineStr">
        <is>
          <t>SL1209</t>
        </is>
      </c>
      <c r="B1210" t="inlineStr">
        <is>
          <t>O010605</t>
        </is>
      </c>
      <c r="C1210" t="n">
        <v>20250402</v>
      </c>
      <c r="D1210" s="4" t="inlineStr">
        <is>
          <t>C113</t>
        </is>
      </c>
      <c r="E1210" s="4" t="inlineStr">
        <is>
          <t>P022</t>
        </is>
      </c>
      <c r="F1210" t="inlineStr">
        <is>
          <t>XXL</t>
        </is>
      </c>
      <c r="G1210" s="4" t="inlineStr">
        <is>
          <t>CH02</t>
        </is>
      </c>
      <c r="H1210" s="4" t="inlineStr">
        <is>
          <t>PR00</t>
        </is>
      </c>
      <c r="I1210" s="8" t="n">
        <v>58</v>
      </c>
      <c r="J1210" s="9" t="n">
        <v>0</v>
      </c>
      <c r="K1210" s="10">
        <f>I1210*(1-J1210)</f>
        <v/>
      </c>
      <c r="L1210" s="11" t="n">
        <v>1</v>
      </c>
      <c r="M1210" s="10">
        <f>K1210*L1210</f>
        <v/>
      </c>
      <c r="N1210" s="8" t="n">
        <v>26.45</v>
      </c>
      <c r="O1210" s="10">
        <f>N1210*L1210</f>
        <v/>
      </c>
      <c r="P1210" s="10">
        <f>M1210-O1210</f>
        <v/>
      </c>
      <c r="Q1210" s="11" t="inlineStr">
        <is>
          <t>No</t>
        </is>
      </c>
      <c r="R1210" s="11" t="n">
        <v>0</v>
      </c>
      <c r="S1210" s="10">
        <f>M1210-(R1210*K1210)</f>
        <v/>
      </c>
      <c r="T1210" s="12">
        <f>VLOOKUP(E1210,Dim_Product!$A$2:$Q$61,3,FALSE)</f>
        <v/>
      </c>
      <c r="U1210" s="12">
        <f>VLOOKUP(E1210,Dim_Product!$A$2:$Q$61,4,FALSE)</f>
        <v/>
      </c>
      <c r="V1210" s="12">
        <f>VLOOKUP(D1210,Dim_Customer!$A$2:$I$121,6,FALSE)</f>
        <v/>
      </c>
      <c r="W1210" s="12">
        <f>VLOOKUP(G1210,Dim_Channel!$A$2:$B$5,2,FALSE)</f>
        <v/>
      </c>
      <c r="X1210" s="12">
        <f>VLOOKUP(H1210,Dim_Promotion!$A$2:$G$11,2,FALSE)</f>
        <v/>
      </c>
    </row>
    <row r="1211">
      <c r="A1211" s="4" t="inlineStr">
        <is>
          <t>SL1210</t>
        </is>
      </c>
      <c r="B1211" t="inlineStr">
        <is>
          <t>O010605</t>
        </is>
      </c>
      <c r="C1211" t="n">
        <v>20250507</v>
      </c>
      <c r="D1211" s="4" t="inlineStr">
        <is>
          <t>C107</t>
        </is>
      </c>
      <c r="E1211" s="4" t="inlineStr">
        <is>
          <t>P006</t>
        </is>
      </c>
      <c r="F1211" t="inlineStr">
        <is>
          <t>XL</t>
        </is>
      </c>
      <c r="G1211" s="4" t="inlineStr">
        <is>
          <t>CH01</t>
        </is>
      </c>
      <c r="H1211" s="4" t="inlineStr">
        <is>
          <t>PR00</t>
        </is>
      </c>
      <c r="I1211" s="8" t="n">
        <v>46</v>
      </c>
      <c r="J1211" s="9" t="n">
        <v>0</v>
      </c>
      <c r="K1211" s="10">
        <f>I1211*(1-J1211)</f>
        <v/>
      </c>
      <c r="L1211" s="11" t="n">
        <v>4</v>
      </c>
      <c r="M1211" s="10">
        <f>K1211*L1211</f>
        <v/>
      </c>
      <c r="N1211" s="8" t="n">
        <v>21.68</v>
      </c>
      <c r="O1211" s="10">
        <f>N1211*L1211</f>
        <v/>
      </c>
      <c r="P1211" s="10">
        <f>M1211-O1211</f>
        <v/>
      </c>
      <c r="Q1211" s="11" t="inlineStr">
        <is>
          <t>No</t>
        </is>
      </c>
      <c r="R1211" s="11" t="n">
        <v>0</v>
      </c>
      <c r="S1211" s="10">
        <f>M1211-(R1211*K1211)</f>
        <v/>
      </c>
      <c r="T1211" s="12">
        <f>VLOOKUP(E1211,Dim_Product!$A$2:$Q$61,3,FALSE)</f>
        <v/>
      </c>
      <c r="U1211" s="12">
        <f>VLOOKUP(E1211,Dim_Product!$A$2:$Q$61,4,FALSE)</f>
        <v/>
      </c>
      <c r="V1211" s="12">
        <f>VLOOKUP(D1211,Dim_Customer!$A$2:$I$121,6,FALSE)</f>
        <v/>
      </c>
      <c r="W1211" s="12">
        <f>VLOOKUP(G1211,Dim_Channel!$A$2:$B$5,2,FALSE)</f>
        <v/>
      </c>
      <c r="X1211" s="12">
        <f>VLOOKUP(H1211,Dim_Promotion!$A$2:$G$11,2,FALSE)</f>
        <v/>
      </c>
    </row>
    <row r="1212">
      <c r="A1212" s="4" t="inlineStr">
        <is>
          <t>SL1211</t>
        </is>
      </c>
      <c r="B1212" t="inlineStr">
        <is>
          <t>O010606</t>
        </is>
      </c>
      <c r="C1212" t="n">
        <v>20250207</v>
      </c>
      <c r="D1212" s="4" t="inlineStr">
        <is>
          <t>C061</t>
        </is>
      </c>
      <c r="E1212" s="4" t="inlineStr">
        <is>
          <t>P003</t>
        </is>
      </c>
      <c r="F1212" t="inlineStr">
        <is>
          <t>L</t>
        </is>
      </c>
      <c r="G1212" s="4" t="inlineStr">
        <is>
          <t>CH01</t>
        </is>
      </c>
      <c r="H1212" s="4" t="inlineStr">
        <is>
          <t>PR00</t>
        </is>
      </c>
      <c r="I1212" s="8" t="n">
        <v>40</v>
      </c>
      <c r="J1212" s="9" t="n">
        <v>0</v>
      </c>
      <c r="K1212" s="10">
        <f>I1212*(1-J1212)</f>
        <v/>
      </c>
      <c r="L1212" s="11" t="n">
        <v>2</v>
      </c>
      <c r="M1212" s="10">
        <f>K1212*L1212</f>
        <v/>
      </c>
      <c r="N1212" s="8" t="n">
        <v>20.03</v>
      </c>
      <c r="O1212" s="10">
        <f>N1212*L1212</f>
        <v/>
      </c>
      <c r="P1212" s="10">
        <f>M1212-O1212</f>
        <v/>
      </c>
      <c r="Q1212" s="11" t="inlineStr">
        <is>
          <t>No</t>
        </is>
      </c>
      <c r="R1212" s="11" t="n">
        <v>0</v>
      </c>
      <c r="S1212" s="10">
        <f>M1212-(R1212*K1212)</f>
        <v/>
      </c>
      <c r="T1212" s="12">
        <f>VLOOKUP(E1212,Dim_Product!$A$2:$Q$61,3,FALSE)</f>
        <v/>
      </c>
      <c r="U1212" s="12">
        <f>VLOOKUP(E1212,Dim_Product!$A$2:$Q$61,4,FALSE)</f>
        <v/>
      </c>
      <c r="V1212" s="12">
        <f>VLOOKUP(D1212,Dim_Customer!$A$2:$I$121,6,FALSE)</f>
        <v/>
      </c>
      <c r="W1212" s="12">
        <f>VLOOKUP(G1212,Dim_Channel!$A$2:$B$5,2,FALSE)</f>
        <v/>
      </c>
      <c r="X1212" s="12">
        <f>VLOOKUP(H1212,Dim_Promotion!$A$2:$G$11,2,FALSE)</f>
        <v/>
      </c>
    </row>
    <row r="1213">
      <c r="A1213" s="4" t="inlineStr">
        <is>
          <t>SL1212</t>
        </is>
      </c>
      <c r="B1213" t="inlineStr">
        <is>
          <t>O010606</t>
        </is>
      </c>
      <c r="C1213" t="n">
        <v>20251016</v>
      </c>
      <c r="D1213" s="4" t="inlineStr">
        <is>
          <t>C019</t>
        </is>
      </c>
      <c r="E1213" s="4" t="inlineStr">
        <is>
          <t>P014</t>
        </is>
      </c>
      <c r="F1213" t="inlineStr">
        <is>
          <t>M</t>
        </is>
      </c>
      <c r="G1213" s="4" t="inlineStr">
        <is>
          <t>CH02</t>
        </is>
      </c>
      <c r="H1213" s="4" t="inlineStr">
        <is>
          <t>PR00</t>
        </is>
      </c>
      <c r="I1213" s="8" t="n">
        <v>60</v>
      </c>
      <c r="J1213" s="9" t="n">
        <v>0</v>
      </c>
      <c r="K1213" s="10">
        <f>I1213*(1-J1213)</f>
        <v/>
      </c>
      <c r="L1213" s="11" t="n">
        <v>1</v>
      </c>
      <c r="M1213" s="10">
        <f>K1213*L1213</f>
        <v/>
      </c>
      <c r="N1213" s="8" t="n">
        <v>27.74</v>
      </c>
      <c r="O1213" s="10">
        <f>N1213*L1213</f>
        <v/>
      </c>
      <c r="P1213" s="10">
        <f>M1213-O1213</f>
        <v/>
      </c>
      <c r="Q1213" s="11" t="inlineStr">
        <is>
          <t>No</t>
        </is>
      </c>
      <c r="R1213" s="11" t="n">
        <v>0</v>
      </c>
      <c r="S1213" s="10">
        <f>M1213-(R1213*K1213)</f>
        <v/>
      </c>
      <c r="T1213" s="12">
        <f>VLOOKUP(E1213,Dim_Product!$A$2:$Q$61,3,FALSE)</f>
        <v/>
      </c>
      <c r="U1213" s="12">
        <f>VLOOKUP(E1213,Dim_Product!$A$2:$Q$61,4,FALSE)</f>
        <v/>
      </c>
      <c r="V1213" s="12">
        <f>VLOOKUP(D1213,Dim_Customer!$A$2:$I$121,6,FALSE)</f>
        <v/>
      </c>
      <c r="W1213" s="12">
        <f>VLOOKUP(G1213,Dim_Channel!$A$2:$B$5,2,FALSE)</f>
        <v/>
      </c>
      <c r="X1213" s="12">
        <f>VLOOKUP(H1213,Dim_Promotion!$A$2:$G$11,2,FALSE)</f>
        <v/>
      </c>
    </row>
    <row r="1214">
      <c r="A1214" s="4" t="inlineStr">
        <is>
          <t>SL1213</t>
        </is>
      </c>
      <c r="B1214" t="inlineStr">
        <is>
          <t>O010607</t>
        </is>
      </c>
      <c r="C1214" t="n">
        <v>20251116</v>
      </c>
      <c r="D1214" s="4" t="inlineStr">
        <is>
          <t>C097</t>
        </is>
      </c>
      <c r="E1214" s="4" t="inlineStr">
        <is>
          <t>P056</t>
        </is>
      </c>
      <c r="F1214" t="inlineStr">
        <is>
          <t>M</t>
        </is>
      </c>
      <c r="G1214" s="4" t="inlineStr">
        <is>
          <t>CH03</t>
        </is>
      </c>
      <c r="H1214" s="4" t="inlineStr">
        <is>
          <t>PR00</t>
        </is>
      </c>
      <c r="I1214" s="8" t="n">
        <v>70</v>
      </c>
      <c r="J1214" s="9" t="n">
        <v>0</v>
      </c>
      <c r="K1214" s="10">
        <f>I1214*(1-J1214)</f>
        <v/>
      </c>
      <c r="L1214" s="11" t="n">
        <v>2</v>
      </c>
      <c r="M1214" s="10">
        <f>K1214*L1214</f>
        <v/>
      </c>
      <c r="N1214" s="8" t="n">
        <v>33.59</v>
      </c>
      <c r="O1214" s="10">
        <f>N1214*L1214</f>
        <v/>
      </c>
      <c r="P1214" s="10">
        <f>M1214-O1214</f>
        <v/>
      </c>
      <c r="Q1214" s="11" t="inlineStr">
        <is>
          <t>No</t>
        </is>
      </c>
      <c r="R1214" s="11" t="n">
        <v>0</v>
      </c>
      <c r="S1214" s="10">
        <f>M1214-(R1214*K1214)</f>
        <v/>
      </c>
      <c r="T1214" s="12">
        <f>VLOOKUP(E1214,Dim_Product!$A$2:$Q$61,3,FALSE)</f>
        <v/>
      </c>
      <c r="U1214" s="12">
        <f>VLOOKUP(E1214,Dim_Product!$A$2:$Q$61,4,FALSE)</f>
        <v/>
      </c>
      <c r="V1214" s="12">
        <f>VLOOKUP(D1214,Dim_Customer!$A$2:$I$121,6,FALSE)</f>
        <v/>
      </c>
      <c r="W1214" s="12">
        <f>VLOOKUP(G1214,Dim_Channel!$A$2:$B$5,2,FALSE)</f>
        <v/>
      </c>
      <c r="X1214" s="12">
        <f>VLOOKUP(H1214,Dim_Promotion!$A$2:$G$11,2,FALSE)</f>
        <v/>
      </c>
    </row>
    <row r="1215">
      <c r="A1215" s="4" t="inlineStr">
        <is>
          <t>SL1214</t>
        </is>
      </c>
      <c r="B1215" t="inlineStr">
        <is>
          <t>O010607</t>
        </is>
      </c>
      <c r="C1215" t="n">
        <v>20251224</v>
      </c>
      <c r="D1215" s="4" t="inlineStr">
        <is>
          <t>C001</t>
        </is>
      </c>
      <c r="E1215" s="4" t="inlineStr">
        <is>
          <t>P051</t>
        </is>
      </c>
      <c r="F1215" t="inlineStr">
        <is>
          <t>L</t>
        </is>
      </c>
      <c r="G1215" s="4" t="inlineStr">
        <is>
          <t>CH01</t>
        </is>
      </c>
      <c r="H1215" s="4" t="inlineStr">
        <is>
          <t>PR00</t>
        </is>
      </c>
      <c r="I1215" s="8" t="n">
        <v>72</v>
      </c>
      <c r="J1215" s="9" t="n">
        <v>0</v>
      </c>
      <c r="K1215" s="10">
        <f>I1215*(1-J1215)</f>
        <v/>
      </c>
      <c r="L1215" s="11" t="n">
        <v>2</v>
      </c>
      <c r="M1215" s="10">
        <f>K1215*L1215</f>
        <v/>
      </c>
      <c r="N1215" s="8" t="n">
        <v>28.6</v>
      </c>
      <c r="O1215" s="10">
        <f>N1215*L1215</f>
        <v/>
      </c>
      <c r="P1215" s="10">
        <f>M1215-O1215</f>
        <v/>
      </c>
      <c r="Q1215" s="11" t="inlineStr">
        <is>
          <t>No</t>
        </is>
      </c>
      <c r="R1215" s="11" t="n">
        <v>0</v>
      </c>
      <c r="S1215" s="10">
        <f>M1215-(R1215*K1215)</f>
        <v/>
      </c>
      <c r="T1215" s="12">
        <f>VLOOKUP(E1215,Dim_Product!$A$2:$Q$61,3,FALSE)</f>
        <v/>
      </c>
      <c r="U1215" s="12">
        <f>VLOOKUP(E1215,Dim_Product!$A$2:$Q$61,4,FALSE)</f>
        <v/>
      </c>
      <c r="V1215" s="12">
        <f>VLOOKUP(D1215,Dim_Customer!$A$2:$I$121,6,FALSE)</f>
        <v/>
      </c>
      <c r="W1215" s="12">
        <f>VLOOKUP(G1215,Dim_Channel!$A$2:$B$5,2,FALSE)</f>
        <v/>
      </c>
      <c r="X1215" s="12">
        <f>VLOOKUP(H1215,Dim_Promotion!$A$2:$G$11,2,FALSE)</f>
        <v/>
      </c>
    </row>
    <row r="1216">
      <c r="A1216" s="4" t="inlineStr">
        <is>
          <t>SL1215</t>
        </is>
      </c>
      <c r="B1216" t="inlineStr">
        <is>
          <t>O010608</t>
        </is>
      </c>
      <c r="C1216" t="n">
        <v>20250506</v>
      </c>
      <c r="D1216" s="4" t="inlineStr">
        <is>
          <t>C118</t>
        </is>
      </c>
      <c r="E1216" s="4" t="inlineStr">
        <is>
          <t>P022</t>
        </is>
      </c>
      <c r="F1216" t="inlineStr">
        <is>
          <t>M</t>
        </is>
      </c>
      <c r="G1216" s="4" t="inlineStr">
        <is>
          <t>CH03</t>
        </is>
      </c>
      <c r="H1216" s="4" t="inlineStr">
        <is>
          <t>PR00</t>
        </is>
      </c>
      <c r="I1216" s="8" t="n">
        <v>62</v>
      </c>
      <c r="J1216" s="9" t="n">
        <v>0</v>
      </c>
      <c r="K1216" s="10">
        <f>I1216*(1-J1216)</f>
        <v/>
      </c>
      <c r="L1216" s="11" t="n">
        <v>2</v>
      </c>
      <c r="M1216" s="10">
        <f>K1216*L1216</f>
        <v/>
      </c>
      <c r="N1216" s="8" t="n">
        <v>25.87</v>
      </c>
      <c r="O1216" s="10">
        <f>N1216*L1216</f>
        <v/>
      </c>
      <c r="P1216" s="10">
        <f>M1216-O1216</f>
        <v/>
      </c>
      <c r="Q1216" s="11" t="inlineStr">
        <is>
          <t>No</t>
        </is>
      </c>
      <c r="R1216" s="11" t="n">
        <v>0</v>
      </c>
      <c r="S1216" s="10">
        <f>M1216-(R1216*K1216)</f>
        <v/>
      </c>
      <c r="T1216" s="12">
        <f>VLOOKUP(E1216,Dim_Product!$A$2:$Q$61,3,FALSE)</f>
        <v/>
      </c>
      <c r="U1216" s="12">
        <f>VLOOKUP(E1216,Dim_Product!$A$2:$Q$61,4,FALSE)</f>
        <v/>
      </c>
      <c r="V1216" s="12">
        <f>VLOOKUP(D1216,Dim_Customer!$A$2:$I$121,6,FALSE)</f>
        <v/>
      </c>
      <c r="W1216" s="12">
        <f>VLOOKUP(G1216,Dim_Channel!$A$2:$B$5,2,FALSE)</f>
        <v/>
      </c>
      <c r="X1216" s="12">
        <f>VLOOKUP(H1216,Dim_Promotion!$A$2:$G$11,2,FALSE)</f>
        <v/>
      </c>
    </row>
    <row r="1217">
      <c r="A1217" s="4" t="inlineStr">
        <is>
          <t>SL1216</t>
        </is>
      </c>
      <c r="B1217" t="inlineStr">
        <is>
          <t>O010608</t>
        </is>
      </c>
      <c r="C1217" t="n">
        <v>20250620</v>
      </c>
      <c r="D1217" s="4" t="inlineStr">
        <is>
          <t>C071</t>
        </is>
      </c>
      <c r="E1217" s="4" t="inlineStr">
        <is>
          <t>P021</t>
        </is>
      </c>
      <c r="F1217" t="inlineStr">
        <is>
          <t>XL</t>
        </is>
      </c>
      <c r="G1217" s="4" t="inlineStr">
        <is>
          <t>CH01</t>
        </is>
      </c>
      <c r="H1217" s="4" t="inlineStr">
        <is>
          <t>PR00</t>
        </is>
      </c>
      <c r="I1217" s="8" t="n">
        <v>54</v>
      </c>
      <c r="J1217" s="9" t="n">
        <v>0</v>
      </c>
      <c r="K1217" s="10">
        <f>I1217*(1-J1217)</f>
        <v/>
      </c>
      <c r="L1217" s="11" t="n">
        <v>2</v>
      </c>
      <c r="M1217" s="10">
        <f>K1217*L1217</f>
        <v/>
      </c>
      <c r="N1217" s="8" t="n">
        <v>27.52</v>
      </c>
      <c r="O1217" s="10">
        <f>N1217*L1217</f>
        <v/>
      </c>
      <c r="P1217" s="10">
        <f>M1217-O1217</f>
        <v/>
      </c>
      <c r="Q1217" s="11" t="inlineStr">
        <is>
          <t>No</t>
        </is>
      </c>
      <c r="R1217" s="11" t="n">
        <v>0</v>
      </c>
      <c r="S1217" s="10">
        <f>M1217-(R1217*K1217)</f>
        <v/>
      </c>
      <c r="T1217" s="12">
        <f>VLOOKUP(E1217,Dim_Product!$A$2:$Q$61,3,FALSE)</f>
        <v/>
      </c>
      <c r="U1217" s="12">
        <f>VLOOKUP(E1217,Dim_Product!$A$2:$Q$61,4,FALSE)</f>
        <v/>
      </c>
      <c r="V1217" s="12">
        <f>VLOOKUP(D1217,Dim_Customer!$A$2:$I$121,6,FALSE)</f>
        <v/>
      </c>
      <c r="W1217" s="12">
        <f>VLOOKUP(G1217,Dim_Channel!$A$2:$B$5,2,FALSE)</f>
        <v/>
      </c>
      <c r="X1217" s="12">
        <f>VLOOKUP(H1217,Dim_Promotion!$A$2:$G$11,2,FALSE)</f>
        <v/>
      </c>
    </row>
    <row r="1218">
      <c r="A1218" s="4" t="inlineStr">
        <is>
          <t>SL1217</t>
        </is>
      </c>
      <c r="B1218" t="inlineStr">
        <is>
          <t>O010609</t>
        </is>
      </c>
      <c r="C1218" t="n">
        <v>20250320</v>
      </c>
      <c r="D1218" s="4" t="inlineStr">
        <is>
          <t>C087</t>
        </is>
      </c>
      <c r="E1218" s="4" t="inlineStr">
        <is>
          <t>P053</t>
        </is>
      </c>
      <c r="F1218" t="inlineStr">
        <is>
          <t>XS</t>
        </is>
      </c>
      <c r="G1218" s="4" t="inlineStr">
        <is>
          <t>CH02</t>
        </is>
      </c>
      <c r="H1218" s="4" t="inlineStr">
        <is>
          <t>PR00</t>
        </is>
      </c>
      <c r="I1218" s="8" t="n">
        <v>72</v>
      </c>
      <c r="J1218" s="9" t="n">
        <v>0</v>
      </c>
      <c r="K1218" s="10">
        <f>I1218*(1-J1218)</f>
        <v/>
      </c>
      <c r="L1218" s="11" t="n">
        <v>1</v>
      </c>
      <c r="M1218" s="10">
        <f>K1218*L1218</f>
        <v/>
      </c>
      <c r="N1218" s="8" t="n">
        <v>34.54</v>
      </c>
      <c r="O1218" s="10">
        <f>N1218*L1218</f>
        <v/>
      </c>
      <c r="P1218" s="10">
        <f>M1218-O1218</f>
        <v/>
      </c>
      <c r="Q1218" s="11" t="inlineStr">
        <is>
          <t>No</t>
        </is>
      </c>
      <c r="R1218" s="11" t="n">
        <v>0</v>
      </c>
      <c r="S1218" s="10">
        <f>M1218-(R1218*K1218)</f>
        <v/>
      </c>
      <c r="T1218" s="12">
        <f>VLOOKUP(E1218,Dim_Product!$A$2:$Q$61,3,FALSE)</f>
        <v/>
      </c>
      <c r="U1218" s="12">
        <f>VLOOKUP(E1218,Dim_Product!$A$2:$Q$61,4,FALSE)</f>
        <v/>
      </c>
      <c r="V1218" s="12">
        <f>VLOOKUP(D1218,Dim_Customer!$A$2:$I$121,6,FALSE)</f>
        <v/>
      </c>
      <c r="W1218" s="12">
        <f>VLOOKUP(G1218,Dim_Channel!$A$2:$B$5,2,FALSE)</f>
        <v/>
      </c>
      <c r="X1218" s="12">
        <f>VLOOKUP(H1218,Dim_Promotion!$A$2:$G$11,2,FALSE)</f>
        <v/>
      </c>
    </row>
    <row r="1219">
      <c r="A1219" s="4" t="inlineStr">
        <is>
          <t>SL1218</t>
        </is>
      </c>
      <c r="B1219" t="inlineStr">
        <is>
          <t>O010609</t>
        </is>
      </c>
      <c r="C1219" t="n">
        <v>20250813</v>
      </c>
      <c r="D1219" s="4" t="inlineStr">
        <is>
          <t>C027</t>
        </is>
      </c>
      <c r="E1219" s="4" t="inlineStr">
        <is>
          <t>P024</t>
        </is>
      </c>
      <c r="F1219" t="inlineStr">
        <is>
          <t>XXL</t>
        </is>
      </c>
      <c r="G1219" s="4" t="inlineStr">
        <is>
          <t>CH02</t>
        </is>
      </c>
      <c r="H1219" s="4" t="inlineStr">
        <is>
          <t>PR00</t>
        </is>
      </c>
      <c r="I1219" s="8" t="n">
        <v>62</v>
      </c>
      <c r="J1219" s="9" t="n">
        <v>0</v>
      </c>
      <c r="K1219" s="10">
        <f>I1219*(1-J1219)</f>
        <v/>
      </c>
      <c r="L1219" s="11" t="n">
        <v>1</v>
      </c>
      <c r="M1219" s="10">
        <f>K1219*L1219</f>
        <v/>
      </c>
      <c r="N1219" s="8" t="n">
        <v>27.06</v>
      </c>
      <c r="O1219" s="10">
        <f>N1219*L1219</f>
        <v/>
      </c>
      <c r="P1219" s="10">
        <f>M1219-O1219</f>
        <v/>
      </c>
      <c r="Q1219" s="11" t="inlineStr">
        <is>
          <t>No</t>
        </is>
      </c>
      <c r="R1219" s="11" t="n">
        <v>0</v>
      </c>
      <c r="S1219" s="10">
        <f>M1219-(R1219*K1219)</f>
        <v/>
      </c>
      <c r="T1219" s="12">
        <f>VLOOKUP(E1219,Dim_Product!$A$2:$Q$61,3,FALSE)</f>
        <v/>
      </c>
      <c r="U1219" s="12">
        <f>VLOOKUP(E1219,Dim_Product!$A$2:$Q$61,4,FALSE)</f>
        <v/>
      </c>
      <c r="V1219" s="12">
        <f>VLOOKUP(D1219,Dim_Customer!$A$2:$I$121,6,FALSE)</f>
        <v/>
      </c>
      <c r="W1219" s="12">
        <f>VLOOKUP(G1219,Dim_Channel!$A$2:$B$5,2,FALSE)</f>
        <v/>
      </c>
      <c r="X1219" s="12">
        <f>VLOOKUP(H1219,Dim_Promotion!$A$2:$G$11,2,FALSE)</f>
        <v/>
      </c>
    </row>
    <row r="1220">
      <c r="A1220" s="4" t="inlineStr">
        <is>
          <t>SL1219</t>
        </is>
      </c>
      <c r="B1220" t="inlineStr">
        <is>
          <t>O010610</t>
        </is>
      </c>
      <c r="C1220" t="n">
        <v>20250702</v>
      </c>
      <c r="D1220" s="4" t="inlineStr">
        <is>
          <t>C004</t>
        </is>
      </c>
      <c r="E1220" s="4" t="inlineStr">
        <is>
          <t>P035</t>
        </is>
      </c>
      <c r="F1220" t="inlineStr">
        <is>
          <t>M</t>
        </is>
      </c>
      <c r="G1220" s="4" t="inlineStr">
        <is>
          <t>CH01</t>
        </is>
      </c>
      <c r="H1220" s="4" t="inlineStr">
        <is>
          <t>PR00</t>
        </is>
      </c>
      <c r="I1220" s="8" t="n">
        <v>88</v>
      </c>
      <c r="J1220" s="9" t="n">
        <v>0</v>
      </c>
      <c r="K1220" s="10">
        <f>I1220*(1-J1220)</f>
        <v/>
      </c>
      <c r="L1220" s="11" t="n">
        <v>1</v>
      </c>
      <c r="M1220" s="10">
        <f>K1220*L1220</f>
        <v/>
      </c>
      <c r="N1220" s="8" t="n">
        <v>44.51</v>
      </c>
      <c r="O1220" s="10">
        <f>N1220*L1220</f>
        <v/>
      </c>
      <c r="P1220" s="10">
        <f>M1220-O1220</f>
        <v/>
      </c>
      <c r="Q1220" s="11" t="inlineStr">
        <is>
          <t>No</t>
        </is>
      </c>
      <c r="R1220" s="11" t="n">
        <v>0</v>
      </c>
      <c r="S1220" s="10">
        <f>M1220-(R1220*K1220)</f>
        <v/>
      </c>
      <c r="T1220" s="12">
        <f>VLOOKUP(E1220,Dim_Product!$A$2:$Q$61,3,FALSE)</f>
        <v/>
      </c>
      <c r="U1220" s="12">
        <f>VLOOKUP(E1220,Dim_Product!$A$2:$Q$61,4,FALSE)</f>
        <v/>
      </c>
      <c r="V1220" s="12">
        <f>VLOOKUP(D1220,Dim_Customer!$A$2:$I$121,6,FALSE)</f>
        <v/>
      </c>
      <c r="W1220" s="12">
        <f>VLOOKUP(G1220,Dim_Channel!$A$2:$B$5,2,FALSE)</f>
        <v/>
      </c>
      <c r="X1220" s="12">
        <f>VLOOKUP(H1220,Dim_Promotion!$A$2:$G$11,2,FALSE)</f>
        <v/>
      </c>
    </row>
    <row r="1221">
      <c r="A1221" s="4" t="inlineStr">
        <is>
          <t>SL1220</t>
        </is>
      </c>
      <c r="B1221" t="inlineStr">
        <is>
          <t>O010610</t>
        </is>
      </c>
      <c r="C1221" t="n">
        <v>20250909</v>
      </c>
      <c r="D1221" s="4" t="inlineStr">
        <is>
          <t>C101</t>
        </is>
      </c>
      <c r="E1221" s="4" t="inlineStr">
        <is>
          <t>P054</t>
        </is>
      </c>
      <c r="F1221" t="inlineStr">
        <is>
          <t>M</t>
        </is>
      </c>
      <c r="G1221" s="4" t="inlineStr">
        <is>
          <t>CH01</t>
        </is>
      </c>
      <c r="H1221" s="4" t="inlineStr">
        <is>
          <t>PR00</t>
        </is>
      </c>
      <c r="I1221" s="8" t="n">
        <v>75</v>
      </c>
      <c r="J1221" s="9" t="n">
        <v>0</v>
      </c>
      <c r="K1221" s="10">
        <f>I1221*(1-J1221)</f>
        <v/>
      </c>
      <c r="L1221" s="11" t="n">
        <v>1</v>
      </c>
      <c r="M1221" s="10">
        <f>K1221*L1221</f>
        <v/>
      </c>
      <c r="N1221" s="8" t="n">
        <v>30.41</v>
      </c>
      <c r="O1221" s="10">
        <f>N1221*L1221</f>
        <v/>
      </c>
      <c r="P1221" s="10">
        <f>M1221-O1221</f>
        <v/>
      </c>
      <c r="Q1221" s="11" t="inlineStr">
        <is>
          <t>No</t>
        </is>
      </c>
      <c r="R1221" s="11" t="n">
        <v>0</v>
      </c>
      <c r="S1221" s="10">
        <f>M1221-(R1221*K1221)</f>
        <v/>
      </c>
      <c r="T1221" s="12">
        <f>VLOOKUP(E1221,Dim_Product!$A$2:$Q$61,3,FALSE)</f>
        <v/>
      </c>
      <c r="U1221" s="12">
        <f>VLOOKUP(E1221,Dim_Product!$A$2:$Q$61,4,FALSE)</f>
        <v/>
      </c>
      <c r="V1221" s="12">
        <f>VLOOKUP(D1221,Dim_Customer!$A$2:$I$121,6,FALSE)</f>
        <v/>
      </c>
      <c r="W1221" s="12">
        <f>VLOOKUP(G1221,Dim_Channel!$A$2:$B$5,2,FALSE)</f>
        <v/>
      </c>
      <c r="X1221" s="12">
        <f>VLOOKUP(H1221,Dim_Promotion!$A$2:$G$11,2,FALSE)</f>
        <v/>
      </c>
    </row>
    <row r="1222">
      <c r="A1222" s="4" t="inlineStr">
        <is>
          <t>SL1221</t>
        </is>
      </c>
      <c r="B1222" t="inlineStr">
        <is>
          <t>O010611</t>
        </is>
      </c>
      <c r="C1222" t="n">
        <v>20250514</v>
      </c>
      <c r="D1222" s="4" t="inlineStr">
        <is>
          <t>C111</t>
        </is>
      </c>
      <c r="E1222" s="4" t="inlineStr">
        <is>
          <t>P017</t>
        </is>
      </c>
      <c r="F1222" t="inlineStr">
        <is>
          <t>S</t>
        </is>
      </c>
      <c r="G1222" s="4" t="inlineStr">
        <is>
          <t>CH03</t>
        </is>
      </c>
      <c r="H1222" s="4" t="inlineStr">
        <is>
          <t>PR00</t>
        </is>
      </c>
      <c r="I1222" s="8" t="n">
        <v>66</v>
      </c>
      <c r="J1222" s="9" t="n">
        <v>0</v>
      </c>
      <c r="K1222" s="10">
        <f>I1222*(1-J1222)</f>
        <v/>
      </c>
      <c r="L1222" s="11" t="n">
        <v>1</v>
      </c>
      <c r="M1222" s="10">
        <f>K1222*L1222</f>
        <v/>
      </c>
      <c r="N1222" s="8" t="n">
        <v>31.83</v>
      </c>
      <c r="O1222" s="10">
        <f>N1222*L1222</f>
        <v/>
      </c>
      <c r="P1222" s="10">
        <f>M1222-O1222</f>
        <v/>
      </c>
      <c r="Q1222" s="11" t="inlineStr">
        <is>
          <t>No</t>
        </is>
      </c>
      <c r="R1222" s="11" t="n">
        <v>0</v>
      </c>
      <c r="S1222" s="10">
        <f>M1222-(R1222*K1222)</f>
        <v/>
      </c>
      <c r="T1222" s="12">
        <f>VLOOKUP(E1222,Dim_Product!$A$2:$Q$61,3,FALSE)</f>
        <v/>
      </c>
      <c r="U1222" s="12">
        <f>VLOOKUP(E1222,Dim_Product!$A$2:$Q$61,4,FALSE)</f>
        <v/>
      </c>
      <c r="V1222" s="12">
        <f>VLOOKUP(D1222,Dim_Customer!$A$2:$I$121,6,FALSE)</f>
        <v/>
      </c>
      <c r="W1222" s="12">
        <f>VLOOKUP(G1222,Dim_Channel!$A$2:$B$5,2,FALSE)</f>
        <v/>
      </c>
      <c r="X1222" s="12">
        <f>VLOOKUP(H1222,Dim_Promotion!$A$2:$G$11,2,FALSE)</f>
        <v/>
      </c>
    </row>
    <row r="1223">
      <c r="A1223" s="4" t="inlineStr">
        <is>
          <t>SL1222</t>
        </is>
      </c>
      <c r="B1223" t="inlineStr">
        <is>
          <t>O010611</t>
        </is>
      </c>
      <c r="C1223" t="n">
        <v>20250413</v>
      </c>
      <c r="D1223" s="4" t="inlineStr">
        <is>
          <t>C113</t>
        </is>
      </c>
      <c r="E1223" s="4" t="inlineStr">
        <is>
          <t>P021</t>
        </is>
      </c>
      <c r="F1223" t="inlineStr">
        <is>
          <t>L</t>
        </is>
      </c>
      <c r="G1223" s="4" t="inlineStr">
        <is>
          <t>CH03</t>
        </is>
      </c>
      <c r="H1223" s="4" t="inlineStr">
        <is>
          <t>PR00</t>
        </is>
      </c>
      <c r="I1223" s="8" t="n">
        <v>54</v>
      </c>
      <c r="J1223" s="9" t="n">
        <v>0</v>
      </c>
      <c r="K1223" s="10">
        <f>I1223*(1-J1223)</f>
        <v/>
      </c>
      <c r="L1223" s="11" t="n">
        <v>1</v>
      </c>
      <c r="M1223" s="10">
        <f>K1223*L1223</f>
        <v/>
      </c>
      <c r="N1223" s="8" t="n">
        <v>28.11</v>
      </c>
      <c r="O1223" s="10">
        <f>N1223*L1223</f>
        <v/>
      </c>
      <c r="P1223" s="10">
        <f>M1223-O1223</f>
        <v/>
      </c>
      <c r="Q1223" s="11" t="inlineStr">
        <is>
          <t>No</t>
        </is>
      </c>
      <c r="R1223" s="11" t="n">
        <v>0</v>
      </c>
      <c r="S1223" s="10">
        <f>M1223-(R1223*K1223)</f>
        <v/>
      </c>
      <c r="T1223" s="12">
        <f>VLOOKUP(E1223,Dim_Product!$A$2:$Q$61,3,FALSE)</f>
        <v/>
      </c>
      <c r="U1223" s="12">
        <f>VLOOKUP(E1223,Dim_Product!$A$2:$Q$61,4,FALSE)</f>
        <v/>
      </c>
      <c r="V1223" s="12">
        <f>VLOOKUP(D1223,Dim_Customer!$A$2:$I$121,6,FALSE)</f>
        <v/>
      </c>
      <c r="W1223" s="12">
        <f>VLOOKUP(G1223,Dim_Channel!$A$2:$B$5,2,FALSE)</f>
        <v/>
      </c>
      <c r="X1223" s="12">
        <f>VLOOKUP(H1223,Dim_Promotion!$A$2:$G$11,2,FALSE)</f>
        <v/>
      </c>
    </row>
    <row r="1224">
      <c r="A1224" s="4" t="inlineStr">
        <is>
          <t>SL1223</t>
        </is>
      </c>
      <c r="B1224" t="inlineStr">
        <is>
          <t>O010612</t>
        </is>
      </c>
      <c r="C1224" t="n">
        <v>20250808</v>
      </c>
      <c r="D1224" s="4" t="inlineStr">
        <is>
          <t>C119</t>
        </is>
      </c>
      <c r="E1224" s="4" t="inlineStr">
        <is>
          <t>P003</t>
        </is>
      </c>
      <c r="F1224" t="inlineStr">
        <is>
          <t>L</t>
        </is>
      </c>
      <c r="G1224" s="4" t="inlineStr">
        <is>
          <t>CH02</t>
        </is>
      </c>
      <c r="H1224" s="4" t="inlineStr">
        <is>
          <t>PR00</t>
        </is>
      </c>
      <c r="I1224" s="8" t="n">
        <v>42</v>
      </c>
      <c r="J1224" s="9" t="n">
        <v>0</v>
      </c>
      <c r="K1224" s="10">
        <f>I1224*(1-J1224)</f>
        <v/>
      </c>
      <c r="L1224" s="11" t="n">
        <v>1</v>
      </c>
      <c r="M1224" s="10">
        <f>K1224*L1224</f>
        <v/>
      </c>
      <c r="N1224" s="8" t="n">
        <v>19.82</v>
      </c>
      <c r="O1224" s="10">
        <f>N1224*L1224</f>
        <v/>
      </c>
      <c r="P1224" s="10">
        <f>M1224-O1224</f>
        <v/>
      </c>
      <c r="Q1224" s="11" t="inlineStr">
        <is>
          <t>No</t>
        </is>
      </c>
      <c r="R1224" s="11" t="n">
        <v>0</v>
      </c>
      <c r="S1224" s="10">
        <f>M1224-(R1224*K1224)</f>
        <v/>
      </c>
      <c r="T1224" s="12">
        <f>VLOOKUP(E1224,Dim_Product!$A$2:$Q$61,3,FALSE)</f>
        <v/>
      </c>
      <c r="U1224" s="12">
        <f>VLOOKUP(E1224,Dim_Product!$A$2:$Q$61,4,FALSE)</f>
        <v/>
      </c>
      <c r="V1224" s="12">
        <f>VLOOKUP(D1224,Dim_Customer!$A$2:$I$121,6,FALSE)</f>
        <v/>
      </c>
      <c r="W1224" s="12">
        <f>VLOOKUP(G1224,Dim_Channel!$A$2:$B$5,2,FALSE)</f>
        <v/>
      </c>
      <c r="X1224" s="12">
        <f>VLOOKUP(H1224,Dim_Promotion!$A$2:$G$11,2,FALSE)</f>
        <v/>
      </c>
    </row>
    <row r="1225">
      <c r="A1225" s="4" t="inlineStr">
        <is>
          <t>SL1224</t>
        </is>
      </c>
      <c r="B1225" t="inlineStr">
        <is>
          <t>O010612</t>
        </is>
      </c>
      <c r="C1225" t="n">
        <v>20250629</v>
      </c>
      <c r="D1225" s="4" t="inlineStr">
        <is>
          <t>C062</t>
        </is>
      </c>
      <c r="E1225" s="4" t="inlineStr">
        <is>
          <t>P041</t>
        </is>
      </c>
      <c r="F1225" t="inlineStr">
        <is>
          <t>S</t>
        </is>
      </c>
      <c r="G1225" s="4" t="inlineStr">
        <is>
          <t>CH03</t>
        </is>
      </c>
      <c r="H1225" s="4" t="inlineStr">
        <is>
          <t>PR05</t>
        </is>
      </c>
      <c r="I1225" s="8" t="n">
        <v>79</v>
      </c>
      <c r="J1225" s="9" t="n">
        <v>0.2</v>
      </c>
      <c r="K1225" s="10">
        <f>I1225*(1-J1225)</f>
        <v/>
      </c>
      <c r="L1225" s="11" t="n">
        <v>1</v>
      </c>
      <c r="M1225" s="10">
        <f>K1225*L1225</f>
        <v/>
      </c>
      <c r="N1225" s="8" t="n">
        <v>37.42</v>
      </c>
      <c r="O1225" s="10">
        <f>N1225*L1225</f>
        <v/>
      </c>
      <c r="P1225" s="10">
        <f>M1225-O1225</f>
        <v/>
      </c>
      <c r="Q1225" s="11" t="inlineStr">
        <is>
          <t>No</t>
        </is>
      </c>
      <c r="R1225" s="11" t="n">
        <v>0</v>
      </c>
      <c r="S1225" s="10">
        <f>M1225-(R1225*K1225)</f>
        <v/>
      </c>
      <c r="T1225" s="12">
        <f>VLOOKUP(E1225,Dim_Product!$A$2:$Q$61,3,FALSE)</f>
        <v/>
      </c>
      <c r="U1225" s="12">
        <f>VLOOKUP(E1225,Dim_Product!$A$2:$Q$61,4,FALSE)</f>
        <v/>
      </c>
      <c r="V1225" s="12">
        <f>VLOOKUP(D1225,Dim_Customer!$A$2:$I$121,6,FALSE)</f>
        <v/>
      </c>
      <c r="W1225" s="12">
        <f>VLOOKUP(G1225,Dim_Channel!$A$2:$B$5,2,FALSE)</f>
        <v/>
      </c>
      <c r="X1225" s="12">
        <f>VLOOKUP(H1225,Dim_Promotion!$A$2:$G$11,2,FALSE)</f>
        <v/>
      </c>
    </row>
    <row r="1226">
      <c r="A1226" s="4" t="inlineStr">
        <is>
          <t>SL1225</t>
        </is>
      </c>
      <c r="B1226" t="inlineStr">
        <is>
          <t>O010613</t>
        </is>
      </c>
      <c r="C1226" t="n">
        <v>20251203</v>
      </c>
      <c r="D1226" s="4" t="inlineStr">
        <is>
          <t>C048</t>
        </is>
      </c>
      <c r="E1226" s="4" t="inlineStr">
        <is>
          <t>P054</t>
        </is>
      </c>
      <c r="F1226" t="inlineStr">
        <is>
          <t>L</t>
        </is>
      </c>
      <c r="G1226" s="4" t="inlineStr">
        <is>
          <t>CH02</t>
        </is>
      </c>
      <c r="H1226" s="4" t="inlineStr">
        <is>
          <t>PR09</t>
        </is>
      </c>
      <c r="I1226" s="8" t="n">
        <v>75</v>
      </c>
      <c r="J1226" s="9" t="n">
        <v>0.15</v>
      </c>
      <c r="K1226" s="10">
        <f>I1226*(1-J1226)</f>
        <v/>
      </c>
      <c r="L1226" s="11" t="n">
        <v>4</v>
      </c>
      <c r="M1226" s="10">
        <f>K1226*L1226</f>
        <v/>
      </c>
      <c r="N1226" s="8" t="n">
        <v>30.39</v>
      </c>
      <c r="O1226" s="10">
        <f>N1226*L1226</f>
        <v/>
      </c>
      <c r="P1226" s="10">
        <f>M1226-O1226</f>
        <v/>
      </c>
      <c r="Q1226" s="11" t="inlineStr">
        <is>
          <t>No</t>
        </is>
      </c>
      <c r="R1226" s="11" t="n">
        <v>0</v>
      </c>
      <c r="S1226" s="10">
        <f>M1226-(R1226*K1226)</f>
        <v/>
      </c>
      <c r="T1226" s="12">
        <f>VLOOKUP(E1226,Dim_Product!$A$2:$Q$61,3,FALSE)</f>
        <v/>
      </c>
      <c r="U1226" s="12">
        <f>VLOOKUP(E1226,Dim_Product!$A$2:$Q$61,4,FALSE)</f>
        <v/>
      </c>
      <c r="V1226" s="12">
        <f>VLOOKUP(D1226,Dim_Customer!$A$2:$I$121,6,FALSE)</f>
        <v/>
      </c>
      <c r="W1226" s="12">
        <f>VLOOKUP(G1226,Dim_Channel!$A$2:$B$5,2,FALSE)</f>
        <v/>
      </c>
      <c r="X1226" s="12">
        <f>VLOOKUP(H1226,Dim_Promotion!$A$2:$G$11,2,FALSE)</f>
        <v/>
      </c>
    </row>
    <row r="1227">
      <c r="A1227" s="4" t="inlineStr">
        <is>
          <t>SL1226</t>
        </is>
      </c>
      <c r="B1227" t="inlineStr">
        <is>
          <t>O010613</t>
        </is>
      </c>
      <c r="C1227" t="n">
        <v>20250704</v>
      </c>
      <c r="D1227" s="4" t="inlineStr">
        <is>
          <t>C061</t>
        </is>
      </c>
      <c r="E1227" s="4" t="inlineStr">
        <is>
          <t>P027</t>
        </is>
      </c>
      <c r="F1227" t="inlineStr">
        <is>
          <t>L</t>
        </is>
      </c>
      <c r="G1227" s="4" t="inlineStr">
        <is>
          <t>CH02</t>
        </is>
      </c>
      <c r="H1227" s="4" t="inlineStr">
        <is>
          <t>PR00</t>
        </is>
      </c>
      <c r="I1227" s="8" t="n">
        <v>95</v>
      </c>
      <c r="J1227" s="9" t="n">
        <v>0</v>
      </c>
      <c r="K1227" s="10">
        <f>I1227*(1-J1227)</f>
        <v/>
      </c>
      <c r="L1227" s="11" t="n">
        <v>1</v>
      </c>
      <c r="M1227" s="10">
        <f>K1227*L1227</f>
        <v/>
      </c>
      <c r="N1227" s="8" t="n">
        <v>46.64</v>
      </c>
      <c r="O1227" s="10">
        <f>N1227*L1227</f>
        <v/>
      </c>
      <c r="P1227" s="10">
        <f>M1227-O1227</f>
        <v/>
      </c>
      <c r="Q1227" s="11" t="inlineStr">
        <is>
          <t>No</t>
        </is>
      </c>
      <c r="R1227" s="11" t="n">
        <v>0</v>
      </c>
      <c r="S1227" s="10">
        <f>M1227-(R1227*K1227)</f>
        <v/>
      </c>
      <c r="T1227" s="12">
        <f>VLOOKUP(E1227,Dim_Product!$A$2:$Q$61,3,FALSE)</f>
        <v/>
      </c>
      <c r="U1227" s="12">
        <f>VLOOKUP(E1227,Dim_Product!$A$2:$Q$61,4,FALSE)</f>
        <v/>
      </c>
      <c r="V1227" s="12">
        <f>VLOOKUP(D1227,Dim_Customer!$A$2:$I$121,6,FALSE)</f>
        <v/>
      </c>
      <c r="W1227" s="12">
        <f>VLOOKUP(G1227,Dim_Channel!$A$2:$B$5,2,FALSE)</f>
        <v/>
      </c>
      <c r="X1227" s="12">
        <f>VLOOKUP(H1227,Dim_Promotion!$A$2:$G$11,2,FALSE)</f>
        <v/>
      </c>
    </row>
    <row r="1228">
      <c r="A1228" s="4" t="inlineStr">
        <is>
          <t>SL1227</t>
        </is>
      </c>
      <c r="B1228" t="inlineStr">
        <is>
          <t>O010614</t>
        </is>
      </c>
      <c r="C1228" t="n">
        <v>20251101</v>
      </c>
      <c r="D1228" s="4" t="inlineStr">
        <is>
          <t>C120</t>
        </is>
      </c>
      <c r="E1228" s="4" t="inlineStr">
        <is>
          <t>P047</t>
        </is>
      </c>
      <c r="F1228" t="inlineStr">
        <is>
          <t>XL</t>
        </is>
      </c>
      <c r="G1228" s="4" t="inlineStr">
        <is>
          <t>CH01</t>
        </is>
      </c>
      <c r="H1228" s="4" t="inlineStr">
        <is>
          <t>PR00</t>
        </is>
      </c>
      <c r="I1228" s="8" t="n">
        <v>73</v>
      </c>
      <c r="J1228" s="9" t="n">
        <v>0</v>
      </c>
      <c r="K1228" s="10">
        <f>I1228*(1-J1228)</f>
        <v/>
      </c>
      <c r="L1228" s="11" t="n">
        <v>1</v>
      </c>
      <c r="M1228" s="10">
        <f>K1228*L1228</f>
        <v/>
      </c>
      <c r="N1228" s="8" t="n">
        <v>31.74</v>
      </c>
      <c r="O1228" s="10">
        <f>N1228*L1228</f>
        <v/>
      </c>
      <c r="P1228" s="10">
        <f>M1228-O1228</f>
        <v/>
      </c>
      <c r="Q1228" s="11" t="inlineStr">
        <is>
          <t>No</t>
        </is>
      </c>
      <c r="R1228" s="11" t="n">
        <v>0</v>
      </c>
      <c r="S1228" s="10">
        <f>M1228-(R1228*K1228)</f>
        <v/>
      </c>
      <c r="T1228" s="12">
        <f>VLOOKUP(E1228,Dim_Product!$A$2:$Q$61,3,FALSE)</f>
        <v/>
      </c>
      <c r="U1228" s="12">
        <f>VLOOKUP(E1228,Dim_Product!$A$2:$Q$61,4,FALSE)</f>
        <v/>
      </c>
      <c r="V1228" s="12">
        <f>VLOOKUP(D1228,Dim_Customer!$A$2:$I$121,6,FALSE)</f>
        <v/>
      </c>
      <c r="W1228" s="12">
        <f>VLOOKUP(G1228,Dim_Channel!$A$2:$B$5,2,FALSE)</f>
        <v/>
      </c>
      <c r="X1228" s="12">
        <f>VLOOKUP(H1228,Dim_Promotion!$A$2:$G$11,2,FALSE)</f>
        <v/>
      </c>
    </row>
    <row r="1229">
      <c r="A1229" s="4" t="inlineStr">
        <is>
          <t>SL1228</t>
        </is>
      </c>
      <c r="B1229" t="inlineStr">
        <is>
          <t>O010614</t>
        </is>
      </c>
      <c r="C1229" t="n">
        <v>20250117</v>
      </c>
      <c r="D1229" s="4" t="inlineStr">
        <is>
          <t>C033</t>
        </is>
      </c>
      <c r="E1229" s="4" t="inlineStr">
        <is>
          <t>P027</t>
        </is>
      </c>
      <c r="F1229" t="inlineStr">
        <is>
          <t>M</t>
        </is>
      </c>
      <c r="G1229" s="4" t="inlineStr">
        <is>
          <t>CH02</t>
        </is>
      </c>
      <c r="H1229" s="4" t="inlineStr">
        <is>
          <t>PR00</t>
        </is>
      </c>
      <c r="I1229" s="8" t="n">
        <v>95</v>
      </c>
      <c r="J1229" s="9" t="n">
        <v>0</v>
      </c>
      <c r="K1229" s="10">
        <f>I1229*(1-J1229)</f>
        <v/>
      </c>
      <c r="L1229" s="11" t="n">
        <v>1</v>
      </c>
      <c r="M1229" s="10">
        <f>K1229*L1229</f>
        <v/>
      </c>
      <c r="N1229" s="8" t="n">
        <v>46.73</v>
      </c>
      <c r="O1229" s="10">
        <f>N1229*L1229</f>
        <v/>
      </c>
      <c r="P1229" s="10">
        <f>M1229-O1229</f>
        <v/>
      </c>
      <c r="Q1229" s="11" t="inlineStr">
        <is>
          <t>No</t>
        </is>
      </c>
      <c r="R1229" s="11" t="n">
        <v>0</v>
      </c>
      <c r="S1229" s="10">
        <f>M1229-(R1229*K1229)</f>
        <v/>
      </c>
      <c r="T1229" s="12">
        <f>VLOOKUP(E1229,Dim_Product!$A$2:$Q$61,3,FALSE)</f>
        <v/>
      </c>
      <c r="U1229" s="12">
        <f>VLOOKUP(E1229,Dim_Product!$A$2:$Q$61,4,FALSE)</f>
        <v/>
      </c>
      <c r="V1229" s="12">
        <f>VLOOKUP(D1229,Dim_Customer!$A$2:$I$121,6,FALSE)</f>
        <v/>
      </c>
      <c r="W1229" s="12">
        <f>VLOOKUP(G1229,Dim_Channel!$A$2:$B$5,2,FALSE)</f>
        <v/>
      </c>
      <c r="X1229" s="12">
        <f>VLOOKUP(H1229,Dim_Promotion!$A$2:$G$11,2,FALSE)</f>
        <v/>
      </c>
    </row>
    <row r="1230">
      <c r="A1230" s="4" t="inlineStr">
        <is>
          <t>SL1229</t>
        </is>
      </c>
      <c r="B1230" t="inlineStr">
        <is>
          <t>O010615</t>
        </is>
      </c>
      <c r="C1230" t="n">
        <v>20250609</v>
      </c>
      <c r="D1230" s="4" t="inlineStr">
        <is>
          <t>C066</t>
        </is>
      </c>
      <c r="E1230" s="4" t="inlineStr">
        <is>
          <t>P010</t>
        </is>
      </c>
      <c r="F1230" t="inlineStr">
        <is>
          <t>L</t>
        </is>
      </c>
      <c r="G1230" s="4" t="inlineStr">
        <is>
          <t>CH03</t>
        </is>
      </c>
      <c r="H1230" s="4" t="inlineStr">
        <is>
          <t>PR00</t>
        </is>
      </c>
      <c r="I1230" s="8" t="n">
        <v>48</v>
      </c>
      <c r="J1230" s="9" t="n">
        <v>0</v>
      </c>
      <c r="K1230" s="10">
        <f>I1230*(1-J1230)</f>
        <v/>
      </c>
      <c r="L1230" s="11" t="n">
        <v>2</v>
      </c>
      <c r="M1230" s="10">
        <f>K1230*L1230</f>
        <v/>
      </c>
      <c r="N1230" s="8" t="n">
        <v>20.03</v>
      </c>
      <c r="O1230" s="10">
        <f>N1230*L1230</f>
        <v/>
      </c>
      <c r="P1230" s="10">
        <f>M1230-O1230</f>
        <v/>
      </c>
      <c r="Q1230" s="11" t="inlineStr">
        <is>
          <t>No</t>
        </is>
      </c>
      <c r="R1230" s="11" t="n">
        <v>0</v>
      </c>
      <c r="S1230" s="10">
        <f>M1230-(R1230*K1230)</f>
        <v/>
      </c>
      <c r="T1230" s="12">
        <f>VLOOKUP(E1230,Dim_Product!$A$2:$Q$61,3,FALSE)</f>
        <v/>
      </c>
      <c r="U1230" s="12">
        <f>VLOOKUP(E1230,Dim_Product!$A$2:$Q$61,4,FALSE)</f>
        <v/>
      </c>
      <c r="V1230" s="12">
        <f>VLOOKUP(D1230,Dim_Customer!$A$2:$I$121,6,FALSE)</f>
        <v/>
      </c>
      <c r="W1230" s="12">
        <f>VLOOKUP(G1230,Dim_Channel!$A$2:$B$5,2,FALSE)</f>
        <v/>
      </c>
      <c r="X1230" s="12">
        <f>VLOOKUP(H1230,Dim_Promotion!$A$2:$G$11,2,FALSE)</f>
        <v/>
      </c>
    </row>
    <row r="1231">
      <c r="A1231" s="4" t="inlineStr">
        <is>
          <t>SL1230</t>
        </is>
      </c>
      <c r="B1231" t="inlineStr">
        <is>
          <t>O010615</t>
        </is>
      </c>
      <c r="C1231" t="n">
        <v>20251202</v>
      </c>
      <c r="D1231" s="4" t="inlineStr">
        <is>
          <t>C005</t>
        </is>
      </c>
      <c r="E1231" s="4" t="inlineStr">
        <is>
          <t>P040</t>
        </is>
      </c>
      <c r="F1231" t="inlineStr">
        <is>
          <t>S</t>
        </is>
      </c>
      <c r="G1231" s="4" t="inlineStr">
        <is>
          <t>CH02</t>
        </is>
      </c>
      <c r="H1231" s="4" t="inlineStr">
        <is>
          <t>PR00</t>
        </is>
      </c>
      <c r="I1231" s="8" t="n">
        <v>70</v>
      </c>
      <c r="J1231" s="9" t="n">
        <v>0</v>
      </c>
      <c r="K1231" s="10">
        <f>I1231*(1-J1231)</f>
        <v/>
      </c>
      <c r="L1231" s="11" t="n">
        <v>2</v>
      </c>
      <c r="M1231" s="10">
        <f>K1231*L1231</f>
        <v/>
      </c>
      <c r="N1231" s="8" t="n">
        <v>35.09</v>
      </c>
      <c r="O1231" s="10">
        <f>N1231*L1231</f>
        <v/>
      </c>
      <c r="P1231" s="10">
        <f>M1231-O1231</f>
        <v/>
      </c>
      <c r="Q1231" s="11" t="inlineStr">
        <is>
          <t>No</t>
        </is>
      </c>
      <c r="R1231" s="11" t="n">
        <v>0</v>
      </c>
      <c r="S1231" s="10">
        <f>M1231-(R1231*K1231)</f>
        <v/>
      </c>
      <c r="T1231" s="12">
        <f>VLOOKUP(E1231,Dim_Product!$A$2:$Q$61,3,FALSE)</f>
        <v/>
      </c>
      <c r="U1231" s="12">
        <f>VLOOKUP(E1231,Dim_Product!$A$2:$Q$61,4,FALSE)</f>
        <v/>
      </c>
      <c r="V1231" s="12">
        <f>VLOOKUP(D1231,Dim_Customer!$A$2:$I$121,6,FALSE)</f>
        <v/>
      </c>
      <c r="W1231" s="12">
        <f>VLOOKUP(G1231,Dim_Channel!$A$2:$B$5,2,FALSE)</f>
        <v/>
      </c>
      <c r="X1231" s="12">
        <f>VLOOKUP(H1231,Dim_Promotion!$A$2:$G$11,2,FALSE)</f>
        <v/>
      </c>
    </row>
    <row r="1232">
      <c r="A1232" s="4" t="inlineStr">
        <is>
          <t>SL1231</t>
        </is>
      </c>
      <c r="B1232" t="inlineStr">
        <is>
          <t>O010616</t>
        </is>
      </c>
      <c r="C1232" t="n">
        <v>20250205</v>
      </c>
      <c r="D1232" s="4" t="inlineStr">
        <is>
          <t>C025</t>
        </is>
      </c>
      <c r="E1232" s="4" t="inlineStr">
        <is>
          <t>P009</t>
        </is>
      </c>
      <c r="F1232" t="inlineStr">
        <is>
          <t>M</t>
        </is>
      </c>
      <c r="G1232" s="4" t="inlineStr">
        <is>
          <t>CH03</t>
        </is>
      </c>
      <c r="H1232" s="4" t="inlineStr">
        <is>
          <t>PR00</t>
        </is>
      </c>
      <c r="I1232" s="8" t="n">
        <v>49</v>
      </c>
      <c r="J1232" s="9" t="n">
        <v>0</v>
      </c>
      <c r="K1232" s="10">
        <f>I1232*(1-J1232)</f>
        <v/>
      </c>
      <c r="L1232" s="11" t="n">
        <v>1</v>
      </c>
      <c r="M1232" s="10">
        <f>K1232*L1232</f>
        <v/>
      </c>
      <c r="N1232" s="8" t="n">
        <v>19.33</v>
      </c>
      <c r="O1232" s="10">
        <f>N1232*L1232</f>
        <v/>
      </c>
      <c r="P1232" s="10">
        <f>M1232-O1232</f>
        <v/>
      </c>
      <c r="Q1232" s="11" t="inlineStr">
        <is>
          <t>No</t>
        </is>
      </c>
      <c r="R1232" s="11" t="n">
        <v>0</v>
      </c>
      <c r="S1232" s="10">
        <f>M1232-(R1232*K1232)</f>
        <v/>
      </c>
      <c r="T1232" s="12">
        <f>VLOOKUP(E1232,Dim_Product!$A$2:$Q$61,3,FALSE)</f>
        <v/>
      </c>
      <c r="U1232" s="12">
        <f>VLOOKUP(E1232,Dim_Product!$A$2:$Q$61,4,FALSE)</f>
        <v/>
      </c>
      <c r="V1232" s="12">
        <f>VLOOKUP(D1232,Dim_Customer!$A$2:$I$121,6,FALSE)</f>
        <v/>
      </c>
      <c r="W1232" s="12">
        <f>VLOOKUP(G1232,Dim_Channel!$A$2:$B$5,2,FALSE)</f>
        <v/>
      </c>
      <c r="X1232" s="12">
        <f>VLOOKUP(H1232,Dim_Promotion!$A$2:$G$11,2,FALSE)</f>
        <v/>
      </c>
    </row>
    <row r="1233">
      <c r="A1233" s="4" t="inlineStr">
        <is>
          <t>SL1232</t>
        </is>
      </c>
      <c r="B1233" t="inlineStr">
        <is>
          <t>O010616</t>
        </is>
      </c>
      <c r="C1233" t="n">
        <v>20250215</v>
      </c>
      <c r="D1233" s="4" t="inlineStr">
        <is>
          <t>C116</t>
        </is>
      </c>
      <c r="E1233" s="4" t="inlineStr">
        <is>
          <t>P013</t>
        </is>
      </c>
      <c r="F1233" t="inlineStr">
        <is>
          <t>L</t>
        </is>
      </c>
      <c r="G1233" s="4" t="inlineStr">
        <is>
          <t>CH03</t>
        </is>
      </c>
      <c r="H1233" s="4" t="inlineStr">
        <is>
          <t>PR00</t>
        </is>
      </c>
      <c r="I1233" s="8" t="n">
        <v>58</v>
      </c>
      <c r="J1233" s="9" t="n">
        <v>0</v>
      </c>
      <c r="K1233" s="10">
        <f>I1233*(1-J1233)</f>
        <v/>
      </c>
      <c r="L1233" s="11" t="n">
        <v>1</v>
      </c>
      <c r="M1233" s="10">
        <f>K1233*L1233</f>
        <v/>
      </c>
      <c r="N1233" s="8" t="n">
        <v>26.78</v>
      </c>
      <c r="O1233" s="10">
        <f>N1233*L1233</f>
        <v/>
      </c>
      <c r="P1233" s="10">
        <f>M1233-O1233</f>
        <v/>
      </c>
      <c r="Q1233" s="11" t="inlineStr">
        <is>
          <t>No</t>
        </is>
      </c>
      <c r="R1233" s="11" t="n">
        <v>0</v>
      </c>
      <c r="S1233" s="10">
        <f>M1233-(R1233*K1233)</f>
        <v/>
      </c>
      <c r="T1233" s="12">
        <f>VLOOKUP(E1233,Dim_Product!$A$2:$Q$61,3,FALSE)</f>
        <v/>
      </c>
      <c r="U1233" s="12">
        <f>VLOOKUP(E1233,Dim_Product!$A$2:$Q$61,4,FALSE)</f>
        <v/>
      </c>
      <c r="V1233" s="12">
        <f>VLOOKUP(D1233,Dim_Customer!$A$2:$I$121,6,FALSE)</f>
        <v/>
      </c>
      <c r="W1233" s="12">
        <f>VLOOKUP(G1233,Dim_Channel!$A$2:$B$5,2,FALSE)</f>
        <v/>
      </c>
      <c r="X1233" s="12">
        <f>VLOOKUP(H1233,Dim_Promotion!$A$2:$G$11,2,FALSE)</f>
        <v/>
      </c>
    </row>
    <row r="1234">
      <c r="A1234" s="4" t="inlineStr">
        <is>
          <t>SL1233</t>
        </is>
      </c>
      <c r="B1234" t="inlineStr">
        <is>
          <t>O010617</t>
        </is>
      </c>
      <c r="C1234" t="n">
        <v>20250927</v>
      </c>
      <c r="D1234" s="4" t="inlineStr">
        <is>
          <t>C010</t>
        </is>
      </c>
      <c r="E1234" s="4" t="inlineStr">
        <is>
          <t>P053</t>
        </is>
      </c>
      <c r="F1234" t="inlineStr">
        <is>
          <t>XS</t>
        </is>
      </c>
      <c r="G1234" s="4" t="inlineStr">
        <is>
          <t>CH02</t>
        </is>
      </c>
      <c r="H1234" s="4" t="inlineStr">
        <is>
          <t>PR00</t>
        </is>
      </c>
      <c r="I1234" s="8" t="n">
        <v>72</v>
      </c>
      <c r="J1234" s="9" t="n">
        <v>0</v>
      </c>
      <c r="K1234" s="10">
        <f>I1234*(1-J1234)</f>
        <v/>
      </c>
      <c r="L1234" s="11" t="n">
        <v>1</v>
      </c>
      <c r="M1234" s="10">
        <f>K1234*L1234</f>
        <v/>
      </c>
      <c r="N1234" s="8" t="n">
        <v>34.11</v>
      </c>
      <c r="O1234" s="10">
        <f>N1234*L1234</f>
        <v/>
      </c>
      <c r="P1234" s="10">
        <f>M1234-O1234</f>
        <v/>
      </c>
      <c r="Q1234" s="11" t="inlineStr">
        <is>
          <t>No</t>
        </is>
      </c>
      <c r="R1234" s="11" t="n">
        <v>0</v>
      </c>
      <c r="S1234" s="10">
        <f>M1234-(R1234*K1234)</f>
        <v/>
      </c>
      <c r="T1234" s="12">
        <f>VLOOKUP(E1234,Dim_Product!$A$2:$Q$61,3,FALSE)</f>
        <v/>
      </c>
      <c r="U1234" s="12">
        <f>VLOOKUP(E1234,Dim_Product!$A$2:$Q$61,4,FALSE)</f>
        <v/>
      </c>
      <c r="V1234" s="12">
        <f>VLOOKUP(D1234,Dim_Customer!$A$2:$I$121,6,FALSE)</f>
        <v/>
      </c>
      <c r="W1234" s="12">
        <f>VLOOKUP(G1234,Dim_Channel!$A$2:$B$5,2,FALSE)</f>
        <v/>
      </c>
      <c r="X1234" s="12">
        <f>VLOOKUP(H1234,Dim_Promotion!$A$2:$G$11,2,FALSE)</f>
        <v/>
      </c>
    </row>
    <row r="1235">
      <c r="A1235" s="4" t="inlineStr">
        <is>
          <t>SL1234</t>
        </is>
      </c>
      <c r="B1235" t="inlineStr">
        <is>
          <t>O010617</t>
        </is>
      </c>
      <c r="C1235" t="n">
        <v>20250111</v>
      </c>
      <c r="D1235" s="4" t="inlineStr">
        <is>
          <t>C092</t>
        </is>
      </c>
      <c r="E1235" s="4" t="inlineStr">
        <is>
          <t>P037</t>
        </is>
      </c>
      <c r="F1235" t="inlineStr">
        <is>
          <t>M</t>
        </is>
      </c>
      <c r="G1235" s="4" t="inlineStr">
        <is>
          <t>CH04</t>
        </is>
      </c>
      <c r="H1235" s="4" t="inlineStr">
        <is>
          <t>PR00</t>
        </is>
      </c>
      <c r="I1235" s="8" t="n">
        <v>74</v>
      </c>
      <c r="J1235" s="9" t="n">
        <v>0</v>
      </c>
      <c r="K1235" s="10">
        <f>I1235*(1-J1235)</f>
        <v/>
      </c>
      <c r="L1235" s="11" t="n">
        <v>2</v>
      </c>
      <c r="M1235" s="10">
        <f>K1235*L1235</f>
        <v/>
      </c>
      <c r="N1235" s="8" t="n">
        <v>32.87</v>
      </c>
      <c r="O1235" s="10">
        <f>N1235*L1235</f>
        <v/>
      </c>
      <c r="P1235" s="10">
        <f>M1235-O1235</f>
        <v/>
      </c>
      <c r="Q1235" s="11" t="inlineStr">
        <is>
          <t>No</t>
        </is>
      </c>
      <c r="R1235" s="11" t="n">
        <v>0</v>
      </c>
      <c r="S1235" s="10">
        <f>M1235-(R1235*K1235)</f>
        <v/>
      </c>
      <c r="T1235" s="12">
        <f>VLOOKUP(E1235,Dim_Product!$A$2:$Q$61,3,FALSE)</f>
        <v/>
      </c>
      <c r="U1235" s="12">
        <f>VLOOKUP(E1235,Dim_Product!$A$2:$Q$61,4,FALSE)</f>
        <v/>
      </c>
      <c r="V1235" s="12">
        <f>VLOOKUP(D1235,Dim_Customer!$A$2:$I$121,6,FALSE)</f>
        <v/>
      </c>
      <c r="W1235" s="12">
        <f>VLOOKUP(G1235,Dim_Channel!$A$2:$B$5,2,FALSE)</f>
        <v/>
      </c>
      <c r="X1235" s="12">
        <f>VLOOKUP(H1235,Dim_Promotion!$A$2:$G$11,2,FALSE)</f>
        <v/>
      </c>
    </row>
    <row r="1236">
      <c r="A1236" s="4" t="inlineStr">
        <is>
          <t>SL1235</t>
        </is>
      </c>
      <c r="B1236" t="inlineStr">
        <is>
          <t>O010618</t>
        </is>
      </c>
      <c r="C1236" t="n">
        <v>20250508</v>
      </c>
      <c r="D1236" s="4" t="inlineStr">
        <is>
          <t>C113</t>
        </is>
      </c>
      <c r="E1236" s="4" t="inlineStr">
        <is>
          <t>P017</t>
        </is>
      </c>
      <c r="F1236" t="inlineStr">
        <is>
          <t>L</t>
        </is>
      </c>
      <c r="G1236" s="4" t="inlineStr">
        <is>
          <t>CH03</t>
        </is>
      </c>
      <c r="H1236" s="4" t="inlineStr">
        <is>
          <t>PR00</t>
        </is>
      </c>
      <c r="I1236" s="8" t="n">
        <v>66</v>
      </c>
      <c r="J1236" s="9" t="n">
        <v>0</v>
      </c>
      <c r="K1236" s="10">
        <f>I1236*(1-J1236)</f>
        <v/>
      </c>
      <c r="L1236" s="11" t="n">
        <v>1</v>
      </c>
      <c r="M1236" s="10">
        <f>K1236*L1236</f>
        <v/>
      </c>
      <c r="N1236" s="8" t="n">
        <v>32.73</v>
      </c>
      <c r="O1236" s="10">
        <f>N1236*L1236</f>
        <v/>
      </c>
      <c r="P1236" s="10">
        <f>M1236-O1236</f>
        <v/>
      </c>
      <c r="Q1236" s="11" t="inlineStr">
        <is>
          <t>No</t>
        </is>
      </c>
      <c r="R1236" s="11" t="n">
        <v>0</v>
      </c>
      <c r="S1236" s="10">
        <f>M1236-(R1236*K1236)</f>
        <v/>
      </c>
      <c r="T1236" s="12">
        <f>VLOOKUP(E1236,Dim_Product!$A$2:$Q$61,3,FALSE)</f>
        <v/>
      </c>
      <c r="U1236" s="12">
        <f>VLOOKUP(E1236,Dim_Product!$A$2:$Q$61,4,FALSE)</f>
        <v/>
      </c>
      <c r="V1236" s="12">
        <f>VLOOKUP(D1236,Dim_Customer!$A$2:$I$121,6,FALSE)</f>
        <v/>
      </c>
      <c r="W1236" s="12">
        <f>VLOOKUP(G1236,Dim_Channel!$A$2:$B$5,2,FALSE)</f>
        <v/>
      </c>
      <c r="X1236" s="12">
        <f>VLOOKUP(H1236,Dim_Promotion!$A$2:$G$11,2,FALSE)</f>
        <v/>
      </c>
    </row>
    <row r="1237">
      <c r="A1237" s="4" t="inlineStr">
        <is>
          <t>SL1236</t>
        </is>
      </c>
      <c r="B1237" t="inlineStr">
        <is>
          <t>O010618</t>
        </is>
      </c>
      <c r="C1237" t="n">
        <v>20250710</v>
      </c>
      <c r="D1237" s="4" t="inlineStr">
        <is>
          <t>C066</t>
        </is>
      </c>
      <c r="E1237" s="4" t="inlineStr">
        <is>
          <t>P019</t>
        </is>
      </c>
      <c r="F1237" t="inlineStr">
        <is>
          <t>S</t>
        </is>
      </c>
      <c r="G1237" s="4" t="inlineStr">
        <is>
          <t>CH04</t>
        </is>
      </c>
      <c r="H1237" s="4" t="inlineStr">
        <is>
          <t>PR00</t>
        </is>
      </c>
      <c r="I1237" s="8" t="n">
        <v>65</v>
      </c>
      <c r="J1237" s="9" t="n">
        <v>0</v>
      </c>
      <c r="K1237" s="10">
        <f>I1237*(1-J1237)</f>
        <v/>
      </c>
      <c r="L1237" s="11" t="n">
        <v>1</v>
      </c>
      <c r="M1237" s="10">
        <f>K1237*L1237</f>
        <v/>
      </c>
      <c r="N1237" s="8" t="n">
        <v>32.38</v>
      </c>
      <c r="O1237" s="10">
        <f>N1237*L1237</f>
        <v/>
      </c>
      <c r="P1237" s="10">
        <f>M1237-O1237</f>
        <v/>
      </c>
      <c r="Q1237" s="11" t="inlineStr">
        <is>
          <t>No</t>
        </is>
      </c>
      <c r="R1237" s="11" t="n">
        <v>0</v>
      </c>
      <c r="S1237" s="10">
        <f>M1237-(R1237*K1237)</f>
        <v/>
      </c>
      <c r="T1237" s="12">
        <f>VLOOKUP(E1237,Dim_Product!$A$2:$Q$61,3,FALSE)</f>
        <v/>
      </c>
      <c r="U1237" s="12">
        <f>VLOOKUP(E1237,Dim_Product!$A$2:$Q$61,4,FALSE)</f>
        <v/>
      </c>
      <c r="V1237" s="12">
        <f>VLOOKUP(D1237,Dim_Customer!$A$2:$I$121,6,FALSE)</f>
        <v/>
      </c>
      <c r="W1237" s="12">
        <f>VLOOKUP(G1237,Dim_Channel!$A$2:$B$5,2,FALSE)</f>
        <v/>
      </c>
      <c r="X1237" s="12">
        <f>VLOOKUP(H1237,Dim_Promotion!$A$2:$G$11,2,FALSE)</f>
        <v/>
      </c>
    </row>
    <row r="1238">
      <c r="A1238" s="4" t="inlineStr">
        <is>
          <t>SL1237</t>
        </is>
      </c>
      <c r="B1238" t="inlineStr">
        <is>
          <t>O010619</t>
        </is>
      </c>
      <c r="C1238" t="n">
        <v>20251123</v>
      </c>
      <c r="D1238" s="4" t="inlineStr">
        <is>
          <t>C009</t>
        </is>
      </c>
      <c r="E1238" s="4" t="inlineStr">
        <is>
          <t>P027</t>
        </is>
      </c>
      <c r="F1238" t="inlineStr">
        <is>
          <t>M</t>
        </is>
      </c>
      <c r="G1238" s="4" t="inlineStr">
        <is>
          <t>CH03</t>
        </is>
      </c>
      <c r="H1238" s="4" t="inlineStr">
        <is>
          <t>PR00</t>
        </is>
      </c>
      <c r="I1238" s="8" t="n">
        <v>93</v>
      </c>
      <c r="J1238" s="9" t="n">
        <v>0</v>
      </c>
      <c r="K1238" s="10">
        <f>I1238*(1-J1238)</f>
        <v/>
      </c>
      <c r="L1238" s="11" t="n">
        <v>1</v>
      </c>
      <c r="M1238" s="10">
        <f>K1238*L1238</f>
        <v/>
      </c>
      <c r="N1238" s="8" t="n">
        <v>45.71</v>
      </c>
      <c r="O1238" s="10">
        <f>N1238*L1238</f>
        <v/>
      </c>
      <c r="P1238" s="10">
        <f>M1238-O1238</f>
        <v/>
      </c>
      <c r="Q1238" s="11" t="inlineStr">
        <is>
          <t>No</t>
        </is>
      </c>
      <c r="R1238" s="11" t="n">
        <v>0</v>
      </c>
      <c r="S1238" s="10">
        <f>M1238-(R1238*K1238)</f>
        <v/>
      </c>
      <c r="T1238" s="12">
        <f>VLOOKUP(E1238,Dim_Product!$A$2:$Q$61,3,FALSE)</f>
        <v/>
      </c>
      <c r="U1238" s="12">
        <f>VLOOKUP(E1238,Dim_Product!$A$2:$Q$61,4,FALSE)</f>
        <v/>
      </c>
      <c r="V1238" s="12">
        <f>VLOOKUP(D1238,Dim_Customer!$A$2:$I$121,6,FALSE)</f>
        <v/>
      </c>
      <c r="W1238" s="12">
        <f>VLOOKUP(G1238,Dim_Channel!$A$2:$B$5,2,FALSE)</f>
        <v/>
      </c>
      <c r="X1238" s="12">
        <f>VLOOKUP(H1238,Dim_Promotion!$A$2:$G$11,2,FALSE)</f>
        <v/>
      </c>
    </row>
    <row r="1239">
      <c r="A1239" s="4" t="inlineStr">
        <is>
          <t>SL1238</t>
        </is>
      </c>
      <c r="B1239" t="inlineStr">
        <is>
          <t>O010619</t>
        </is>
      </c>
      <c r="C1239" t="n">
        <v>20250617</v>
      </c>
      <c r="D1239" s="4" t="inlineStr">
        <is>
          <t>C066</t>
        </is>
      </c>
      <c r="E1239" s="4" t="inlineStr">
        <is>
          <t>P039</t>
        </is>
      </c>
      <c r="F1239" t="inlineStr">
        <is>
          <t>M</t>
        </is>
      </c>
      <c r="G1239" s="4" t="inlineStr">
        <is>
          <t>CH03</t>
        </is>
      </c>
      <c r="H1239" s="4" t="inlineStr">
        <is>
          <t>PR00</t>
        </is>
      </c>
      <c r="I1239" s="8" t="n">
        <v>75</v>
      </c>
      <c r="J1239" s="9" t="n">
        <v>0</v>
      </c>
      <c r="K1239" s="10">
        <f>I1239*(1-J1239)</f>
        <v/>
      </c>
      <c r="L1239" s="11" t="n">
        <v>4</v>
      </c>
      <c r="M1239" s="10">
        <f>K1239*L1239</f>
        <v/>
      </c>
      <c r="N1239" s="8" t="n">
        <v>36.42</v>
      </c>
      <c r="O1239" s="10">
        <f>N1239*L1239</f>
        <v/>
      </c>
      <c r="P1239" s="10">
        <f>M1239-O1239</f>
        <v/>
      </c>
      <c r="Q1239" s="11" t="inlineStr">
        <is>
          <t>No</t>
        </is>
      </c>
      <c r="R1239" s="11" t="n">
        <v>0</v>
      </c>
      <c r="S1239" s="10">
        <f>M1239-(R1239*K1239)</f>
        <v/>
      </c>
      <c r="T1239" s="12">
        <f>VLOOKUP(E1239,Dim_Product!$A$2:$Q$61,3,FALSE)</f>
        <v/>
      </c>
      <c r="U1239" s="12">
        <f>VLOOKUP(E1239,Dim_Product!$A$2:$Q$61,4,FALSE)</f>
        <v/>
      </c>
      <c r="V1239" s="12">
        <f>VLOOKUP(D1239,Dim_Customer!$A$2:$I$121,6,FALSE)</f>
        <v/>
      </c>
      <c r="W1239" s="12">
        <f>VLOOKUP(G1239,Dim_Channel!$A$2:$B$5,2,FALSE)</f>
        <v/>
      </c>
      <c r="X1239" s="12">
        <f>VLOOKUP(H1239,Dim_Promotion!$A$2:$G$11,2,FALSE)</f>
        <v/>
      </c>
    </row>
    <row r="1240">
      <c r="A1240" s="4" t="inlineStr">
        <is>
          <t>SL1239</t>
        </is>
      </c>
      <c r="B1240" t="inlineStr">
        <is>
          <t>O010620</t>
        </is>
      </c>
      <c r="C1240" t="n">
        <v>20251125</v>
      </c>
      <c r="D1240" s="4" t="inlineStr">
        <is>
          <t>C089</t>
        </is>
      </c>
      <c r="E1240" s="4" t="inlineStr">
        <is>
          <t>P035</t>
        </is>
      </c>
      <c r="F1240" t="inlineStr">
        <is>
          <t>XXL</t>
        </is>
      </c>
      <c r="G1240" s="4" t="inlineStr">
        <is>
          <t>CH01</t>
        </is>
      </c>
      <c r="H1240" s="4" t="inlineStr">
        <is>
          <t>PR08</t>
        </is>
      </c>
      <c r="I1240" s="8" t="n">
        <v>89</v>
      </c>
      <c r="J1240" s="9" t="n">
        <v>0.25</v>
      </c>
      <c r="K1240" s="10">
        <f>I1240*(1-J1240)</f>
        <v/>
      </c>
      <c r="L1240" s="11" t="n">
        <v>1</v>
      </c>
      <c r="M1240" s="10">
        <f>K1240*L1240</f>
        <v/>
      </c>
      <c r="N1240" s="8" t="n">
        <v>44.31</v>
      </c>
      <c r="O1240" s="10">
        <f>N1240*L1240</f>
        <v/>
      </c>
      <c r="P1240" s="10">
        <f>M1240-O1240</f>
        <v/>
      </c>
      <c r="Q1240" s="11" t="inlineStr">
        <is>
          <t>No</t>
        </is>
      </c>
      <c r="R1240" s="11" t="n">
        <v>0</v>
      </c>
      <c r="S1240" s="10">
        <f>M1240-(R1240*K1240)</f>
        <v/>
      </c>
      <c r="T1240" s="12">
        <f>VLOOKUP(E1240,Dim_Product!$A$2:$Q$61,3,FALSE)</f>
        <v/>
      </c>
      <c r="U1240" s="12">
        <f>VLOOKUP(E1240,Dim_Product!$A$2:$Q$61,4,FALSE)</f>
        <v/>
      </c>
      <c r="V1240" s="12">
        <f>VLOOKUP(D1240,Dim_Customer!$A$2:$I$121,6,FALSE)</f>
        <v/>
      </c>
      <c r="W1240" s="12">
        <f>VLOOKUP(G1240,Dim_Channel!$A$2:$B$5,2,FALSE)</f>
        <v/>
      </c>
      <c r="X1240" s="12">
        <f>VLOOKUP(H1240,Dim_Promotion!$A$2:$G$11,2,FALSE)</f>
        <v/>
      </c>
    </row>
    <row r="1241">
      <c r="A1241" s="4" t="inlineStr">
        <is>
          <t>SL1240</t>
        </is>
      </c>
      <c r="B1241" t="inlineStr">
        <is>
          <t>O010620</t>
        </is>
      </c>
      <c r="C1241" t="n">
        <v>20250408</v>
      </c>
      <c r="D1241" s="4" t="inlineStr">
        <is>
          <t>C005</t>
        </is>
      </c>
      <c r="E1241" s="4" t="inlineStr">
        <is>
          <t>P048</t>
        </is>
      </c>
      <c r="F1241" t="inlineStr">
        <is>
          <t>XL</t>
        </is>
      </c>
      <c r="G1241" s="4" t="inlineStr">
        <is>
          <t>CH02</t>
        </is>
      </c>
      <c r="H1241" s="4" t="inlineStr">
        <is>
          <t>PR00</t>
        </is>
      </c>
      <c r="I1241" s="8" t="n">
        <v>68</v>
      </c>
      <c r="J1241" s="9" t="n">
        <v>0</v>
      </c>
      <c r="K1241" s="10">
        <f>I1241*(1-J1241)</f>
        <v/>
      </c>
      <c r="L1241" s="11" t="n">
        <v>1</v>
      </c>
      <c r="M1241" s="10">
        <f>K1241*L1241</f>
        <v/>
      </c>
      <c r="N1241" s="8" t="n">
        <v>32.6</v>
      </c>
      <c r="O1241" s="10">
        <f>N1241*L1241</f>
        <v/>
      </c>
      <c r="P1241" s="10">
        <f>M1241-O1241</f>
        <v/>
      </c>
      <c r="Q1241" s="11" t="inlineStr">
        <is>
          <t>No</t>
        </is>
      </c>
      <c r="R1241" s="11" t="n">
        <v>0</v>
      </c>
      <c r="S1241" s="10">
        <f>M1241-(R1241*K1241)</f>
        <v/>
      </c>
      <c r="T1241" s="12">
        <f>VLOOKUP(E1241,Dim_Product!$A$2:$Q$61,3,FALSE)</f>
        <v/>
      </c>
      <c r="U1241" s="12">
        <f>VLOOKUP(E1241,Dim_Product!$A$2:$Q$61,4,FALSE)</f>
        <v/>
      </c>
      <c r="V1241" s="12">
        <f>VLOOKUP(D1241,Dim_Customer!$A$2:$I$121,6,FALSE)</f>
        <v/>
      </c>
      <c r="W1241" s="12">
        <f>VLOOKUP(G1241,Dim_Channel!$A$2:$B$5,2,FALSE)</f>
        <v/>
      </c>
      <c r="X1241" s="12">
        <f>VLOOKUP(H1241,Dim_Promotion!$A$2:$G$11,2,FALSE)</f>
        <v/>
      </c>
    </row>
    <row r="1242">
      <c r="A1242" s="4" t="inlineStr">
        <is>
          <t>SL1241</t>
        </is>
      </c>
      <c r="B1242" t="inlineStr">
        <is>
          <t>O010621</t>
        </is>
      </c>
      <c r="C1242" t="n">
        <v>20250808</v>
      </c>
      <c r="D1242" s="4" t="inlineStr">
        <is>
          <t>C076</t>
        </is>
      </c>
      <c r="E1242" s="4" t="inlineStr">
        <is>
          <t>P025</t>
        </is>
      </c>
      <c r="F1242" t="inlineStr">
        <is>
          <t>M</t>
        </is>
      </c>
      <c r="G1242" s="4" t="inlineStr">
        <is>
          <t>CH03</t>
        </is>
      </c>
      <c r="H1242" s="4" t="inlineStr">
        <is>
          <t>PR00</t>
        </is>
      </c>
      <c r="I1242" s="8" t="n">
        <v>93</v>
      </c>
      <c r="J1242" s="9" t="n">
        <v>0</v>
      </c>
      <c r="K1242" s="10">
        <f>I1242*(1-J1242)</f>
        <v/>
      </c>
      <c r="L1242" s="11" t="n">
        <v>4</v>
      </c>
      <c r="M1242" s="10">
        <f>K1242*L1242</f>
        <v/>
      </c>
      <c r="N1242" s="8" t="n">
        <v>45.88</v>
      </c>
      <c r="O1242" s="10">
        <f>N1242*L1242</f>
        <v/>
      </c>
      <c r="P1242" s="10">
        <f>M1242-O1242</f>
        <v/>
      </c>
      <c r="Q1242" s="11" t="inlineStr">
        <is>
          <t>No</t>
        </is>
      </c>
      <c r="R1242" s="11" t="n">
        <v>0</v>
      </c>
      <c r="S1242" s="10">
        <f>M1242-(R1242*K1242)</f>
        <v/>
      </c>
      <c r="T1242" s="12">
        <f>VLOOKUP(E1242,Dim_Product!$A$2:$Q$61,3,FALSE)</f>
        <v/>
      </c>
      <c r="U1242" s="12">
        <f>VLOOKUP(E1242,Dim_Product!$A$2:$Q$61,4,FALSE)</f>
        <v/>
      </c>
      <c r="V1242" s="12">
        <f>VLOOKUP(D1242,Dim_Customer!$A$2:$I$121,6,FALSE)</f>
        <v/>
      </c>
      <c r="W1242" s="12">
        <f>VLOOKUP(G1242,Dim_Channel!$A$2:$B$5,2,FALSE)</f>
        <v/>
      </c>
      <c r="X1242" s="12">
        <f>VLOOKUP(H1242,Dim_Promotion!$A$2:$G$11,2,FALSE)</f>
        <v/>
      </c>
    </row>
    <row r="1243">
      <c r="A1243" s="4" t="inlineStr">
        <is>
          <t>SL1242</t>
        </is>
      </c>
      <c r="B1243" t="inlineStr">
        <is>
          <t>O010621</t>
        </is>
      </c>
      <c r="C1243" t="n">
        <v>20250627</v>
      </c>
      <c r="D1243" s="4" t="inlineStr">
        <is>
          <t>C021</t>
        </is>
      </c>
      <c r="E1243" s="4" t="inlineStr">
        <is>
          <t>P059</t>
        </is>
      </c>
      <c r="F1243" t="inlineStr">
        <is>
          <t>L</t>
        </is>
      </c>
      <c r="G1243" s="4" t="inlineStr">
        <is>
          <t>CH01</t>
        </is>
      </c>
      <c r="H1243" s="4" t="inlineStr">
        <is>
          <t>PR05</t>
        </is>
      </c>
      <c r="I1243" s="8" t="n">
        <v>74</v>
      </c>
      <c r="J1243" s="9" t="n">
        <v>0.2</v>
      </c>
      <c r="K1243" s="10">
        <f>I1243*(1-J1243)</f>
        <v/>
      </c>
      <c r="L1243" s="11" t="n">
        <v>1</v>
      </c>
      <c r="M1243" s="10">
        <f>K1243*L1243</f>
        <v/>
      </c>
      <c r="N1243" s="8" t="n">
        <v>33.57</v>
      </c>
      <c r="O1243" s="10">
        <f>N1243*L1243</f>
        <v/>
      </c>
      <c r="P1243" s="10">
        <f>M1243-O1243</f>
        <v/>
      </c>
      <c r="Q1243" s="11" t="inlineStr">
        <is>
          <t>No</t>
        </is>
      </c>
      <c r="R1243" s="11" t="n">
        <v>0</v>
      </c>
      <c r="S1243" s="10">
        <f>M1243-(R1243*K1243)</f>
        <v/>
      </c>
      <c r="T1243" s="12">
        <f>VLOOKUP(E1243,Dim_Product!$A$2:$Q$61,3,FALSE)</f>
        <v/>
      </c>
      <c r="U1243" s="12">
        <f>VLOOKUP(E1243,Dim_Product!$A$2:$Q$61,4,FALSE)</f>
        <v/>
      </c>
      <c r="V1243" s="12">
        <f>VLOOKUP(D1243,Dim_Customer!$A$2:$I$121,6,FALSE)</f>
        <v/>
      </c>
      <c r="W1243" s="12">
        <f>VLOOKUP(G1243,Dim_Channel!$A$2:$B$5,2,FALSE)</f>
        <v/>
      </c>
      <c r="X1243" s="12">
        <f>VLOOKUP(H1243,Dim_Promotion!$A$2:$G$11,2,FALSE)</f>
        <v/>
      </c>
    </row>
    <row r="1244">
      <c r="A1244" s="4" t="inlineStr">
        <is>
          <t>SL1243</t>
        </is>
      </c>
      <c r="B1244" t="inlineStr">
        <is>
          <t>O010622</t>
        </is>
      </c>
      <c r="C1244" t="n">
        <v>20250108</v>
      </c>
      <c r="D1244" s="4" t="inlineStr">
        <is>
          <t>C023</t>
        </is>
      </c>
      <c r="E1244" s="4" t="inlineStr">
        <is>
          <t>P053</t>
        </is>
      </c>
      <c r="F1244" t="inlineStr">
        <is>
          <t>M</t>
        </is>
      </c>
      <c r="G1244" s="4" t="inlineStr">
        <is>
          <t>CH02</t>
        </is>
      </c>
      <c r="H1244" s="4" t="inlineStr">
        <is>
          <t>PR00</t>
        </is>
      </c>
      <c r="I1244" s="8" t="n">
        <v>72</v>
      </c>
      <c r="J1244" s="9" t="n">
        <v>0</v>
      </c>
      <c r="K1244" s="10">
        <f>I1244*(1-J1244)</f>
        <v/>
      </c>
      <c r="L1244" s="11" t="n">
        <v>1</v>
      </c>
      <c r="M1244" s="10">
        <f>K1244*L1244</f>
        <v/>
      </c>
      <c r="N1244" s="8" t="n">
        <v>33.38</v>
      </c>
      <c r="O1244" s="10">
        <f>N1244*L1244</f>
        <v/>
      </c>
      <c r="P1244" s="10">
        <f>M1244-O1244</f>
        <v/>
      </c>
      <c r="Q1244" s="11" t="inlineStr">
        <is>
          <t>No</t>
        </is>
      </c>
      <c r="R1244" s="11" t="n">
        <v>0</v>
      </c>
      <c r="S1244" s="10">
        <f>M1244-(R1244*K1244)</f>
        <v/>
      </c>
      <c r="T1244" s="12">
        <f>VLOOKUP(E1244,Dim_Product!$A$2:$Q$61,3,FALSE)</f>
        <v/>
      </c>
      <c r="U1244" s="12">
        <f>VLOOKUP(E1244,Dim_Product!$A$2:$Q$61,4,FALSE)</f>
        <v/>
      </c>
      <c r="V1244" s="12">
        <f>VLOOKUP(D1244,Dim_Customer!$A$2:$I$121,6,FALSE)</f>
        <v/>
      </c>
      <c r="W1244" s="12">
        <f>VLOOKUP(G1244,Dim_Channel!$A$2:$B$5,2,FALSE)</f>
        <v/>
      </c>
      <c r="X1244" s="12">
        <f>VLOOKUP(H1244,Dim_Promotion!$A$2:$G$11,2,FALSE)</f>
        <v/>
      </c>
    </row>
    <row r="1245">
      <c r="A1245" s="4" t="inlineStr">
        <is>
          <t>SL1244</t>
        </is>
      </c>
      <c r="B1245" t="inlineStr">
        <is>
          <t>O010622</t>
        </is>
      </c>
      <c r="C1245" t="n">
        <v>20250828</v>
      </c>
      <c r="D1245" s="4" t="inlineStr">
        <is>
          <t>C072</t>
        </is>
      </c>
      <c r="E1245" s="4" t="inlineStr">
        <is>
          <t>P055</t>
        </is>
      </c>
      <c r="F1245" t="inlineStr">
        <is>
          <t>M</t>
        </is>
      </c>
      <c r="G1245" s="4" t="inlineStr">
        <is>
          <t>CH01</t>
        </is>
      </c>
      <c r="H1245" s="4" t="inlineStr">
        <is>
          <t>PR00</t>
        </is>
      </c>
      <c r="I1245" s="8" t="n">
        <v>70</v>
      </c>
      <c r="J1245" s="9" t="n">
        <v>0</v>
      </c>
      <c r="K1245" s="10">
        <f>I1245*(1-J1245)</f>
        <v/>
      </c>
      <c r="L1245" s="11" t="n">
        <v>1</v>
      </c>
      <c r="M1245" s="10">
        <f>K1245*L1245</f>
        <v/>
      </c>
      <c r="N1245" s="8" t="n">
        <v>34.95</v>
      </c>
      <c r="O1245" s="10">
        <f>N1245*L1245</f>
        <v/>
      </c>
      <c r="P1245" s="10">
        <f>M1245-O1245</f>
        <v/>
      </c>
      <c r="Q1245" s="11" t="inlineStr">
        <is>
          <t>No</t>
        </is>
      </c>
      <c r="R1245" s="11" t="n">
        <v>0</v>
      </c>
      <c r="S1245" s="10">
        <f>M1245-(R1245*K1245)</f>
        <v/>
      </c>
      <c r="T1245" s="12">
        <f>VLOOKUP(E1245,Dim_Product!$A$2:$Q$61,3,FALSE)</f>
        <v/>
      </c>
      <c r="U1245" s="12">
        <f>VLOOKUP(E1245,Dim_Product!$A$2:$Q$61,4,FALSE)</f>
        <v/>
      </c>
      <c r="V1245" s="12">
        <f>VLOOKUP(D1245,Dim_Customer!$A$2:$I$121,6,FALSE)</f>
        <v/>
      </c>
      <c r="W1245" s="12">
        <f>VLOOKUP(G1245,Dim_Channel!$A$2:$B$5,2,FALSE)</f>
        <v/>
      </c>
      <c r="X1245" s="12">
        <f>VLOOKUP(H1245,Dim_Promotion!$A$2:$G$11,2,FALSE)</f>
        <v/>
      </c>
    </row>
    <row r="1246">
      <c r="A1246" s="4" t="inlineStr">
        <is>
          <t>SL1245</t>
        </is>
      </c>
      <c r="B1246" t="inlineStr">
        <is>
          <t>O010623</t>
        </is>
      </c>
      <c r="C1246" t="n">
        <v>20251208</v>
      </c>
      <c r="D1246" s="4" t="inlineStr">
        <is>
          <t>C115</t>
        </is>
      </c>
      <c r="E1246" s="4" t="inlineStr">
        <is>
          <t>P032</t>
        </is>
      </c>
      <c r="F1246" t="inlineStr">
        <is>
          <t>M</t>
        </is>
      </c>
      <c r="G1246" s="4" t="inlineStr">
        <is>
          <t>CH02</t>
        </is>
      </c>
      <c r="H1246" s="4" t="inlineStr">
        <is>
          <t>PR00</t>
        </is>
      </c>
      <c r="I1246" s="8" t="n">
        <v>116</v>
      </c>
      <c r="J1246" s="9" t="n">
        <v>0</v>
      </c>
      <c r="K1246" s="10">
        <f>I1246*(1-J1246)</f>
        <v/>
      </c>
      <c r="L1246" s="11" t="n">
        <v>2</v>
      </c>
      <c r="M1246" s="10">
        <f>K1246*L1246</f>
        <v/>
      </c>
      <c r="N1246" s="8" t="n">
        <v>57.52</v>
      </c>
      <c r="O1246" s="10">
        <f>N1246*L1246</f>
        <v/>
      </c>
      <c r="P1246" s="10">
        <f>M1246-O1246</f>
        <v/>
      </c>
      <c r="Q1246" s="11" t="inlineStr">
        <is>
          <t>No</t>
        </is>
      </c>
      <c r="R1246" s="11" t="n">
        <v>0</v>
      </c>
      <c r="S1246" s="10">
        <f>M1246-(R1246*K1246)</f>
        <v/>
      </c>
      <c r="T1246" s="12">
        <f>VLOOKUP(E1246,Dim_Product!$A$2:$Q$61,3,FALSE)</f>
        <v/>
      </c>
      <c r="U1246" s="12">
        <f>VLOOKUP(E1246,Dim_Product!$A$2:$Q$61,4,FALSE)</f>
        <v/>
      </c>
      <c r="V1246" s="12">
        <f>VLOOKUP(D1246,Dim_Customer!$A$2:$I$121,6,FALSE)</f>
        <v/>
      </c>
      <c r="W1246" s="12">
        <f>VLOOKUP(G1246,Dim_Channel!$A$2:$B$5,2,FALSE)</f>
        <v/>
      </c>
      <c r="X1246" s="12">
        <f>VLOOKUP(H1246,Dim_Promotion!$A$2:$G$11,2,FALSE)</f>
        <v/>
      </c>
    </row>
    <row r="1247">
      <c r="A1247" s="4" t="inlineStr">
        <is>
          <t>SL1246</t>
        </is>
      </c>
      <c r="B1247" t="inlineStr">
        <is>
          <t>O010623</t>
        </is>
      </c>
      <c r="C1247" t="n">
        <v>20251125</v>
      </c>
      <c r="D1247" s="4" t="inlineStr">
        <is>
          <t>C110</t>
        </is>
      </c>
      <c r="E1247" s="4" t="inlineStr">
        <is>
          <t>P032</t>
        </is>
      </c>
      <c r="F1247" t="inlineStr">
        <is>
          <t>S</t>
        </is>
      </c>
      <c r="G1247" s="4" t="inlineStr">
        <is>
          <t>CH01</t>
        </is>
      </c>
      <c r="H1247" s="4" t="inlineStr">
        <is>
          <t>PR08</t>
        </is>
      </c>
      <c r="I1247" s="8" t="n">
        <v>114</v>
      </c>
      <c r="J1247" s="9" t="n">
        <v>0.25</v>
      </c>
      <c r="K1247" s="10">
        <f>I1247*(1-J1247)</f>
        <v/>
      </c>
      <c r="L1247" s="11" t="n">
        <v>2</v>
      </c>
      <c r="M1247" s="10">
        <f>K1247*L1247</f>
        <v/>
      </c>
      <c r="N1247" s="8" t="n">
        <v>57.53</v>
      </c>
      <c r="O1247" s="10">
        <f>N1247*L1247</f>
        <v/>
      </c>
      <c r="P1247" s="10">
        <f>M1247-O1247</f>
        <v/>
      </c>
      <c r="Q1247" s="11" t="inlineStr">
        <is>
          <t>Yes</t>
        </is>
      </c>
      <c r="R1247" s="11" t="n">
        <v>1</v>
      </c>
      <c r="S1247" s="10">
        <f>M1247-(R1247*K1247)</f>
        <v/>
      </c>
      <c r="T1247" s="12">
        <f>VLOOKUP(E1247,Dim_Product!$A$2:$Q$61,3,FALSE)</f>
        <v/>
      </c>
      <c r="U1247" s="12">
        <f>VLOOKUP(E1247,Dim_Product!$A$2:$Q$61,4,FALSE)</f>
        <v/>
      </c>
      <c r="V1247" s="12">
        <f>VLOOKUP(D1247,Dim_Customer!$A$2:$I$121,6,FALSE)</f>
        <v/>
      </c>
      <c r="W1247" s="12">
        <f>VLOOKUP(G1247,Dim_Channel!$A$2:$B$5,2,FALSE)</f>
        <v/>
      </c>
      <c r="X1247" s="12">
        <f>VLOOKUP(H1247,Dim_Promotion!$A$2:$G$11,2,FALSE)</f>
        <v/>
      </c>
    </row>
    <row r="1248">
      <c r="A1248" s="4" t="inlineStr">
        <is>
          <t>SL1247</t>
        </is>
      </c>
      <c r="B1248" t="inlineStr">
        <is>
          <t>O010624</t>
        </is>
      </c>
      <c r="C1248" t="n">
        <v>20251001</v>
      </c>
      <c r="D1248" s="4" t="inlineStr">
        <is>
          <t>C059</t>
        </is>
      </c>
      <c r="E1248" s="4" t="inlineStr">
        <is>
          <t>P049</t>
        </is>
      </c>
      <c r="F1248" t="inlineStr">
        <is>
          <t>M</t>
        </is>
      </c>
      <c r="G1248" s="4" t="inlineStr">
        <is>
          <t>CH01</t>
        </is>
      </c>
      <c r="H1248" s="4" t="inlineStr">
        <is>
          <t>PR00</t>
        </is>
      </c>
      <c r="I1248" s="8" t="n">
        <v>72</v>
      </c>
      <c r="J1248" s="9" t="n">
        <v>0</v>
      </c>
      <c r="K1248" s="10">
        <f>I1248*(1-J1248)</f>
        <v/>
      </c>
      <c r="L1248" s="11" t="n">
        <v>1</v>
      </c>
      <c r="M1248" s="10">
        <f>K1248*L1248</f>
        <v/>
      </c>
      <c r="N1248" s="8" t="n">
        <v>29.87</v>
      </c>
      <c r="O1248" s="10">
        <f>N1248*L1248</f>
        <v/>
      </c>
      <c r="P1248" s="10">
        <f>M1248-O1248</f>
        <v/>
      </c>
      <c r="Q1248" s="11" t="inlineStr">
        <is>
          <t>No</t>
        </is>
      </c>
      <c r="R1248" s="11" t="n">
        <v>0</v>
      </c>
      <c r="S1248" s="10">
        <f>M1248-(R1248*K1248)</f>
        <v/>
      </c>
      <c r="T1248" s="12">
        <f>VLOOKUP(E1248,Dim_Product!$A$2:$Q$61,3,FALSE)</f>
        <v/>
      </c>
      <c r="U1248" s="12">
        <f>VLOOKUP(E1248,Dim_Product!$A$2:$Q$61,4,FALSE)</f>
        <v/>
      </c>
      <c r="V1248" s="12">
        <f>VLOOKUP(D1248,Dim_Customer!$A$2:$I$121,6,FALSE)</f>
        <v/>
      </c>
      <c r="W1248" s="12">
        <f>VLOOKUP(G1248,Dim_Channel!$A$2:$B$5,2,FALSE)</f>
        <v/>
      </c>
      <c r="X1248" s="12">
        <f>VLOOKUP(H1248,Dim_Promotion!$A$2:$G$11,2,FALSE)</f>
        <v/>
      </c>
    </row>
    <row r="1249">
      <c r="A1249" s="4" t="inlineStr">
        <is>
          <t>SL1248</t>
        </is>
      </c>
      <c r="B1249" t="inlineStr">
        <is>
          <t>O010624</t>
        </is>
      </c>
      <c r="C1249" t="n">
        <v>20251202</v>
      </c>
      <c r="D1249" s="4" t="inlineStr">
        <is>
          <t>C056</t>
        </is>
      </c>
      <c r="E1249" s="4" t="inlineStr">
        <is>
          <t>P022</t>
        </is>
      </c>
      <c r="F1249" t="inlineStr">
        <is>
          <t>S</t>
        </is>
      </c>
      <c r="G1249" s="4" t="inlineStr">
        <is>
          <t>CH04</t>
        </is>
      </c>
      <c r="H1249" s="4" t="inlineStr">
        <is>
          <t>PR00</t>
        </is>
      </c>
      <c r="I1249" s="8" t="n">
        <v>58</v>
      </c>
      <c r="J1249" s="9" t="n">
        <v>0</v>
      </c>
      <c r="K1249" s="10">
        <f>I1249*(1-J1249)</f>
        <v/>
      </c>
      <c r="L1249" s="11" t="n">
        <v>1</v>
      </c>
      <c r="M1249" s="10">
        <f>K1249*L1249</f>
        <v/>
      </c>
      <c r="N1249" s="8" t="n">
        <v>26.58</v>
      </c>
      <c r="O1249" s="10">
        <f>N1249*L1249</f>
        <v/>
      </c>
      <c r="P1249" s="10">
        <f>M1249-O1249</f>
        <v/>
      </c>
      <c r="Q1249" s="11" t="inlineStr">
        <is>
          <t>No</t>
        </is>
      </c>
      <c r="R1249" s="11" t="n">
        <v>0</v>
      </c>
      <c r="S1249" s="10">
        <f>M1249-(R1249*K1249)</f>
        <v/>
      </c>
      <c r="T1249" s="12">
        <f>VLOOKUP(E1249,Dim_Product!$A$2:$Q$61,3,FALSE)</f>
        <v/>
      </c>
      <c r="U1249" s="12">
        <f>VLOOKUP(E1249,Dim_Product!$A$2:$Q$61,4,FALSE)</f>
        <v/>
      </c>
      <c r="V1249" s="12">
        <f>VLOOKUP(D1249,Dim_Customer!$A$2:$I$121,6,FALSE)</f>
        <v/>
      </c>
      <c r="W1249" s="12">
        <f>VLOOKUP(G1249,Dim_Channel!$A$2:$B$5,2,FALSE)</f>
        <v/>
      </c>
      <c r="X1249" s="12">
        <f>VLOOKUP(H1249,Dim_Promotion!$A$2:$G$11,2,FALSE)</f>
        <v/>
      </c>
    </row>
    <row r="1250">
      <c r="A1250" s="4" t="inlineStr">
        <is>
          <t>SL1249</t>
        </is>
      </c>
      <c r="B1250" t="inlineStr">
        <is>
          <t>O010625</t>
        </is>
      </c>
      <c r="C1250" t="n">
        <v>20251210</v>
      </c>
      <c r="D1250" s="4" t="inlineStr">
        <is>
          <t>C001</t>
        </is>
      </c>
      <c r="E1250" s="4" t="inlineStr">
        <is>
          <t>P055</t>
        </is>
      </c>
      <c r="F1250" t="inlineStr">
        <is>
          <t>L</t>
        </is>
      </c>
      <c r="G1250" s="4" t="inlineStr">
        <is>
          <t>CH03</t>
        </is>
      </c>
      <c r="H1250" s="4" t="inlineStr">
        <is>
          <t>PR00</t>
        </is>
      </c>
      <c r="I1250" s="8" t="n">
        <v>68</v>
      </c>
      <c r="J1250" s="9" t="n">
        <v>0</v>
      </c>
      <c r="K1250" s="10">
        <f>I1250*(1-J1250)</f>
        <v/>
      </c>
      <c r="L1250" s="11" t="n">
        <v>1</v>
      </c>
      <c r="M1250" s="10">
        <f>K1250*L1250</f>
        <v/>
      </c>
      <c r="N1250" s="8" t="n">
        <v>34.47</v>
      </c>
      <c r="O1250" s="10">
        <f>N1250*L1250</f>
        <v/>
      </c>
      <c r="P1250" s="10">
        <f>M1250-O1250</f>
        <v/>
      </c>
      <c r="Q1250" s="11" t="inlineStr">
        <is>
          <t>No</t>
        </is>
      </c>
      <c r="R1250" s="11" t="n">
        <v>0</v>
      </c>
      <c r="S1250" s="10">
        <f>M1250-(R1250*K1250)</f>
        <v/>
      </c>
      <c r="T1250" s="12">
        <f>VLOOKUP(E1250,Dim_Product!$A$2:$Q$61,3,FALSE)</f>
        <v/>
      </c>
      <c r="U1250" s="12">
        <f>VLOOKUP(E1250,Dim_Product!$A$2:$Q$61,4,FALSE)</f>
        <v/>
      </c>
      <c r="V1250" s="12">
        <f>VLOOKUP(D1250,Dim_Customer!$A$2:$I$121,6,FALSE)</f>
        <v/>
      </c>
      <c r="W1250" s="12">
        <f>VLOOKUP(G1250,Dim_Channel!$A$2:$B$5,2,FALSE)</f>
        <v/>
      </c>
      <c r="X1250" s="12">
        <f>VLOOKUP(H1250,Dim_Promotion!$A$2:$G$11,2,FALSE)</f>
        <v/>
      </c>
    </row>
    <row r="1251">
      <c r="A1251" s="4" t="inlineStr">
        <is>
          <t>SL1250</t>
        </is>
      </c>
      <c r="B1251" t="inlineStr">
        <is>
          <t>O010625</t>
        </is>
      </c>
      <c r="C1251" t="n">
        <v>20250607</v>
      </c>
      <c r="D1251" s="4" t="inlineStr">
        <is>
          <t>C038</t>
        </is>
      </c>
      <c r="E1251" s="4" t="inlineStr">
        <is>
          <t>P032</t>
        </is>
      </c>
      <c r="F1251" t="inlineStr">
        <is>
          <t>M</t>
        </is>
      </c>
      <c r="G1251" s="4" t="inlineStr">
        <is>
          <t>CH04</t>
        </is>
      </c>
      <c r="H1251" s="4" t="inlineStr">
        <is>
          <t>PR00</t>
        </is>
      </c>
      <c r="I1251" s="8" t="n">
        <v>115</v>
      </c>
      <c r="J1251" s="9" t="n">
        <v>0</v>
      </c>
      <c r="K1251" s="10">
        <f>I1251*(1-J1251)</f>
        <v/>
      </c>
      <c r="L1251" s="11" t="n">
        <v>2</v>
      </c>
      <c r="M1251" s="10">
        <f>K1251*L1251</f>
        <v/>
      </c>
      <c r="N1251" s="8" t="n">
        <v>56.65</v>
      </c>
      <c r="O1251" s="10">
        <f>N1251*L1251</f>
        <v/>
      </c>
      <c r="P1251" s="10">
        <f>M1251-O1251</f>
        <v/>
      </c>
      <c r="Q1251" s="11" t="inlineStr">
        <is>
          <t>No</t>
        </is>
      </c>
      <c r="R1251" s="11" t="n">
        <v>0</v>
      </c>
      <c r="S1251" s="10">
        <f>M1251-(R1251*K1251)</f>
        <v/>
      </c>
      <c r="T1251" s="12">
        <f>VLOOKUP(E1251,Dim_Product!$A$2:$Q$61,3,FALSE)</f>
        <v/>
      </c>
      <c r="U1251" s="12">
        <f>VLOOKUP(E1251,Dim_Product!$A$2:$Q$61,4,FALSE)</f>
        <v/>
      </c>
      <c r="V1251" s="12">
        <f>VLOOKUP(D1251,Dim_Customer!$A$2:$I$121,6,FALSE)</f>
        <v/>
      </c>
      <c r="W1251" s="12">
        <f>VLOOKUP(G1251,Dim_Channel!$A$2:$B$5,2,FALSE)</f>
        <v/>
      </c>
      <c r="X1251" s="12">
        <f>VLOOKUP(H1251,Dim_Promotion!$A$2:$G$11,2,FALSE)</f>
        <v/>
      </c>
    </row>
    <row r="1252">
      <c r="A1252" s="4" t="inlineStr">
        <is>
          <t>SL1251</t>
        </is>
      </c>
      <c r="B1252" t="inlineStr">
        <is>
          <t>O010626</t>
        </is>
      </c>
      <c r="C1252" t="n">
        <v>20250817</v>
      </c>
      <c r="D1252" s="4" t="inlineStr">
        <is>
          <t>C115</t>
        </is>
      </c>
      <c r="E1252" s="4" t="inlineStr">
        <is>
          <t>P037</t>
        </is>
      </c>
      <c r="F1252" t="inlineStr">
        <is>
          <t>M</t>
        </is>
      </c>
      <c r="G1252" s="4" t="inlineStr">
        <is>
          <t>CH02</t>
        </is>
      </c>
      <c r="H1252" s="4" t="inlineStr">
        <is>
          <t>PR00</t>
        </is>
      </c>
      <c r="I1252" s="8" t="n">
        <v>74</v>
      </c>
      <c r="J1252" s="9" t="n">
        <v>0</v>
      </c>
      <c r="K1252" s="10">
        <f>I1252*(1-J1252)</f>
        <v/>
      </c>
      <c r="L1252" s="11" t="n">
        <v>1</v>
      </c>
      <c r="M1252" s="10">
        <f>K1252*L1252</f>
        <v/>
      </c>
      <c r="N1252" s="8" t="n">
        <v>32.4</v>
      </c>
      <c r="O1252" s="10">
        <f>N1252*L1252</f>
        <v/>
      </c>
      <c r="P1252" s="10">
        <f>M1252-O1252</f>
        <v/>
      </c>
      <c r="Q1252" s="11" t="inlineStr">
        <is>
          <t>No</t>
        </is>
      </c>
      <c r="R1252" s="11" t="n">
        <v>0</v>
      </c>
      <c r="S1252" s="10">
        <f>M1252-(R1252*K1252)</f>
        <v/>
      </c>
      <c r="T1252" s="12">
        <f>VLOOKUP(E1252,Dim_Product!$A$2:$Q$61,3,FALSE)</f>
        <v/>
      </c>
      <c r="U1252" s="12">
        <f>VLOOKUP(E1252,Dim_Product!$A$2:$Q$61,4,FALSE)</f>
        <v/>
      </c>
      <c r="V1252" s="12">
        <f>VLOOKUP(D1252,Dim_Customer!$A$2:$I$121,6,FALSE)</f>
        <v/>
      </c>
      <c r="W1252" s="12">
        <f>VLOOKUP(G1252,Dim_Channel!$A$2:$B$5,2,FALSE)</f>
        <v/>
      </c>
      <c r="X1252" s="12">
        <f>VLOOKUP(H1252,Dim_Promotion!$A$2:$G$11,2,FALSE)</f>
        <v/>
      </c>
    </row>
    <row r="1253">
      <c r="A1253" s="4" t="inlineStr">
        <is>
          <t>SL1252</t>
        </is>
      </c>
      <c r="B1253" t="inlineStr">
        <is>
          <t>O010626</t>
        </is>
      </c>
      <c r="C1253" t="n">
        <v>20250612</v>
      </c>
      <c r="D1253" s="4" t="inlineStr">
        <is>
          <t>C059</t>
        </is>
      </c>
      <c r="E1253" s="4" t="inlineStr">
        <is>
          <t>P053</t>
        </is>
      </c>
      <c r="F1253" t="inlineStr">
        <is>
          <t>M</t>
        </is>
      </c>
      <c r="G1253" s="4" t="inlineStr">
        <is>
          <t>CH01</t>
        </is>
      </c>
      <c r="H1253" s="4" t="inlineStr">
        <is>
          <t>PR00</t>
        </is>
      </c>
      <c r="I1253" s="8" t="n">
        <v>74</v>
      </c>
      <c r="J1253" s="9" t="n">
        <v>0</v>
      </c>
      <c r="K1253" s="10">
        <f>I1253*(1-J1253)</f>
        <v/>
      </c>
      <c r="L1253" s="11" t="n">
        <v>1</v>
      </c>
      <c r="M1253" s="10">
        <f>K1253*L1253</f>
        <v/>
      </c>
      <c r="N1253" s="8" t="n">
        <v>35.29</v>
      </c>
      <c r="O1253" s="10">
        <f>N1253*L1253</f>
        <v/>
      </c>
      <c r="P1253" s="10">
        <f>M1253-O1253</f>
        <v/>
      </c>
      <c r="Q1253" s="11" t="inlineStr">
        <is>
          <t>No</t>
        </is>
      </c>
      <c r="R1253" s="11" t="n">
        <v>0</v>
      </c>
      <c r="S1253" s="10">
        <f>M1253-(R1253*K1253)</f>
        <v/>
      </c>
      <c r="T1253" s="12">
        <f>VLOOKUP(E1253,Dim_Product!$A$2:$Q$61,3,FALSE)</f>
        <v/>
      </c>
      <c r="U1253" s="12">
        <f>VLOOKUP(E1253,Dim_Product!$A$2:$Q$61,4,FALSE)</f>
        <v/>
      </c>
      <c r="V1253" s="12">
        <f>VLOOKUP(D1253,Dim_Customer!$A$2:$I$121,6,FALSE)</f>
        <v/>
      </c>
      <c r="W1253" s="12">
        <f>VLOOKUP(G1253,Dim_Channel!$A$2:$B$5,2,FALSE)</f>
        <v/>
      </c>
      <c r="X1253" s="12">
        <f>VLOOKUP(H1253,Dim_Promotion!$A$2:$G$11,2,FALSE)</f>
        <v/>
      </c>
    </row>
    <row r="1254">
      <c r="A1254" s="4" t="inlineStr">
        <is>
          <t>SL1253</t>
        </is>
      </c>
      <c r="B1254" t="inlineStr">
        <is>
          <t>O010627</t>
        </is>
      </c>
      <c r="C1254" t="n">
        <v>20250828</v>
      </c>
      <c r="D1254" s="4" t="inlineStr">
        <is>
          <t>C024</t>
        </is>
      </c>
      <c r="E1254" s="4" t="inlineStr">
        <is>
          <t>P021</t>
        </is>
      </c>
      <c r="F1254" t="inlineStr">
        <is>
          <t>S</t>
        </is>
      </c>
      <c r="G1254" s="4" t="inlineStr">
        <is>
          <t>CH04</t>
        </is>
      </c>
      <c r="H1254" s="4" t="inlineStr">
        <is>
          <t>PR00</t>
        </is>
      </c>
      <c r="I1254" s="8" t="n">
        <v>56</v>
      </c>
      <c r="J1254" s="9" t="n">
        <v>0</v>
      </c>
      <c r="K1254" s="10">
        <f>I1254*(1-J1254)</f>
        <v/>
      </c>
      <c r="L1254" s="11" t="n">
        <v>1</v>
      </c>
      <c r="M1254" s="10">
        <f>K1254*L1254</f>
        <v/>
      </c>
      <c r="N1254" s="8" t="n">
        <v>27.67</v>
      </c>
      <c r="O1254" s="10">
        <f>N1254*L1254</f>
        <v/>
      </c>
      <c r="P1254" s="10">
        <f>M1254-O1254</f>
        <v/>
      </c>
      <c r="Q1254" s="11" t="inlineStr">
        <is>
          <t>Yes</t>
        </is>
      </c>
      <c r="R1254" s="11" t="n">
        <v>1</v>
      </c>
      <c r="S1254" s="10">
        <f>M1254-(R1254*K1254)</f>
        <v/>
      </c>
      <c r="T1254" s="12">
        <f>VLOOKUP(E1254,Dim_Product!$A$2:$Q$61,3,FALSE)</f>
        <v/>
      </c>
      <c r="U1254" s="12">
        <f>VLOOKUP(E1254,Dim_Product!$A$2:$Q$61,4,FALSE)</f>
        <v/>
      </c>
      <c r="V1254" s="12">
        <f>VLOOKUP(D1254,Dim_Customer!$A$2:$I$121,6,FALSE)</f>
        <v/>
      </c>
      <c r="W1254" s="12">
        <f>VLOOKUP(G1254,Dim_Channel!$A$2:$B$5,2,FALSE)</f>
        <v/>
      </c>
      <c r="X1254" s="12">
        <f>VLOOKUP(H1254,Dim_Promotion!$A$2:$G$11,2,FALSE)</f>
        <v/>
      </c>
    </row>
    <row r="1255">
      <c r="A1255" s="4" t="inlineStr">
        <is>
          <t>SL1254</t>
        </is>
      </c>
      <c r="B1255" t="inlineStr">
        <is>
          <t>O010627</t>
        </is>
      </c>
      <c r="C1255" t="n">
        <v>20250617</v>
      </c>
      <c r="D1255" s="4" t="inlineStr">
        <is>
          <t>C041</t>
        </is>
      </c>
      <c r="E1255" s="4" t="inlineStr">
        <is>
          <t>P058</t>
        </is>
      </c>
      <c r="F1255" t="inlineStr">
        <is>
          <t>L</t>
        </is>
      </c>
      <c r="G1255" s="4" t="inlineStr">
        <is>
          <t>CH01</t>
        </is>
      </c>
      <c r="H1255" s="4" t="inlineStr">
        <is>
          <t>PR00</t>
        </is>
      </c>
      <c r="I1255" s="8" t="n">
        <v>75</v>
      </c>
      <c r="J1255" s="9" t="n">
        <v>0</v>
      </c>
      <c r="K1255" s="10">
        <f>I1255*(1-J1255)</f>
        <v/>
      </c>
      <c r="L1255" s="11" t="n">
        <v>1</v>
      </c>
      <c r="M1255" s="10">
        <f>K1255*L1255</f>
        <v/>
      </c>
      <c r="N1255" s="8" t="n">
        <v>36.58</v>
      </c>
      <c r="O1255" s="10">
        <f>N1255*L1255</f>
        <v/>
      </c>
      <c r="P1255" s="10">
        <f>M1255-O1255</f>
        <v/>
      </c>
      <c r="Q1255" s="11" t="inlineStr">
        <is>
          <t>No</t>
        </is>
      </c>
      <c r="R1255" s="11" t="n">
        <v>0</v>
      </c>
      <c r="S1255" s="10">
        <f>M1255-(R1255*K1255)</f>
        <v/>
      </c>
      <c r="T1255" s="12">
        <f>VLOOKUP(E1255,Dim_Product!$A$2:$Q$61,3,FALSE)</f>
        <v/>
      </c>
      <c r="U1255" s="12">
        <f>VLOOKUP(E1255,Dim_Product!$A$2:$Q$61,4,FALSE)</f>
        <v/>
      </c>
      <c r="V1255" s="12">
        <f>VLOOKUP(D1255,Dim_Customer!$A$2:$I$121,6,FALSE)</f>
        <v/>
      </c>
      <c r="W1255" s="12">
        <f>VLOOKUP(G1255,Dim_Channel!$A$2:$B$5,2,FALSE)</f>
        <v/>
      </c>
      <c r="X1255" s="12">
        <f>VLOOKUP(H1255,Dim_Promotion!$A$2:$G$11,2,FALSE)</f>
        <v/>
      </c>
    </row>
    <row r="1256">
      <c r="A1256" s="4" t="inlineStr">
        <is>
          <t>SL1255</t>
        </is>
      </c>
      <c r="B1256" t="inlineStr">
        <is>
          <t>O010628</t>
        </is>
      </c>
      <c r="C1256" t="n">
        <v>20250222</v>
      </c>
      <c r="D1256" s="4" t="inlineStr">
        <is>
          <t>C103</t>
        </is>
      </c>
      <c r="E1256" s="4" t="inlineStr">
        <is>
          <t>P049</t>
        </is>
      </c>
      <c r="F1256" t="inlineStr">
        <is>
          <t>M</t>
        </is>
      </c>
      <c r="G1256" s="4" t="inlineStr">
        <is>
          <t>CH03</t>
        </is>
      </c>
      <c r="H1256" s="4" t="inlineStr">
        <is>
          <t>PR00</t>
        </is>
      </c>
      <c r="I1256" s="8" t="n">
        <v>70</v>
      </c>
      <c r="J1256" s="9" t="n">
        <v>0</v>
      </c>
      <c r="K1256" s="10">
        <f>I1256*(1-J1256)</f>
        <v/>
      </c>
      <c r="L1256" s="11" t="n">
        <v>1</v>
      </c>
      <c r="M1256" s="10">
        <f>K1256*L1256</f>
        <v/>
      </c>
      <c r="N1256" s="8" t="n">
        <v>28.73</v>
      </c>
      <c r="O1256" s="10">
        <f>N1256*L1256</f>
        <v/>
      </c>
      <c r="P1256" s="10">
        <f>M1256-O1256</f>
        <v/>
      </c>
      <c r="Q1256" s="11" t="inlineStr">
        <is>
          <t>No</t>
        </is>
      </c>
      <c r="R1256" s="11" t="n">
        <v>0</v>
      </c>
      <c r="S1256" s="10">
        <f>M1256-(R1256*K1256)</f>
        <v/>
      </c>
      <c r="T1256" s="12">
        <f>VLOOKUP(E1256,Dim_Product!$A$2:$Q$61,3,FALSE)</f>
        <v/>
      </c>
      <c r="U1256" s="12">
        <f>VLOOKUP(E1256,Dim_Product!$A$2:$Q$61,4,FALSE)</f>
        <v/>
      </c>
      <c r="V1256" s="12">
        <f>VLOOKUP(D1256,Dim_Customer!$A$2:$I$121,6,FALSE)</f>
        <v/>
      </c>
      <c r="W1256" s="12">
        <f>VLOOKUP(G1256,Dim_Channel!$A$2:$B$5,2,FALSE)</f>
        <v/>
      </c>
      <c r="X1256" s="12">
        <f>VLOOKUP(H1256,Dim_Promotion!$A$2:$G$11,2,FALSE)</f>
        <v/>
      </c>
    </row>
    <row r="1257">
      <c r="A1257" s="4" t="inlineStr">
        <is>
          <t>SL1256</t>
        </is>
      </c>
      <c r="B1257" t="inlineStr">
        <is>
          <t>O010628</t>
        </is>
      </c>
      <c r="C1257" t="n">
        <v>20251211</v>
      </c>
      <c r="D1257" s="4" t="inlineStr">
        <is>
          <t>C066</t>
        </is>
      </c>
      <c r="E1257" s="4" t="inlineStr">
        <is>
          <t>P034</t>
        </is>
      </c>
      <c r="F1257" t="inlineStr">
        <is>
          <t>XL</t>
        </is>
      </c>
      <c r="G1257" s="4" t="inlineStr">
        <is>
          <t>CH04</t>
        </is>
      </c>
      <c r="H1257" s="4" t="inlineStr">
        <is>
          <t>PR00</t>
        </is>
      </c>
      <c r="I1257" s="8" t="n">
        <v>90</v>
      </c>
      <c r="J1257" s="9" t="n">
        <v>0</v>
      </c>
      <c r="K1257" s="10">
        <f>I1257*(1-J1257)</f>
        <v/>
      </c>
      <c r="L1257" s="11" t="n">
        <v>2</v>
      </c>
      <c r="M1257" s="10">
        <f>K1257*L1257</f>
        <v/>
      </c>
      <c r="N1257" s="8" t="n">
        <v>45.29</v>
      </c>
      <c r="O1257" s="10">
        <f>N1257*L1257</f>
        <v/>
      </c>
      <c r="P1257" s="10">
        <f>M1257-O1257</f>
        <v/>
      </c>
      <c r="Q1257" s="11" t="inlineStr">
        <is>
          <t>No</t>
        </is>
      </c>
      <c r="R1257" s="11" t="n">
        <v>0</v>
      </c>
      <c r="S1257" s="10">
        <f>M1257-(R1257*K1257)</f>
        <v/>
      </c>
      <c r="T1257" s="12">
        <f>VLOOKUP(E1257,Dim_Product!$A$2:$Q$61,3,FALSE)</f>
        <v/>
      </c>
      <c r="U1257" s="12">
        <f>VLOOKUP(E1257,Dim_Product!$A$2:$Q$61,4,FALSE)</f>
        <v/>
      </c>
      <c r="V1257" s="12">
        <f>VLOOKUP(D1257,Dim_Customer!$A$2:$I$121,6,FALSE)</f>
        <v/>
      </c>
      <c r="W1257" s="12">
        <f>VLOOKUP(G1257,Dim_Channel!$A$2:$B$5,2,FALSE)</f>
        <v/>
      </c>
      <c r="X1257" s="12">
        <f>VLOOKUP(H1257,Dim_Promotion!$A$2:$G$11,2,FALSE)</f>
        <v/>
      </c>
    </row>
    <row r="1258">
      <c r="A1258" s="4" t="inlineStr">
        <is>
          <t>SL1257</t>
        </is>
      </c>
      <c r="B1258" t="inlineStr">
        <is>
          <t>O010629</t>
        </is>
      </c>
      <c r="C1258" t="n">
        <v>20250516</v>
      </c>
      <c r="D1258" s="4" t="inlineStr">
        <is>
          <t>C107</t>
        </is>
      </c>
      <c r="E1258" s="4" t="inlineStr">
        <is>
          <t>P049</t>
        </is>
      </c>
      <c r="F1258" t="inlineStr">
        <is>
          <t>L</t>
        </is>
      </c>
      <c r="G1258" s="4" t="inlineStr">
        <is>
          <t>CH01</t>
        </is>
      </c>
      <c r="H1258" s="4" t="inlineStr">
        <is>
          <t>PR00</t>
        </is>
      </c>
      <c r="I1258" s="8" t="n">
        <v>70</v>
      </c>
      <c r="J1258" s="9" t="n">
        <v>0</v>
      </c>
      <c r="K1258" s="10">
        <f>I1258*(1-J1258)</f>
        <v/>
      </c>
      <c r="L1258" s="11" t="n">
        <v>1</v>
      </c>
      <c r="M1258" s="10">
        <f>K1258*L1258</f>
        <v/>
      </c>
      <c r="N1258" s="8" t="n">
        <v>28.42</v>
      </c>
      <c r="O1258" s="10">
        <f>N1258*L1258</f>
        <v/>
      </c>
      <c r="P1258" s="10">
        <f>M1258-O1258</f>
        <v/>
      </c>
      <c r="Q1258" s="11" t="inlineStr">
        <is>
          <t>No</t>
        </is>
      </c>
      <c r="R1258" s="11" t="n">
        <v>0</v>
      </c>
      <c r="S1258" s="10">
        <f>M1258-(R1258*K1258)</f>
        <v/>
      </c>
      <c r="T1258" s="12">
        <f>VLOOKUP(E1258,Dim_Product!$A$2:$Q$61,3,FALSE)</f>
        <v/>
      </c>
      <c r="U1258" s="12">
        <f>VLOOKUP(E1258,Dim_Product!$A$2:$Q$61,4,FALSE)</f>
        <v/>
      </c>
      <c r="V1258" s="12">
        <f>VLOOKUP(D1258,Dim_Customer!$A$2:$I$121,6,FALSE)</f>
        <v/>
      </c>
      <c r="W1258" s="12">
        <f>VLOOKUP(G1258,Dim_Channel!$A$2:$B$5,2,FALSE)</f>
        <v/>
      </c>
      <c r="X1258" s="12">
        <f>VLOOKUP(H1258,Dim_Promotion!$A$2:$G$11,2,FALSE)</f>
        <v/>
      </c>
    </row>
    <row r="1259">
      <c r="A1259" s="4" t="inlineStr">
        <is>
          <t>SL1258</t>
        </is>
      </c>
      <c r="B1259" t="inlineStr">
        <is>
          <t>O010629</t>
        </is>
      </c>
      <c r="C1259" t="n">
        <v>20251202</v>
      </c>
      <c r="D1259" s="4" t="inlineStr">
        <is>
          <t>C009</t>
        </is>
      </c>
      <c r="E1259" s="4" t="inlineStr">
        <is>
          <t>P037</t>
        </is>
      </c>
      <c r="F1259" t="inlineStr">
        <is>
          <t>M</t>
        </is>
      </c>
      <c r="G1259" s="4" t="inlineStr">
        <is>
          <t>CH02</t>
        </is>
      </c>
      <c r="H1259" s="4" t="inlineStr">
        <is>
          <t>PR00</t>
        </is>
      </c>
      <c r="I1259" s="8" t="n">
        <v>70</v>
      </c>
      <c r="J1259" s="9" t="n">
        <v>0</v>
      </c>
      <c r="K1259" s="10">
        <f>I1259*(1-J1259)</f>
        <v/>
      </c>
      <c r="L1259" s="11" t="n">
        <v>1</v>
      </c>
      <c r="M1259" s="10">
        <f>K1259*L1259</f>
        <v/>
      </c>
      <c r="N1259" s="8" t="n">
        <v>32.76</v>
      </c>
      <c r="O1259" s="10">
        <f>N1259*L1259</f>
        <v/>
      </c>
      <c r="P1259" s="10">
        <f>M1259-O1259</f>
        <v/>
      </c>
      <c r="Q1259" s="11" t="inlineStr">
        <is>
          <t>No</t>
        </is>
      </c>
      <c r="R1259" s="11" t="n">
        <v>0</v>
      </c>
      <c r="S1259" s="10">
        <f>M1259-(R1259*K1259)</f>
        <v/>
      </c>
      <c r="T1259" s="12">
        <f>VLOOKUP(E1259,Dim_Product!$A$2:$Q$61,3,FALSE)</f>
        <v/>
      </c>
      <c r="U1259" s="12">
        <f>VLOOKUP(E1259,Dim_Product!$A$2:$Q$61,4,FALSE)</f>
        <v/>
      </c>
      <c r="V1259" s="12">
        <f>VLOOKUP(D1259,Dim_Customer!$A$2:$I$121,6,FALSE)</f>
        <v/>
      </c>
      <c r="W1259" s="12">
        <f>VLOOKUP(G1259,Dim_Channel!$A$2:$B$5,2,FALSE)</f>
        <v/>
      </c>
      <c r="X1259" s="12">
        <f>VLOOKUP(H1259,Dim_Promotion!$A$2:$G$11,2,FALSE)</f>
        <v/>
      </c>
    </row>
    <row r="1260">
      <c r="A1260" s="4" t="inlineStr">
        <is>
          <t>SL1259</t>
        </is>
      </c>
      <c r="B1260" t="inlineStr">
        <is>
          <t>O010630</t>
        </is>
      </c>
      <c r="C1260" t="n">
        <v>20251116</v>
      </c>
      <c r="D1260" s="4" t="inlineStr">
        <is>
          <t>C023</t>
        </is>
      </c>
      <c r="E1260" s="4" t="inlineStr">
        <is>
          <t>P029</t>
        </is>
      </c>
      <c r="F1260" t="inlineStr">
        <is>
          <t>M</t>
        </is>
      </c>
      <c r="G1260" s="4" t="inlineStr">
        <is>
          <t>CH04</t>
        </is>
      </c>
      <c r="H1260" s="4" t="inlineStr">
        <is>
          <t>PR00</t>
        </is>
      </c>
      <c r="I1260" s="8" t="n">
        <v>108</v>
      </c>
      <c r="J1260" s="9" t="n">
        <v>0</v>
      </c>
      <c r="K1260" s="10">
        <f>I1260*(1-J1260)</f>
        <v/>
      </c>
      <c r="L1260" s="11" t="n">
        <v>1</v>
      </c>
      <c r="M1260" s="10">
        <f>K1260*L1260</f>
        <v/>
      </c>
      <c r="N1260" s="8" t="n">
        <v>56.63</v>
      </c>
      <c r="O1260" s="10">
        <f>N1260*L1260</f>
        <v/>
      </c>
      <c r="P1260" s="10">
        <f>M1260-O1260</f>
        <v/>
      </c>
      <c r="Q1260" s="11" t="inlineStr">
        <is>
          <t>No</t>
        </is>
      </c>
      <c r="R1260" s="11" t="n">
        <v>0</v>
      </c>
      <c r="S1260" s="10">
        <f>M1260-(R1260*K1260)</f>
        <v/>
      </c>
      <c r="T1260" s="12">
        <f>VLOOKUP(E1260,Dim_Product!$A$2:$Q$61,3,FALSE)</f>
        <v/>
      </c>
      <c r="U1260" s="12">
        <f>VLOOKUP(E1260,Dim_Product!$A$2:$Q$61,4,FALSE)</f>
        <v/>
      </c>
      <c r="V1260" s="12">
        <f>VLOOKUP(D1260,Dim_Customer!$A$2:$I$121,6,FALSE)</f>
        <v/>
      </c>
      <c r="W1260" s="12">
        <f>VLOOKUP(G1260,Dim_Channel!$A$2:$B$5,2,FALSE)</f>
        <v/>
      </c>
      <c r="X1260" s="12">
        <f>VLOOKUP(H1260,Dim_Promotion!$A$2:$G$11,2,FALSE)</f>
        <v/>
      </c>
    </row>
    <row r="1261">
      <c r="A1261" s="4" t="inlineStr">
        <is>
          <t>SL1260</t>
        </is>
      </c>
      <c r="B1261" t="inlineStr">
        <is>
          <t>O010630</t>
        </is>
      </c>
      <c r="C1261" t="n">
        <v>20251106</v>
      </c>
      <c r="D1261" s="4" t="inlineStr">
        <is>
          <t>C021</t>
        </is>
      </c>
      <c r="E1261" s="4" t="inlineStr">
        <is>
          <t>P013</t>
        </is>
      </c>
      <c r="F1261" t="inlineStr">
        <is>
          <t>M</t>
        </is>
      </c>
      <c r="G1261" s="4" t="inlineStr">
        <is>
          <t>CH01</t>
        </is>
      </c>
      <c r="H1261" s="4" t="inlineStr">
        <is>
          <t>PR00</t>
        </is>
      </c>
      <c r="I1261" s="8" t="n">
        <v>60</v>
      </c>
      <c r="J1261" s="9" t="n">
        <v>0</v>
      </c>
      <c r="K1261" s="10">
        <f>I1261*(1-J1261)</f>
        <v/>
      </c>
      <c r="L1261" s="11" t="n">
        <v>1</v>
      </c>
      <c r="M1261" s="10">
        <f>K1261*L1261</f>
        <v/>
      </c>
      <c r="N1261" s="8" t="n">
        <v>25.58</v>
      </c>
      <c r="O1261" s="10">
        <f>N1261*L1261</f>
        <v/>
      </c>
      <c r="P1261" s="10">
        <f>M1261-O1261</f>
        <v/>
      </c>
      <c r="Q1261" s="11" t="inlineStr">
        <is>
          <t>No</t>
        </is>
      </c>
      <c r="R1261" s="11" t="n">
        <v>0</v>
      </c>
      <c r="S1261" s="10">
        <f>M1261-(R1261*K1261)</f>
        <v/>
      </c>
      <c r="T1261" s="12">
        <f>VLOOKUP(E1261,Dim_Product!$A$2:$Q$61,3,FALSE)</f>
        <v/>
      </c>
      <c r="U1261" s="12">
        <f>VLOOKUP(E1261,Dim_Product!$A$2:$Q$61,4,FALSE)</f>
        <v/>
      </c>
      <c r="V1261" s="12">
        <f>VLOOKUP(D1261,Dim_Customer!$A$2:$I$121,6,FALSE)</f>
        <v/>
      </c>
      <c r="W1261" s="12">
        <f>VLOOKUP(G1261,Dim_Channel!$A$2:$B$5,2,FALSE)</f>
        <v/>
      </c>
      <c r="X1261" s="12">
        <f>VLOOKUP(H1261,Dim_Promotion!$A$2:$G$11,2,FALSE)</f>
        <v/>
      </c>
    </row>
    <row r="1262">
      <c r="A1262" s="4" t="inlineStr">
        <is>
          <t>SL1261</t>
        </is>
      </c>
      <c r="B1262" t="inlineStr">
        <is>
          <t>O010631</t>
        </is>
      </c>
      <c r="C1262" t="n">
        <v>20251221</v>
      </c>
      <c r="D1262" s="4" t="inlineStr">
        <is>
          <t>C090</t>
        </is>
      </c>
      <c r="E1262" s="4" t="inlineStr">
        <is>
          <t>P044</t>
        </is>
      </c>
      <c r="F1262" t="inlineStr">
        <is>
          <t>XS</t>
        </is>
      </c>
      <c r="G1262" s="4" t="inlineStr">
        <is>
          <t>CH03</t>
        </is>
      </c>
      <c r="H1262" s="4" t="inlineStr">
        <is>
          <t>PR00</t>
        </is>
      </c>
      <c r="I1262" s="8" t="n">
        <v>78</v>
      </c>
      <c r="J1262" s="9" t="n">
        <v>0</v>
      </c>
      <c r="K1262" s="10">
        <f>I1262*(1-J1262)</f>
        <v/>
      </c>
      <c r="L1262" s="11" t="n">
        <v>2</v>
      </c>
      <c r="M1262" s="10">
        <f>K1262*L1262</f>
        <v/>
      </c>
      <c r="N1262" s="8" t="n">
        <v>36.16</v>
      </c>
      <c r="O1262" s="10">
        <f>N1262*L1262</f>
        <v/>
      </c>
      <c r="P1262" s="10">
        <f>M1262-O1262</f>
        <v/>
      </c>
      <c r="Q1262" s="11" t="inlineStr">
        <is>
          <t>No</t>
        </is>
      </c>
      <c r="R1262" s="11" t="n">
        <v>0</v>
      </c>
      <c r="S1262" s="10">
        <f>M1262-(R1262*K1262)</f>
        <v/>
      </c>
      <c r="T1262" s="12">
        <f>VLOOKUP(E1262,Dim_Product!$A$2:$Q$61,3,FALSE)</f>
        <v/>
      </c>
      <c r="U1262" s="12">
        <f>VLOOKUP(E1262,Dim_Product!$A$2:$Q$61,4,FALSE)</f>
        <v/>
      </c>
      <c r="V1262" s="12">
        <f>VLOOKUP(D1262,Dim_Customer!$A$2:$I$121,6,FALSE)</f>
        <v/>
      </c>
      <c r="W1262" s="12">
        <f>VLOOKUP(G1262,Dim_Channel!$A$2:$B$5,2,FALSE)</f>
        <v/>
      </c>
      <c r="X1262" s="12">
        <f>VLOOKUP(H1262,Dim_Promotion!$A$2:$G$11,2,FALSE)</f>
        <v/>
      </c>
    </row>
    <row r="1263">
      <c r="A1263" s="4" t="inlineStr">
        <is>
          <t>SL1262</t>
        </is>
      </c>
      <c r="B1263" t="inlineStr">
        <is>
          <t>O010631</t>
        </is>
      </c>
      <c r="C1263" t="n">
        <v>20251103</v>
      </c>
      <c r="D1263" s="4" t="inlineStr">
        <is>
          <t>C041</t>
        </is>
      </c>
      <c r="E1263" s="4" t="inlineStr">
        <is>
          <t>P010</t>
        </is>
      </c>
      <c r="F1263" t="inlineStr">
        <is>
          <t>XL</t>
        </is>
      </c>
      <c r="G1263" s="4" t="inlineStr">
        <is>
          <t>CH03</t>
        </is>
      </c>
      <c r="H1263" s="4" t="inlineStr">
        <is>
          <t>PR00</t>
        </is>
      </c>
      <c r="I1263" s="8" t="n">
        <v>49</v>
      </c>
      <c r="J1263" s="9" t="n">
        <v>0</v>
      </c>
      <c r="K1263" s="10">
        <f>I1263*(1-J1263)</f>
        <v/>
      </c>
      <c r="L1263" s="11" t="n">
        <v>1</v>
      </c>
      <c r="M1263" s="10">
        <f>K1263*L1263</f>
        <v/>
      </c>
      <c r="N1263" s="8" t="n">
        <v>20.28</v>
      </c>
      <c r="O1263" s="10">
        <f>N1263*L1263</f>
        <v/>
      </c>
      <c r="P1263" s="10">
        <f>M1263-O1263</f>
        <v/>
      </c>
      <c r="Q1263" s="11" t="inlineStr">
        <is>
          <t>No</t>
        </is>
      </c>
      <c r="R1263" s="11" t="n">
        <v>0</v>
      </c>
      <c r="S1263" s="10">
        <f>M1263-(R1263*K1263)</f>
        <v/>
      </c>
      <c r="T1263" s="12">
        <f>VLOOKUP(E1263,Dim_Product!$A$2:$Q$61,3,FALSE)</f>
        <v/>
      </c>
      <c r="U1263" s="12">
        <f>VLOOKUP(E1263,Dim_Product!$A$2:$Q$61,4,FALSE)</f>
        <v/>
      </c>
      <c r="V1263" s="12">
        <f>VLOOKUP(D1263,Dim_Customer!$A$2:$I$121,6,FALSE)</f>
        <v/>
      </c>
      <c r="W1263" s="12">
        <f>VLOOKUP(G1263,Dim_Channel!$A$2:$B$5,2,FALSE)</f>
        <v/>
      </c>
      <c r="X1263" s="12">
        <f>VLOOKUP(H1263,Dim_Promotion!$A$2:$G$11,2,FALSE)</f>
        <v/>
      </c>
    </row>
    <row r="1264">
      <c r="A1264" s="4" t="inlineStr">
        <is>
          <t>SL1263</t>
        </is>
      </c>
      <c r="B1264" t="inlineStr">
        <is>
          <t>O010632</t>
        </is>
      </c>
      <c r="C1264" t="n">
        <v>20250103</v>
      </c>
      <c r="D1264" s="4" t="inlineStr">
        <is>
          <t>C104</t>
        </is>
      </c>
      <c r="E1264" s="4" t="inlineStr">
        <is>
          <t>P024</t>
        </is>
      </c>
      <c r="F1264" t="inlineStr">
        <is>
          <t>S</t>
        </is>
      </c>
      <c r="G1264" s="4" t="inlineStr">
        <is>
          <t>CH04</t>
        </is>
      </c>
      <c r="H1264" s="4" t="inlineStr">
        <is>
          <t>PR00</t>
        </is>
      </c>
      <c r="I1264" s="8" t="n">
        <v>58</v>
      </c>
      <c r="J1264" s="9" t="n">
        <v>0</v>
      </c>
      <c r="K1264" s="10">
        <f>I1264*(1-J1264)</f>
        <v/>
      </c>
      <c r="L1264" s="11" t="n">
        <v>2</v>
      </c>
      <c r="M1264" s="10">
        <f>K1264*L1264</f>
        <v/>
      </c>
      <c r="N1264" s="8" t="n">
        <v>27.39</v>
      </c>
      <c r="O1264" s="10">
        <f>N1264*L1264</f>
        <v/>
      </c>
      <c r="P1264" s="10">
        <f>M1264-O1264</f>
        <v/>
      </c>
      <c r="Q1264" s="11" t="inlineStr">
        <is>
          <t>No</t>
        </is>
      </c>
      <c r="R1264" s="11" t="n">
        <v>0</v>
      </c>
      <c r="S1264" s="10">
        <f>M1264-(R1264*K1264)</f>
        <v/>
      </c>
      <c r="T1264" s="12">
        <f>VLOOKUP(E1264,Dim_Product!$A$2:$Q$61,3,FALSE)</f>
        <v/>
      </c>
      <c r="U1264" s="12">
        <f>VLOOKUP(E1264,Dim_Product!$A$2:$Q$61,4,FALSE)</f>
        <v/>
      </c>
      <c r="V1264" s="12">
        <f>VLOOKUP(D1264,Dim_Customer!$A$2:$I$121,6,FALSE)</f>
        <v/>
      </c>
      <c r="W1264" s="12">
        <f>VLOOKUP(G1264,Dim_Channel!$A$2:$B$5,2,FALSE)</f>
        <v/>
      </c>
      <c r="X1264" s="12">
        <f>VLOOKUP(H1264,Dim_Promotion!$A$2:$G$11,2,FALSE)</f>
        <v/>
      </c>
    </row>
    <row r="1265">
      <c r="A1265" s="4" t="inlineStr">
        <is>
          <t>SL1264</t>
        </is>
      </c>
      <c r="B1265" t="inlineStr">
        <is>
          <t>O010632</t>
        </is>
      </c>
      <c r="C1265" t="n">
        <v>20251023</v>
      </c>
      <c r="D1265" s="4" t="inlineStr">
        <is>
          <t>C038</t>
        </is>
      </c>
      <c r="E1265" s="4" t="inlineStr">
        <is>
          <t>P013</t>
        </is>
      </c>
      <c r="F1265" t="inlineStr">
        <is>
          <t>L</t>
        </is>
      </c>
      <c r="G1265" s="4" t="inlineStr">
        <is>
          <t>CH04</t>
        </is>
      </c>
      <c r="H1265" s="4" t="inlineStr">
        <is>
          <t>PR00</t>
        </is>
      </c>
      <c r="I1265" s="8" t="n">
        <v>60</v>
      </c>
      <c r="J1265" s="9" t="n">
        <v>0</v>
      </c>
      <c r="K1265" s="10">
        <f>I1265*(1-J1265)</f>
        <v/>
      </c>
      <c r="L1265" s="11" t="n">
        <v>2</v>
      </c>
      <c r="M1265" s="10">
        <f>K1265*L1265</f>
        <v/>
      </c>
      <c r="N1265" s="8" t="n">
        <v>26.12</v>
      </c>
      <c r="O1265" s="10">
        <f>N1265*L1265</f>
        <v/>
      </c>
      <c r="P1265" s="10">
        <f>M1265-O1265</f>
        <v/>
      </c>
      <c r="Q1265" s="11" t="inlineStr">
        <is>
          <t>No</t>
        </is>
      </c>
      <c r="R1265" s="11" t="n">
        <v>0</v>
      </c>
      <c r="S1265" s="10">
        <f>M1265-(R1265*K1265)</f>
        <v/>
      </c>
      <c r="T1265" s="12">
        <f>VLOOKUP(E1265,Dim_Product!$A$2:$Q$61,3,FALSE)</f>
        <v/>
      </c>
      <c r="U1265" s="12">
        <f>VLOOKUP(E1265,Dim_Product!$A$2:$Q$61,4,FALSE)</f>
        <v/>
      </c>
      <c r="V1265" s="12">
        <f>VLOOKUP(D1265,Dim_Customer!$A$2:$I$121,6,FALSE)</f>
        <v/>
      </c>
      <c r="W1265" s="12">
        <f>VLOOKUP(G1265,Dim_Channel!$A$2:$B$5,2,FALSE)</f>
        <v/>
      </c>
      <c r="X1265" s="12">
        <f>VLOOKUP(H1265,Dim_Promotion!$A$2:$G$11,2,FALSE)</f>
        <v/>
      </c>
    </row>
    <row r="1266">
      <c r="A1266" s="4" t="inlineStr">
        <is>
          <t>SL1265</t>
        </is>
      </c>
      <c r="B1266" t="inlineStr">
        <is>
          <t>O010633</t>
        </is>
      </c>
      <c r="C1266" t="n">
        <v>20250416</v>
      </c>
      <c r="D1266" s="4" t="inlineStr">
        <is>
          <t>C099</t>
        </is>
      </c>
      <c r="E1266" s="4" t="inlineStr">
        <is>
          <t>P006</t>
        </is>
      </c>
      <c r="F1266" t="inlineStr">
        <is>
          <t>S</t>
        </is>
      </c>
      <c r="G1266" s="4" t="inlineStr">
        <is>
          <t>CH02</t>
        </is>
      </c>
      <c r="H1266" s="4" t="inlineStr">
        <is>
          <t>PR00</t>
        </is>
      </c>
      <c r="I1266" s="8" t="n">
        <v>46</v>
      </c>
      <c r="J1266" s="9" t="n">
        <v>0</v>
      </c>
      <c r="K1266" s="10">
        <f>I1266*(1-J1266)</f>
        <v/>
      </c>
      <c r="L1266" s="11" t="n">
        <v>3</v>
      </c>
      <c r="M1266" s="10">
        <f>K1266*L1266</f>
        <v/>
      </c>
      <c r="N1266" s="8" t="n">
        <v>20.83</v>
      </c>
      <c r="O1266" s="10">
        <f>N1266*L1266</f>
        <v/>
      </c>
      <c r="P1266" s="10">
        <f>M1266-O1266</f>
        <v/>
      </c>
      <c r="Q1266" s="11" t="inlineStr">
        <is>
          <t>No</t>
        </is>
      </c>
      <c r="R1266" s="11" t="n">
        <v>0</v>
      </c>
      <c r="S1266" s="10">
        <f>M1266-(R1266*K1266)</f>
        <v/>
      </c>
      <c r="T1266" s="12">
        <f>VLOOKUP(E1266,Dim_Product!$A$2:$Q$61,3,FALSE)</f>
        <v/>
      </c>
      <c r="U1266" s="12">
        <f>VLOOKUP(E1266,Dim_Product!$A$2:$Q$61,4,FALSE)</f>
        <v/>
      </c>
      <c r="V1266" s="12">
        <f>VLOOKUP(D1266,Dim_Customer!$A$2:$I$121,6,FALSE)</f>
        <v/>
      </c>
      <c r="W1266" s="12">
        <f>VLOOKUP(G1266,Dim_Channel!$A$2:$B$5,2,FALSE)</f>
        <v/>
      </c>
      <c r="X1266" s="12">
        <f>VLOOKUP(H1266,Dim_Promotion!$A$2:$G$11,2,FALSE)</f>
        <v/>
      </c>
    </row>
    <row r="1267">
      <c r="A1267" s="4" t="inlineStr">
        <is>
          <t>SL1266</t>
        </is>
      </c>
      <c r="B1267" t="inlineStr">
        <is>
          <t>O010633</t>
        </is>
      </c>
      <c r="C1267" t="n">
        <v>20250707</v>
      </c>
      <c r="D1267" s="4" t="inlineStr">
        <is>
          <t>C116</t>
        </is>
      </c>
      <c r="E1267" s="4" t="inlineStr">
        <is>
          <t>P045</t>
        </is>
      </c>
      <c r="F1267" t="inlineStr">
        <is>
          <t>XS</t>
        </is>
      </c>
      <c r="G1267" s="4" t="inlineStr">
        <is>
          <t>CH03</t>
        </is>
      </c>
      <c r="H1267" s="4" t="inlineStr">
        <is>
          <t>PR00</t>
        </is>
      </c>
      <c r="I1267" s="8" t="n">
        <v>68</v>
      </c>
      <c r="J1267" s="9" t="n">
        <v>0</v>
      </c>
      <c r="K1267" s="10">
        <f>I1267*(1-J1267)</f>
        <v/>
      </c>
      <c r="L1267" s="11" t="n">
        <v>1</v>
      </c>
      <c r="M1267" s="10">
        <f>K1267*L1267</f>
        <v/>
      </c>
      <c r="N1267" s="8" t="n">
        <v>33.14</v>
      </c>
      <c r="O1267" s="10">
        <f>N1267*L1267</f>
        <v/>
      </c>
      <c r="P1267" s="10">
        <f>M1267-O1267</f>
        <v/>
      </c>
      <c r="Q1267" s="11" t="inlineStr">
        <is>
          <t>No</t>
        </is>
      </c>
      <c r="R1267" s="11" t="n">
        <v>0</v>
      </c>
      <c r="S1267" s="10">
        <f>M1267-(R1267*K1267)</f>
        <v/>
      </c>
      <c r="T1267" s="12">
        <f>VLOOKUP(E1267,Dim_Product!$A$2:$Q$61,3,FALSE)</f>
        <v/>
      </c>
      <c r="U1267" s="12">
        <f>VLOOKUP(E1267,Dim_Product!$A$2:$Q$61,4,FALSE)</f>
        <v/>
      </c>
      <c r="V1267" s="12">
        <f>VLOOKUP(D1267,Dim_Customer!$A$2:$I$121,6,FALSE)</f>
        <v/>
      </c>
      <c r="W1267" s="12">
        <f>VLOOKUP(G1267,Dim_Channel!$A$2:$B$5,2,FALSE)</f>
        <v/>
      </c>
      <c r="X1267" s="12">
        <f>VLOOKUP(H1267,Dim_Promotion!$A$2:$G$11,2,FALSE)</f>
        <v/>
      </c>
    </row>
    <row r="1268">
      <c r="A1268" s="4" t="inlineStr">
        <is>
          <t>SL1267</t>
        </is>
      </c>
      <c r="B1268" t="inlineStr">
        <is>
          <t>O010634</t>
        </is>
      </c>
      <c r="C1268" t="n">
        <v>20250210</v>
      </c>
      <c r="D1268" s="4" t="inlineStr">
        <is>
          <t>C028</t>
        </is>
      </c>
      <c r="E1268" s="4" t="inlineStr">
        <is>
          <t>P058</t>
        </is>
      </c>
      <c r="F1268" t="inlineStr">
        <is>
          <t>L</t>
        </is>
      </c>
      <c r="G1268" s="4" t="inlineStr">
        <is>
          <t>CH01</t>
        </is>
      </c>
      <c r="H1268" s="4" t="inlineStr">
        <is>
          <t>PR00</t>
        </is>
      </c>
      <c r="I1268" s="8" t="n">
        <v>74</v>
      </c>
      <c r="J1268" s="9" t="n">
        <v>0</v>
      </c>
      <c r="K1268" s="10">
        <f>I1268*(1-J1268)</f>
        <v/>
      </c>
      <c r="L1268" s="11" t="n">
        <v>1</v>
      </c>
      <c r="M1268" s="10">
        <f>K1268*L1268</f>
        <v/>
      </c>
      <c r="N1268" s="8" t="n">
        <v>37.26</v>
      </c>
      <c r="O1268" s="10">
        <f>N1268*L1268</f>
        <v/>
      </c>
      <c r="P1268" s="10">
        <f>M1268-O1268</f>
        <v/>
      </c>
      <c r="Q1268" s="11" t="inlineStr">
        <is>
          <t>No</t>
        </is>
      </c>
      <c r="R1268" s="11" t="n">
        <v>0</v>
      </c>
      <c r="S1268" s="10">
        <f>M1268-(R1268*K1268)</f>
        <v/>
      </c>
      <c r="T1268" s="12">
        <f>VLOOKUP(E1268,Dim_Product!$A$2:$Q$61,3,FALSE)</f>
        <v/>
      </c>
      <c r="U1268" s="12">
        <f>VLOOKUP(E1268,Dim_Product!$A$2:$Q$61,4,FALSE)</f>
        <v/>
      </c>
      <c r="V1268" s="12">
        <f>VLOOKUP(D1268,Dim_Customer!$A$2:$I$121,6,FALSE)</f>
        <v/>
      </c>
      <c r="W1268" s="12">
        <f>VLOOKUP(G1268,Dim_Channel!$A$2:$B$5,2,FALSE)</f>
        <v/>
      </c>
      <c r="X1268" s="12">
        <f>VLOOKUP(H1268,Dim_Promotion!$A$2:$G$11,2,FALSE)</f>
        <v/>
      </c>
    </row>
    <row r="1269">
      <c r="A1269" s="4" t="inlineStr">
        <is>
          <t>SL1268</t>
        </is>
      </c>
      <c r="B1269" t="inlineStr">
        <is>
          <t>O010634</t>
        </is>
      </c>
      <c r="C1269" t="n">
        <v>20250128</v>
      </c>
      <c r="D1269" s="4" t="inlineStr">
        <is>
          <t>C035</t>
        </is>
      </c>
      <c r="E1269" s="4" t="inlineStr">
        <is>
          <t>P059</t>
        </is>
      </c>
      <c r="F1269" t="inlineStr">
        <is>
          <t>L</t>
        </is>
      </c>
      <c r="G1269" s="4" t="inlineStr">
        <is>
          <t>CH01</t>
        </is>
      </c>
      <c r="H1269" s="4" t="inlineStr">
        <is>
          <t>PR00</t>
        </is>
      </c>
      <c r="I1269" s="8" t="n">
        <v>74</v>
      </c>
      <c r="J1269" s="9" t="n">
        <v>0</v>
      </c>
      <c r="K1269" s="10">
        <f>I1269*(1-J1269)</f>
        <v/>
      </c>
      <c r="L1269" s="11" t="n">
        <v>2</v>
      </c>
      <c r="M1269" s="10">
        <f>K1269*L1269</f>
        <v/>
      </c>
      <c r="N1269" s="8" t="n">
        <v>35.22</v>
      </c>
      <c r="O1269" s="10">
        <f>N1269*L1269</f>
        <v/>
      </c>
      <c r="P1269" s="10">
        <f>M1269-O1269</f>
        <v/>
      </c>
      <c r="Q1269" s="11" t="inlineStr">
        <is>
          <t>No</t>
        </is>
      </c>
      <c r="R1269" s="11" t="n">
        <v>0</v>
      </c>
      <c r="S1269" s="10">
        <f>M1269-(R1269*K1269)</f>
        <v/>
      </c>
      <c r="T1269" s="12">
        <f>VLOOKUP(E1269,Dim_Product!$A$2:$Q$61,3,FALSE)</f>
        <v/>
      </c>
      <c r="U1269" s="12">
        <f>VLOOKUP(E1269,Dim_Product!$A$2:$Q$61,4,FALSE)</f>
        <v/>
      </c>
      <c r="V1269" s="12">
        <f>VLOOKUP(D1269,Dim_Customer!$A$2:$I$121,6,FALSE)</f>
        <v/>
      </c>
      <c r="W1269" s="12">
        <f>VLOOKUP(G1269,Dim_Channel!$A$2:$B$5,2,FALSE)</f>
        <v/>
      </c>
      <c r="X1269" s="12">
        <f>VLOOKUP(H1269,Dim_Promotion!$A$2:$G$11,2,FALSE)</f>
        <v/>
      </c>
    </row>
    <row r="1270">
      <c r="A1270" s="4" t="inlineStr">
        <is>
          <t>SL1269</t>
        </is>
      </c>
      <c r="B1270" t="inlineStr">
        <is>
          <t>O010635</t>
        </is>
      </c>
      <c r="C1270" t="n">
        <v>20250806</v>
      </c>
      <c r="D1270" s="4" t="inlineStr">
        <is>
          <t>C041</t>
        </is>
      </c>
      <c r="E1270" s="4" t="inlineStr">
        <is>
          <t>P047</t>
        </is>
      </c>
      <c r="F1270" t="inlineStr">
        <is>
          <t>XL</t>
        </is>
      </c>
      <c r="G1270" s="4" t="inlineStr">
        <is>
          <t>CH04</t>
        </is>
      </c>
      <c r="H1270" s="4" t="inlineStr">
        <is>
          <t>PR00</t>
        </is>
      </c>
      <c r="I1270" s="8" t="n">
        <v>72</v>
      </c>
      <c r="J1270" s="9" t="n">
        <v>0</v>
      </c>
      <c r="K1270" s="10">
        <f>I1270*(1-J1270)</f>
        <v/>
      </c>
      <c r="L1270" s="11" t="n">
        <v>1</v>
      </c>
      <c r="M1270" s="10">
        <f>K1270*L1270</f>
        <v/>
      </c>
      <c r="N1270" s="8" t="n">
        <v>31</v>
      </c>
      <c r="O1270" s="10">
        <f>N1270*L1270</f>
        <v/>
      </c>
      <c r="P1270" s="10">
        <f>M1270-O1270</f>
        <v/>
      </c>
      <c r="Q1270" s="11" t="inlineStr">
        <is>
          <t>Yes</t>
        </is>
      </c>
      <c r="R1270" s="11" t="n">
        <v>1</v>
      </c>
      <c r="S1270" s="10">
        <f>M1270-(R1270*K1270)</f>
        <v/>
      </c>
      <c r="T1270" s="12">
        <f>VLOOKUP(E1270,Dim_Product!$A$2:$Q$61,3,FALSE)</f>
        <v/>
      </c>
      <c r="U1270" s="12">
        <f>VLOOKUP(E1270,Dim_Product!$A$2:$Q$61,4,FALSE)</f>
        <v/>
      </c>
      <c r="V1270" s="12">
        <f>VLOOKUP(D1270,Dim_Customer!$A$2:$I$121,6,FALSE)</f>
        <v/>
      </c>
      <c r="W1270" s="12">
        <f>VLOOKUP(G1270,Dim_Channel!$A$2:$B$5,2,FALSE)</f>
        <v/>
      </c>
      <c r="X1270" s="12">
        <f>VLOOKUP(H1270,Dim_Promotion!$A$2:$G$11,2,FALSE)</f>
        <v/>
      </c>
    </row>
    <row r="1271">
      <c r="A1271" s="4" t="inlineStr">
        <is>
          <t>SL1270</t>
        </is>
      </c>
      <c r="B1271" t="inlineStr">
        <is>
          <t>O010635</t>
        </is>
      </c>
      <c r="C1271" t="n">
        <v>20251223</v>
      </c>
      <c r="D1271" s="4" t="inlineStr">
        <is>
          <t>C007</t>
        </is>
      </c>
      <c r="E1271" s="4" t="inlineStr">
        <is>
          <t>P022</t>
        </is>
      </c>
      <c r="F1271" t="inlineStr">
        <is>
          <t>M</t>
        </is>
      </c>
      <c r="G1271" s="4" t="inlineStr">
        <is>
          <t>CH01</t>
        </is>
      </c>
      <c r="H1271" s="4" t="inlineStr">
        <is>
          <t>PR00</t>
        </is>
      </c>
      <c r="I1271" s="8" t="n">
        <v>62</v>
      </c>
      <c r="J1271" s="9" t="n">
        <v>0</v>
      </c>
      <c r="K1271" s="10">
        <f>I1271*(1-J1271)</f>
        <v/>
      </c>
      <c r="L1271" s="11" t="n">
        <v>1</v>
      </c>
      <c r="M1271" s="10">
        <f>K1271*L1271</f>
        <v/>
      </c>
      <c r="N1271" s="8" t="n">
        <v>26.77</v>
      </c>
      <c r="O1271" s="10">
        <f>N1271*L1271</f>
        <v/>
      </c>
      <c r="P1271" s="10">
        <f>M1271-O1271</f>
        <v/>
      </c>
      <c r="Q1271" s="11" t="inlineStr">
        <is>
          <t>No</t>
        </is>
      </c>
      <c r="R1271" s="11" t="n">
        <v>0</v>
      </c>
      <c r="S1271" s="10">
        <f>M1271-(R1271*K1271)</f>
        <v/>
      </c>
      <c r="T1271" s="12">
        <f>VLOOKUP(E1271,Dim_Product!$A$2:$Q$61,3,FALSE)</f>
        <v/>
      </c>
      <c r="U1271" s="12">
        <f>VLOOKUP(E1271,Dim_Product!$A$2:$Q$61,4,FALSE)</f>
        <v/>
      </c>
      <c r="V1271" s="12">
        <f>VLOOKUP(D1271,Dim_Customer!$A$2:$I$121,6,FALSE)</f>
        <v/>
      </c>
      <c r="W1271" s="12">
        <f>VLOOKUP(G1271,Dim_Channel!$A$2:$B$5,2,FALSE)</f>
        <v/>
      </c>
      <c r="X1271" s="12">
        <f>VLOOKUP(H1271,Dim_Promotion!$A$2:$G$11,2,FALSE)</f>
        <v/>
      </c>
    </row>
    <row r="1272">
      <c r="A1272" s="4" t="inlineStr">
        <is>
          <t>SL1271</t>
        </is>
      </c>
      <c r="B1272" t="inlineStr">
        <is>
          <t>O010636</t>
        </is>
      </c>
      <c r="C1272" t="n">
        <v>20250711</v>
      </c>
      <c r="D1272" s="4" t="inlineStr">
        <is>
          <t>C116</t>
        </is>
      </c>
      <c r="E1272" s="4" t="inlineStr">
        <is>
          <t>P045</t>
        </is>
      </c>
      <c r="F1272" t="inlineStr">
        <is>
          <t>M</t>
        </is>
      </c>
      <c r="G1272" s="4" t="inlineStr">
        <is>
          <t>CH03</t>
        </is>
      </c>
      <c r="H1272" s="4" t="inlineStr">
        <is>
          <t>PR00</t>
        </is>
      </c>
      <c r="I1272" s="8" t="n">
        <v>68</v>
      </c>
      <c r="J1272" s="9" t="n">
        <v>0</v>
      </c>
      <c r="K1272" s="10">
        <f>I1272*(1-J1272)</f>
        <v/>
      </c>
      <c r="L1272" s="11" t="n">
        <v>1</v>
      </c>
      <c r="M1272" s="10">
        <f>K1272*L1272</f>
        <v/>
      </c>
      <c r="N1272" s="8" t="n">
        <v>32.8</v>
      </c>
      <c r="O1272" s="10">
        <f>N1272*L1272</f>
        <v/>
      </c>
      <c r="P1272" s="10">
        <f>M1272-O1272</f>
        <v/>
      </c>
      <c r="Q1272" s="11" t="inlineStr">
        <is>
          <t>No</t>
        </is>
      </c>
      <c r="R1272" s="11" t="n">
        <v>0</v>
      </c>
      <c r="S1272" s="10">
        <f>M1272-(R1272*K1272)</f>
        <v/>
      </c>
      <c r="T1272" s="12">
        <f>VLOOKUP(E1272,Dim_Product!$A$2:$Q$61,3,FALSE)</f>
        <v/>
      </c>
      <c r="U1272" s="12">
        <f>VLOOKUP(E1272,Dim_Product!$A$2:$Q$61,4,FALSE)</f>
        <v/>
      </c>
      <c r="V1272" s="12">
        <f>VLOOKUP(D1272,Dim_Customer!$A$2:$I$121,6,FALSE)</f>
        <v/>
      </c>
      <c r="W1272" s="12">
        <f>VLOOKUP(G1272,Dim_Channel!$A$2:$B$5,2,FALSE)</f>
        <v/>
      </c>
      <c r="X1272" s="12">
        <f>VLOOKUP(H1272,Dim_Promotion!$A$2:$G$11,2,FALSE)</f>
        <v/>
      </c>
    </row>
    <row r="1273">
      <c r="A1273" s="4" t="inlineStr">
        <is>
          <t>SL1272</t>
        </is>
      </c>
      <c r="B1273" t="inlineStr">
        <is>
          <t>O010636</t>
        </is>
      </c>
      <c r="C1273" t="n">
        <v>20251215</v>
      </c>
      <c r="D1273" s="4" t="inlineStr">
        <is>
          <t>C100</t>
        </is>
      </c>
      <c r="E1273" s="4" t="inlineStr">
        <is>
          <t>P029</t>
        </is>
      </c>
      <c r="F1273" t="inlineStr">
        <is>
          <t>M</t>
        </is>
      </c>
      <c r="G1273" s="4" t="inlineStr">
        <is>
          <t>CH03</t>
        </is>
      </c>
      <c r="H1273" s="4" t="inlineStr">
        <is>
          <t>PR00</t>
        </is>
      </c>
      <c r="I1273" s="8" t="n">
        <v>110</v>
      </c>
      <c r="J1273" s="9" t="n">
        <v>0</v>
      </c>
      <c r="K1273" s="10">
        <f>I1273*(1-J1273)</f>
        <v/>
      </c>
      <c r="L1273" s="11" t="n">
        <v>1</v>
      </c>
      <c r="M1273" s="10">
        <f>K1273*L1273</f>
        <v/>
      </c>
      <c r="N1273" s="8" t="n">
        <v>56.38</v>
      </c>
      <c r="O1273" s="10">
        <f>N1273*L1273</f>
        <v/>
      </c>
      <c r="P1273" s="10">
        <f>M1273-O1273</f>
        <v/>
      </c>
      <c r="Q1273" s="11" t="inlineStr">
        <is>
          <t>No</t>
        </is>
      </c>
      <c r="R1273" s="11" t="n">
        <v>0</v>
      </c>
      <c r="S1273" s="10">
        <f>M1273-(R1273*K1273)</f>
        <v/>
      </c>
      <c r="T1273" s="12">
        <f>VLOOKUP(E1273,Dim_Product!$A$2:$Q$61,3,FALSE)</f>
        <v/>
      </c>
      <c r="U1273" s="12">
        <f>VLOOKUP(E1273,Dim_Product!$A$2:$Q$61,4,FALSE)</f>
        <v/>
      </c>
      <c r="V1273" s="12">
        <f>VLOOKUP(D1273,Dim_Customer!$A$2:$I$121,6,FALSE)</f>
        <v/>
      </c>
      <c r="W1273" s="12">
        <f>VLOOKUP(G1273,Dim_Channel!$A$2:$B$5,2,FALSE)</f>
        <v/>
      </c>
      <c r="X1273" s="12">
        <f>VLOOKUP(H1273,Dim_Promotion!$A$2:$G$11,2,FALSE)</f>
        <v/>
      </c>
    </row>
    <row r="1274">
      <c r="A1274" s="4" t="inlineStr">
        <is>
          <t>SL1273</t>
        </is>
      </c>
      <c r="B1274" t="inlineStr">
        <is>
          <t>O010637</t>
        </is>
      </c>
      <c r="C1274" t="n">
        <v>20250906</v>
      </c>
      <c r="D1274" s="4" t="inlineStr">
        <is>
          <t>C022</t>
        </is>
      </c>
      <c r="E1274" s="4" t="inlineStr">
        <is>
          <t>P037</t>
        </is>
      </c>
      <c r="F1274" t="inlineStr">
        <is>
          <t>M</t>
        </is>
      </c>
      <c r="G1274" s="4" t="inlineStr">
        <is>
          <t>CH04</t>
        </is>
      </c>
      <c r="H1274" s="4" t="inlineStr">
        <is>
          <t>PR00</t>
        </is>
      </c>
      <c r="I1274" s="8" t="n">
        <v>72</v>
      </c>
      <c r="J1274" s="9" t="n">
        <v>0</v>
      </c>
      <c r="K1274" s="10">
        <f>I1274*(1-J1274)</f>
        <v/>
      </c>
      <c r="L1274" s="11" t="n">
        <v>1</v>
      </c>
      <c r="M1274" s="10">
        <f>K1274*L1274</f>
        <v/>
      </c>
      <c r="N1274" s="8" t="n">
        <v>32.5</v>
      </c>
      <c r="O1274" s="10">
        <f>N1274*L1274</f>
        <v/>
      </c>
      <c r="P1274" s="10">
        <f>M1274-O1274</f>
        <v/>
      </c>
      <c r="Q1274" s="11" t="inlineStr">
        <is>
          <t>No</t>
        </is>
      </c>
      <c r="R1274" s="11" t="n">
        <v>0</v>
      </c>
      <c r="S1274" s="10">
        <f>M1274-(R1274*K1274)</f>
        <v/>
      </c>
      <c r="T1274" s="12">
        <f>VLOOKUP(E1274,Dim_Product!$A$2:$Q$61,3,FALSE)</f>
        <v/>
      </c>
      <c r="U1274" s="12">
        <f>VLOOKUP(E1274,Dim_Product!$A$2:$Q$61,4,FALSE)</f>
        <v/>
      </c>
      <c r="V1274" s="12">
        <f>VLOOKUP(D1274,Dim_Customer!$A$2:$I$121,6,FALSE)</f>
        <v/>
      </c>
      <c r="W1274" s="12">
        <f>VLOOKUP(G1274,Dim_Channel!$A$2:$B$5,2,FALSE)</f>
        <v/>
      </c>
      <c r="X1274" s="12">
        <f>VLOOKUP(H1274,Dim_Promotion!$A$2:$G$11,2,FALSE)</f>
        <v/>
      </c>
    </row>
    <row r="1275">
      <c r="A1275" s="4" t="inlineStr">
        <is>
          <t>SL1274</t>
        </is>
      </c>
      <c r="B1275" t="inlineStr">
        <is>
          <t>O010637</t>
        </is>
      </c>
      <c r="C1275" t="n">
        <v>20250103</v>
      </c>
      <c r="D1275" s="4" t="inlineStr">
        <is>
          <t>C086</t>
        </is>
      </c>
      <c r="E1275" s="4" t="inlineStr">
        <is>
          <t>P007</t>
        </is>
      </c>
      <c r="F1275" t="inlineStr">
        <is>
          <t>M</t>
        </is>
      </c>
      <c r="G1275" s="4" t="inlineStr">
        <is>
          <t>CH03</t>
        </is>
      </c>
      <c r="H1275" s="4" t="inlineStr">
        <is>
          <t>PR00</t>
        </is>
      </c>
      <c r="I1275" s="8" t="n">
        <v>48</v>
      </c>
      <c r="J1275" s="9" t="n">
        <v>0</v>
      </c>
      <c r="K1275" s="10">
        <f>I1275*(1-J1275)</f>
        <v/>
      </c>
      <c r="L1275" s="11" t="n">
        <v>1</v>
      </c>
      <c r="M1275" s="10">
        <f>K1275*L1275</f>
        <v/>
      </c>
      <c r="N1275" s="8" t="n">
        <v>22.7</v>
      </c>
      <c r="O1275" s="10">
        <f>N1275*L1275</f>
        <v/>
      </c>
      <c r="P1275" s="10">
        <f>M1275-O1275</f>
        <v/>
      </c>
      <c r="Q1275" s="11" t="inlineStr">
        <is>
          <t>No</t>
        </is>
      </c>
      <c r="R1275" s="11" t="n">
        <v>0</v>
      </c>
      <c r="S1275" s="10">
        <f>M1275-(R1275*K1275)</f>
        <v/>
      </c>
      <c r="T1275" s="12">
        <f>VLOOKUP(E1275,Dim_Product!$A$2:$Q$61,3,FALSE)</f>
        <v/>
      </c>
      <c r="U1275" s="12">
        <f>VLOOKUP(E1275,Dim_Product!$A$2:$Q$61,4,FALSE)</f>
        <v/>
      </c>
      <c r="V1275" s="12">
        <f>VLOOKUP(D1275,Dim_Customer!$A$2:$I$121,6,FALSE)</f>
        <v/>
      </c>
      <c r="W1275" s="12">
        <f>VLOOKUP(G1275,Dim_Channel!$A$2:$B$5,2,FALSE)</f>
        <v/>
      </c>
      <c r="X1275" s="12">
        <f>VLOOKUP(H1275,Dim_Promotion!$A$2:$G$11,2,FALSE)</f>
        <v/>
      </c>
    </row>
    <row r="1276">
      <c r="A1276" s="4" t="inlineStr">
        <is>
          <t>SL1275</t>
        </is>
      </c>
      <c r="B1276" t="inlineStr">
        <is>
          <t>O010638</t>
        </is>
      </c>
      <c r="C1276" t="n">
        <v>20251002</v>
      </c>
      <c r="D1276" s="4" t="inlineStr">
        <is>
          <t>C011</t>
        </is>
      </c>
      <c r="E1276" s="4" t="inlineStr">
        <is>
          <t>P018</t>
        </is>
      </c>
      <c r="F1276" t="inlineStr">
        <is>
          <t>L</t>
        </is>
      </c>
      <c r="G1276" s="4" t="inlineStr">
        <is>
          <t>CH04</t>
        </is>
      </c>
      <c r="H1276" s="4" t="inlineStr">
        <is>
          <t>PR00</t>
        </is>
      </c>
      <c r="I1276" s="8" t="n">
        <v>66</v>
      </c>
      <c r="J1276" s="9" t="n">
        <v>0</v>
      </c>
      <c r="K1276" s="10">
        <f>I1276*(1-J1276)</f>
        <v/>
      </c>
      <c r="L1276" s="11" t="n">
        <v>1</v>
      </c>
      <c r="M1276" s="10">
        <f>K1276*L1276</f>
        <v/>
      </c>
      <c r="N1276" s="8" t="n">
        <v>31.56</v>
      </c>
      <c r="O1276" s="10">
        <f>N1276*L1276</f>
        <v/>
      </c>
      <c r="P1276" s="10">
        <f>M1276-O1276</f>
        <v/>
      </c>
      <c r="Q1276" s="11" t="inlineStr">
        <is>
          <t>No</t>
        </is>
      </c>
      <c r="R1276" s="11" t="n">
        <v>0</v>
      </c>
      <c r="S1276" s="10">
        <f>M1276-(R1276*K1276)</f>
        <v/>
      </c>
      <c r="T1276" s="12">
        <f>VLOOKUP(E1276,Dim_Product!$A$2:$Q$61,3,FALSE)</f>
        <v/>
      </c>
      <c r="U1276" s="12">
        <f>VLOOKUP(E1276,Dim_Product!$A$2:$Q$61,4,FALSE)</f>
        <v/>
      </c>
      <c r="V1276" s="12">
        <f>VLOOKUP(D1276,Dim_Customer!$A$2:$I$121,6,FALSE)</f>
        <v/>
      </c>
      <c r="W1276" s="12">
        <f>VLOOKUP(G1276,Dim_Channel!$A$2:$B$5,2,FALSE)</f>
        <v/>
      </c>
      <c r="X1276" s="12">
        <f>VLOOKUP(H1276,Dim_Promotion!$A$2:$G$11,2,FALSE)</f>
        <v/>
      </c>
    </row>
    <row r="1277">
      <c r="A1277" s="4" t="inlineStr">
        <is>
          <t>SL1276</t>
        </is>
      </c>
      <c r="B1277" t="inlineStr">
        <is>
          <t>O010638</t>
        </is>
      </c>
      <c r="C1277" t="n">
        <v>20250110</v>
      </c>
      <c r="D1277" s="4" t="inlineStr">
        <is>
          <t>C006</t>
        </is>
      </c>
      <c r="E1277" s="4" t="inlineStr">
        <is>
          <t>P057</t>
        </is>
      </c>
      <c r="F1277" t="inlineStr">
        <is>
          <t>L</t>
        </is>
      </c>
      <c r="G1277" s="4" t="inlineStr">
        <is>
          <t>CH03</t>
        </is>
      </c>
      <c r="H1277" s="4" t="inlineStr">
        <is>
          <t>PR00</t>
        </is>
      </c>
      <c r="I1277" s="8" t="n">
        <v>75</v>
      </c>
      <c r="J1277" s="9" t="n">
        <v>0</v>
      </c>
      <c r="K1277" s="10">
        <f>I1277*(1-J1277)</f>
        <v/>
      </c>
      <c r="L1277" s="11" t="n">
        <v>1</v>
      </c>
      <c r="M1277" s="10">
        <f>K1277*L1277</f>
        <v/>
      </c>
      <c r="N1277" s="8" t="n">
        <v>34.4</v>
      </c>
      <c r="O1277" s="10">
        <f>N1277*L1277</f>
        <v/>
      </c>
      <c r="P1277" s="10">
        <f>M1277-O1277</f>
        <v/>
      </c>
      <c r="Q1277" s="11" t="inlineStr">
        <is>
          <t>No</t>
        </is>
      </c>
      <c r="R1277" s="11" t="n">
        <v>0</v>
      </c>
      <c r="S1277" s="10">
        <f>M1277-(R1277*K1277)</f>
        <v/>
      </c>
      <c r="T1277" s="12">
        <f>VLOOKUP(E1277,Dim_Product!$A$2:$Q$61,3,FALSE)</f>
        <v/>
      </c>
      <c r="U1277" s="12">
        <f>VLOOKUP(E1277,Dim_Product!$A$2:$Q$61,4,FALSE)</f>
        <v/>
      </c>
      <c r="V1277" s="12">
        <f>VLOOKUP(D1277,Dim_Customer!$A$2:$I$121,6,FALSE)</f>
        <v/>
      </c>
      <c r="W1277" s="12">
        <f>VLOOKUP(G1277,Dim_Channel!$A$2:$B$5,2,FALSE)</f>
        <v/>
      </c>
      <c r="X1277" s="12">
        <f>VLOOKUP(H1277,Dim_Promotion!$A$2:$G$11,2,FALSE)</f>
        <v/>
      </c>
    </row>
    <row r="1278">
      <c r="A1278" s="4" t="inlineStr">
        <is>
          <t>SL1277</t>
        </is>
      </c>
      <c r="B1278" t="inlineStr">
        <is>
          <t>O010639</t>
        </is>
      </c>
      <c r="C1278" t="n">
        <v>20251022</v>
      </c>
      <c r="D1278" s="4" t="inlineStr">
        <is>
          <t>C047</t>
        </is>
      </c>
      <c r="E1278" s="4" t="inlineStr">
        <is>
          <t>P016</t>
        </is>
      </c>
      <c r="F1278" t="inlineStr">
        <is>
          <t>M</t>
        </is>
      </c>
      <c r="G1278" s="4" t="inlineStr">
        <is>
          <t>CH02</t>
        </is>
      </c>
      <c r="H1278" s="4" t="inlineStr">
        <is>
          <t>PR00</t>
        </is>
      </c>
      <c r="I1278" s="8" t="n">
        <v>58</v>
      </c>
      <c r="J1278" s="9" t="n">
        <v>0</v>
      </c>
      <c r="K1278" s="10">
        <f>I1278*(1-J1278)</f>
        <v/>
      </c>
      <c r="L1278" s="11" t="n">
        <v>1</v>
      </c>
      <c r="M1278" s="10">
        <f>K1278*L1278</f>
        <v/>
      </c>
      <c r="N1278" s="8" t="n">
        <v>27.4</v>
      </c>
      <c r="O1278" s="10">
        <f>N1278*L1278</f>
        <v/>
      </c>
      <c r="P1278" s="10">
        <f>M1278-O1278</f>
        <v/>
      </c>
      <c r="Q1278" s="11" t="inlineStr">
        <is>
          <t>Yes</t>
        </is>
      </c>
      <c r="R1278" s="11" t="n">
        <v>1</v>
      </c>
      <c r="S1278" s="10">
        <f>M1278-(R1278*K1278)</f>
        <v/>
      </c>
      <c r="T1278" s="12">
        <f>VLOOKUP(E1278,Dim_Product!$A$2:$Q$61,3,FALSE)</f>
        <v/>
      </c>
      <c r="U1278" s="12">
        <f>VLOOKUP(E1278,Dim_Product!$A$2:$Q$61,4,FALSE)</f>
        <v/>
      </c>
      <c r="V1278" s="12">
        <f>VLOOKUP(D1278,Dim_Customer!$A$2:$I$121,6,FALSE)</f>
        <v/>
      </c>
      <c r="W1278" s="12">
        <f>VLOOKUP(G1278,Dim_Channel!$A$2:$B$5,2,FALSE)</f>
        <v/>
      </c>
      <c r="X1278" s="12">
        <f>VLOOKUP(H1278,Dim_Promotion!$A$2:$G$11,2,FALSE)</f>
        <v/>
      </c>
    </row>
    <row r="1279">
      <c r="A1279" s="4" t="inlineStr">
        <is>
          <t>SL1278</t>
        </is>
      </c>
      <c r="B1279" t="inlineStr">
        <is>
          <t>O010639</t>
        </is>
      </c>
      <c r="C1279" t="n">
        <v>20250302</v>
      </c>
      <c r="D1279" s="4" t="inlineStr">
        <is>
          <t>C113</t>
        </is>
      </c>
      <c r="E1279" s="4" t="inlineStr">
        <is>
          <t>P012</t>
        </is>
      </c>
      <c r="F1279" t="inlineStr">
        <is>
          <t>L</t>
        </is>
      </c>
      <c r="G1279" s="4" t="inlineStr">
        <is>
          <t>CH04</t>
        </is>
      </c>
      <c r="H1279" s="4" t="inlineStr">
        <is>
          <t>PR00</t>
        </is>
      </c>
      <c r="I1279" s="8" t="n">
        <v>46</v>
      </c>
      <c r="J1279" s="9" t="n">
        <v>0.08</v>
      </c>
      <c r="K1279" s="10">
        <f>I1279*(1-J1279)</f>
        <v/>
      </c>
      <c r="L1279" s="11" t="n">
        <v>2</v>
      </c>
      <c r="M1279" s="10">
        <f>K1279*L1279</f>
        <v/>
      </c>
      <c r="N1279" s="8" t="n">
        <v>22.82</v>
      </c>
      <c r="O1279" s="10">
        <f>N1279*L1279</f>
        <v/>
      </c>
      <c r="P1279" s="10">
        <f>M1279-O1279</f>
        <v/>
      </c>
      <c r="Q1279" s="11" t="inlineStr">
        <is>
          <t>No</t>
        </is>
      </c>
      <c r="R1279" s="11" t="n">
        <v>0</v>
      </c>
      <c r="S1279" s="10">
        <f>M1279-(R1279*K1279)</f>
        <v/>
      </c>
      <c r="T1279" s="12">
        <f>VLOOKUP(E1279,Dim_Product!$A$2:$Q$61,3,FALSE)</f>
        <v/>
      </c>
      <c r="U1279" s="12">
        <f>VLOOKUP(E1279,Dim_Product!$A$2:$Q$61,4,FALSE)</f>
        <v/>
      </c>
      <c r="V1279" s="12">
        <f>VLOOKUP(D1279,Dim_Customer!$A$2:$I$121,6,FALSE)</f>
        <v/>
      </c>
      <c r="W1279" s="12">
        <f>VLOOKUP(G1279,Dim_Channel!$A$2:$B$5,2,FALSE)</f>
        <v/>
      </c>
      <c r="X1279" s="12">
        <f>VLOOKUP(H1279,Dim_Promotion!$A$2:$G$11,2,FALSE)</f>
        <v/>
      </c>
    </row>
    <row r="1280">
      <c r="A1280" s="4" t="inlineStr">
        <is>
          <t>SL1279</t>
        </is>
      </c>
      <c r="B1280" t="inlineStr">
        <is>
          <t>O010640</t>
        </is>
      </c>
      <c r="C1280" t="n">
        <v>20250520</v>
      </c>
      <c r="D1280" s="4" t="inlineStr">
        <is>
          <t>C079</t>
        </is>
      </c>
      <c r="E1280" s="4" t="inlineStr">
        <is>
          <t>P014</t>
        </is>
      </c>
      <c r="F1280" t="inlineStr">
        <is>
          <t>L</t>
        </is>
      </c>
      <c r="G1280" s="4" t="inlineStr">
        <is>
          <t>CH01</t>
        </is>
      </c>
      <c r="H1280" s="4" t="inlineStr">
        <is>
          <t>PR00</t>
        </is>
      </c>
      <c r="I1280" s="8" t="n">
        <v>61</v>
      </c>
      <c r="J1280" s="9" t="n">
        <v>0.05</v>
      </c>
      <c r="K1280" s="10">
        <f>I1280*(1-J1280)</f>
        <v/>
      </c>
      <c r="L1280" s="11" t="n">
        <v>3</v>
      </c>
      <c r="M1280" s="10">
        <f>K1280*L1280</f>
        <v/>
      </c>
      <c r="N1280" s="8" t="n">
        <v>27.38</v>
      </c>
      <c r="O1280" s="10">
        <f>N1280*L1280</f>
        <v/>
      </c>
      <c r="P1280" s="10">
        <f>M1280-O1280</f>
        <v/>
      </c>
      <c r="Q1280" s="11" t="inlineStr">
        <is>
          <t>No</t>
        </is>
      </c>
      <c r="R1280" s="11" t="n">
        <v>0</v>
      </c>
      <c r="S1280" s="10">
        <f>M1280-(R1280*K1280)</f>
        <v/>
      </c>
      <c r="T1280" s="12">
        <f>VLOOKUP(E1280,Dim_Product!$A$2:$Q$61,3,FALSE)</f>
        <v/>
      </c>
      <c r="U1280" s="12">
        <f>VLOOKUP(E1280,Dim_Product!$A$2:$Q$61,4,FALSE)</f>
        <v/>
      </c>
      <c r="V1280" s="12">
        <f>VLOOKUP(D1280,Dim_Customer!$A$2:$I$121,6,FALSE)</f>
        <v/>
      </c>
      <c r="W1280" s="12">
        <f>VLOOKUP(G1280,Dim_Channel!$A$2:$B$5,2,FALSE)</f>
        <v/>
      </c>
      <c r="X1280" s="12">
        <f>VLOOKUP(H1280,Dim_Promotion!$A$2:$G$11,2,FALSE)</f>
        <v/>
      </c>
    </row>
    <row r="1281">
      <c r="A1281" s="4" t="inlineStr">
        <is>
          <t>SL1280</t>
        </is>
      </c>
      <c r="B1281" t="inlineStr">
        <is>
          <t>O010640</t>
        </is>
      </c>
      <c r="C1281" t="n">
        <v>20250913</v>
      </c>
      <c r="D1281" s="4" t="inlineStr">
        <is>
          <t>C074</t>
        </is>
      </c>
      <c r="E1281" s="4" t="inlineStr">
        <is>
          <t>P048</t>
        </is>
      </c>
      <c r="F1281" t="inlineStr">
        <is>
          <t>M</t>
        </is>
      </c>
      <c r="G1281" s="4" t="inlineStr">
        <is>
          <t>CH03</t>
        </is>
      </c>
      <c r="H1281" s="4" t="inlineStr">
        <is>
          <t>PR00</t>
        </is>
      </c>
      <c r="I1281" s="8" t="n">
        <v>66</v>
      </c>
      <c r="J1281" s="9" t="n">
        <v>0</v>
      </c>
      <c r="K1281" s="10">
        <f>I1281*(1-J1281)</f>
        <v/>
      </c>
      <c r="L1281" s="11" t="n">
        <v>2</v>
      </c>
      <c r="M1281" s="10">
        <f>K1281*L1281</f>
        <v/>
      </c>
      <c r="N1281" s="8" t="n">
        <v>34.11</v>
      </c>
      <c r="O1281" s="10">
        <f>N1281*L1281</f>
        <v/>
      </c>
      <c r="P1281" s="10">
        <f>M1281-O1281</f>
        <v/>
      </c>
      <c r="Q1281" s="11" t="inlineStr">
        <is>
          <t>No</t>
        </is>
      </c>
      <c r="R1281" s="11" t="n">
        <v>0</v>
      </c>
      <c r="S1281" s="10">
        <f>M1281-(R1281*K1281)</f>
        <v/>
      </c>
      <c r="T1281" s="12">
        <f>VLOOKUP(E1281,Dim_Product!$A$2:$Q$61,3,FALSE)</f>
        <v/>
      </c>
      <c r="U1281" s="12">
        <f>VLOOKUP(E1281,Dim_Product!$A$2:$Q$61,4,FALSE)</f>
        <v/>
      </c>
      <c r="V1281" s="12">
        <f>VLOOKUP(D1281,Dim_Customer!$A$2:$I$121,6,FALSE)</f>
        <v/>
      </c>
      <c r="W1281" s="12">
        <f>VLOOKUP(G1281,Dim_Channel!$A$2:$B$5,2,FALSE)</f>
        <v/>
      </c>
      <c r="X1281" s="12">
        <f>VLOOKUP(H1281,Dim_Promotion!$A$2:$G$11,2,FALSE)</f>
        <v/>
      </c>
    </row>
    <row r="1282">
      <c r="A1282" s="4" t="inlineStr">
        <is>
          <t>SL1281</t>
        </is>
      </c>
      <c r="B1282" t="inlineStr">
        <is>
          <t>O010641</t>
        </is>
      </c>
      <c r="C1282" t="n">
        <v>20250723</v>
      </c>
      <c r="D1282" s="4" t="inlineStr">
        <is>
          <t>C088</t>
        </is>
      </c>
      <c r="E1282" s="4" t="inlineStr">
        <is>
          <t>P007</t>
        </is>
      </c>
      <c r="F1282" t="inlineStr">
        <is>
          <t>M</t>
        </is>
      </c>
      <c r="G1282" s="4" t="inlineStr">
        <is>
          <t>CH02</t>
        </is>
      </c>
      <c r="H1282" s="4" t="inlineStr">
        <is>
          <t>PR00</t>
        </is>
      </c>
      <c r="I1282" s="8" t="n">
        <v>50</v>
      </c>
      <c r="J1282" s="9" t="n">
        <v>0</v>
      </c>
      <c r="K1282" s="10">
        <f>I1282*(1-J1282)</f>
        <v/>
      </c>
      <c r="L1282" s="11" t="n">
        <v>1</v>
      </c>
      <c r="M1282" s="10">
        <f>K1282*L1282</f>
        <v/>
      </c>
      <c r="N1282" s="8" t="n">
        <v>22.83</v>
      </c>
      <c r="O1282" s="10">
        <f>N1282*L1282</f>
        <v/>
      </c>
      <c r="P1282" s="10">
        <f>M1282-O1282</f>
        <v/>
      </c>
      <c r="Q1282" s="11" t="inlineStr">
        <is>
          <t>No</t>
        </is>
      </c>
      <c r="R1282" s="11" t="n">
        <v>0</v>
      </c>
      <c r="S1282" s="10">
        <f>M1282-(R1282*K1282)</f>
        <v/>
      </c>
      <c r="T1282" s="12">
        <f>VLOOKUP(E1282,Dim_Product!$A$2:$Q$61,3,FALSE)</f>
        <v/>
      </c>
      <c r="U1282" s="12">
        <f>VLOOKUP(E1282,Dim_Product!$A$2:$Q$61,4,FALSE)</f>
        <v/>
      </c>
      <c r="V1282" s="12">
        <f>VLOOKUP(D1282,Dim_Customer!$A$2:$I$121,6,FALSE)</f>
        <v/>
      </c>
      <c r="W1282" s="12">
        <f>VLOOKUP(G1282,Dim_Channel!$A$2:$B$5,2,FALSE)</f>
        <v/>
      </c>
      <c r="X1282" s="12">
        <f>VLOOKUP(H1282,Dim_Promotion!$A$2:$G$11,2,FALSE)</f>
        <v/>
      </c>
    </row>
    <row r="1283">
      <c r="A1283" s="4" t="inlineStr">
        <is>
          <t>SL1282</t>
        </is>
      </c>
      <c r="B1283" t="inlineStr">
        <is>
          <t>O010641</t>
        </is>
      </c>
      <c r="C1283" t="n">
        <v>20250401</v>
      </c>
      <c r="D1283" s="4" t="inlineStr">
        <is>
          <t>C051</t>
        </is>
      </c>
      <c r="E1283" s="4" t="inlineStr">
        <is>
          <t>P028</t>
        </is>
      </c>
      <c r="F1283" t="inlineStr">
        <is>
          <t>XL</t>
        </is>
      </c>
      <c r="G1283" s="4" t="inlineStr">
        <is>
          <t>CH01</t>
        </is>
      </c>
      <c r="H1283" s="4" t="inlineStr">
        <is>
          <t>PR00</t>
        </is>
      </c>
      <c r="I1283" s="8" t="n">
        <v>97</v>
      </c>
      <c r="J1283" s="9" t="n">
        <v>0</v>
      </c>
      <c r="K1283" s="10">
        <f>I1283*(1-J1283)</f>
        <v/>
      </c>
      <c r="L1283" s="11" t="n">
        <v>2</v>
      </c>
      <c r="M1283" s="10">
        <f>K1283*L1283</f>
        <v/>
      </c>
      <c r="N1283" s="8" t="n">
        <v>47.25</v>
      </c>
      <c r="O1283" s="10">
        <f>N1283*L1283</f>
        <v/>
      </c>
      <c r="P1283" s="10">
        <f>M1283-O1283</f>
        <v/>
      </c>
      <c r="Q1283" s="11" t="inlineStr">
        <is>
          <t>No</t>
        </is>
      </c>
      <c r="R1283" s="11" t="n">
        <v>0</v>
      </c>
      <c r="S1283" s="10">
        <f>M1283-(R1283*K1283)</f>
        <v/>
      </c>
      <c r="T1283" s="12">
        <f>VLOOKUP(E1283,Dim_Product!$A$2:$Q$61,3,FALSE)</f>
        <v/>
      </c>
      <c r="U1283" s="12">
        <f>VLOOKUP(E1283,Dim_Product!$A$2:$Q$61,4,FALSE)</f>
        <v/>
      </c>
      <c r="V1283" s="12">
        <f>VLOOKUP(D1283,Dim_Customer!$A$2:$I$121,6,FALSE)</f>
        <v/>
      </c>
      <c r="W1283" s="12">
        <f>VLOOKUP(G1283,Dim_Channel!$A$2:$B$5,2,FALSE)</f>
        <v/>
      </c>
      <c r="X1283" s="12">
        <f>VLOOKUP(H1283,Dim_Promotion!$A$2:$G$11,2,FALSE)</f>
        <v/>
      </c>
    </row>
    <row r="1284">
      <c r="A1284" s="4" t="inlineStr">
        <is>
          <t>SL1283</t>
        </is>
      </c>
      <c r="B1284" t="inlineStr">
        <is>
          <t>O010642</t>
        </is>
      </c>
      <c r="C1284" t="n">
        <v>20250609</v>
      </c>
      <c r="D1284" s="4" t="inlineStr">
        <is>
          <t>C017</t>
        </is>
      </c>
      <c r="E1284" s="4" t="inlineStr">
        <is>
          <t>P053</t>
        </is>
      </c>
      <c r="F1284" t="inlineStr">
        <is>
          <t>XS</t>
        </is>
      </c>
      <c r="G1284" s="4" t="inlineStr">
        <is>
          <t>CH02</t>
        </is>
      </c>
      <c r="H1284" s="4" t="inlineStr">
        <is>
          <t>PR00</t>
        </is>
      </c>
      <c r="I1284" s="8" t="n">
        <v>72</v>
      </c>
      <c r="J1284" s="9" t="n">
        <v>0</v>
      </c>
      <c r="K1284" s="10">
        <f>I1284*(1-J1284)</f>
        <v/>
      </c>
      <c r="L1284" s="11" t="n">
        <v>1</v>
      </c>
      <c r="M1284" s="10">
        <f>K1284*L1284</f>
        <v/>
      </c>
      <c r="N1284" s="8" t="n">
        <v>34.67</v>
      </c>
      <c r="O1284" s="10">
        <f>N1284*L1284</f>
        <v/>
      </c>
      <c r="P1284" s="10">
        <f>M1284-O1284</f>
        <v/>
      </c>
      <c r="Q1284" s="11" t="inlineStr">
        <is>
          <t>No</t>
        </is>
      </c>
      <c r="R1284" s="11" t="n">
        <v>0</v>
      </c>
      <c r="S1284" s="10">
        <f>M1284-(R1284*K1284)</f>
        <v/>
      </c>
      <c r="T1284" s="12">
        <f>VLOOKUP(E1284,Dim_Product!$A$2:$Q$61,3,FALSE)</f>
        <v/>
      </c>
      <c r="U1284" s="12">
        <f>VLOOKUP(E1284,Dim_Product!$A$2:$Q$61,4,FALSE)</f>
        <v/>
      </c>
      <c r="V1284" s="12">
        <f>VLOOKUP(D1284,Dim_Customer!$A$2:$I$121,6,FALSE)</f>
        <v/>
      </c>
      <c r="W1284" s="12">
        <f>VLOOKUP(G1284,Dim_Channel!$A$2:$B$5,2,FALSE)</f>
        <v/>
      </c>
      <c r="X1284" s="12">
        <f>VLOOKUP(H1284,Dim_Promotion!$A$2:$G$11,2,FALSE)</f>
        <v/>
      </c>
    </row>
    <row r="1285">
      <c r="A1285" s="4" t="inlineStr">
        <is>
          <t>SL1284</t>
        </is>
      </c>
      <c r="B1285" t="inlineStr">
        <is>
          <t>O010642</t>
        </is>
      </c>
      <c r="C1285" t="n">
        <v>20251008</v>
      </c>
      <c r="D1285" s="4" t="inlineStr">
        <is>
          <t>C102</t>
        </is>
      </c>
      <c r="E1285" s="4" t="inlineStr">
        <is>
          <t>P012</t>
        </is>
      </c>
      <c r="F1285" t="inlineStr">
        <is>
          <t>S</t>
        </is>
      </c>
      <c r="G1285" s="4" t="inlineStr">
        <is>
          <t>CH01</t>
        </is>
      </c>
      <c r="H1285" s="4" t="inlineStr">
        <is>
          <t>PR00</t>
        </is>
      </c>
      <c r="I1285" s="8" t="n">
        <v>45</v>
      </c>
      <c r="J1285" s="9" t="n">
        <v>0</v>
      </c>
      <c r="K1285" s="10">
        <f>I1285*(1-J1285)</f>
        <v/>
      </c>
      <c r="L1285" s="11" t="n">
        <v>2</v>
      </c>
      <c r="M1285" s="10">
        <f>K1285*L1285</f>
        <v/>
      </c>
      <c r="N1285" s="8" t="n">
        <v>21.62</v>
      </c>
      <c r="O1285" s="10">
        <f>N1285*L1285</f>
        <v/>
      </c>
      <c r="P1285" s="10">
        <f>M1285-O1285</f>
        <v/>
      </c>
      <c r="Q1285" s="11" t="inlineStr">
        <is>
          <t>No</t>
        </is>
      </c>
      <c r="R1285" s="11" t="n">
        <v>0</v>
      </c>
      <c r="S1285" s="10">
        <f>M1285-(R1285*K1285)</f>
        <v/>
      </c>
      <c r="T1285" s="12">
        <f>VLOOKUP(E1285,Dim_Product!$A$2:$Q$61,3,FALSE)</f>
        <v/>
      </c>
      <c r="U1285" s="12">
        <f>VLOOKUP(E1285,Dim_Product!$A$2:$Q$61,4,FALSE)</f>
        <v/>
      </c>
      <c r="V1285" s="12">
        <f>VLOOKUP(D1285,Dim_Customer!$A$2:$I$121,6,FALSE)</f>
        <v/>
      </c>
      <c r="W1285" s="12">
        <f>VLOOKUP(G1285,Dim_Channel!$A$2:$B$5,2,FALSE)</f>
        <v/>
      </c>
      <c r="X1285" s="12">
        <f>VLOOKUP(H1285,Dim_Promotion!$A$2:$G$11,2,FALSE)</f>
        <v/>
      </c>
    </row>
    <row r="1286">
      <c r="A1286" s="4" t="inlineStr">
        <is>
          <t>SL1285</t>
        </is>
      </c>
      <c r="B1286" t="inlineStr">
        <is>
          <t>O010643</t>
        </is>
      </c>
      <c r="C1286" t="n">
        <v>20250918</v>
      </c>
      <c r="D1286" s="4" t="inlineStr">
        <is>
          <t>C072</t>
        </is>
      </c>
      <c r="E1286" s="4" t="inlineStr">
        <is>
          <t>P054</t>
        </is>
      </c>
      <c r="F1286" t="inlineStr">
        <is>
          <t>S</t>
        </is>
      </c>
      <c r="G1286" s="4" t="inlineStr">
        <is>
          <t>CH01</t>
        </is>
      </c>
      <c r="H1286" s="4" t="inlineStr">
        <is>
          <t>PR00</t>
        </is>
      </c>
      <c r="I1286" s="8" t="n">
        <v>75</v>
      </c>
      <c r="J1286" s="9" t="n">
        <v>0.08</v>
      </c>
      <c r="K1286" s="10">
        <f>I1286*(1-J1286)</f>
        <v/>
      </c>
      <c r="L1286" s="11" t="n">
        <v>1</v>
      </c>
      <c r="M1286" s="10">
        <f>K1286*L1286</f>
        <v/>
      </c>
      <c r="N1286" s="8" t="n">
        <v>30.63</v>
      </c>
      <c r="O1286" s="10">
        <f>N1286*L1286</f>
        <v/>
      </c>
      <c r="P1286" s="10">
        <f>M1286-O1286</f>
        <v/>
      </c>
      <c r="Q1286" s="11" t="inlineStr">
        <is>
          <t>No</t>
        </is>
      </c>
      <c r="R1286" s="11" t="n">
        <v>0</v>
      </c>
      <c r="S1286" s="10">
        <f>M1286-(R1286*K1286)</f>
        <v/>
      </c>
      <c r="T1286" s="12">
        <f>VLOOKUP(E1286,Dim_Product!$A$2:$Q$61,3,FALSE)</f>
        <v/>
      </c>
      <c r="U1286" s="12">
        <f>VLOOKUP(E1286,Dim_Product!$A$2:$Q$61,4,FALSE)</f>
        <v/>
      </c>
      <c r="V1286" s="12">
        <f>VLOOKUP(D1286,Dim_Customer!$A$2:$I$121,6,FALSE)</f>
        <v/>
      </c>
      <c r="W1286" s="12">
        <f>VLOOKUP(G1286,Dim_Channel!$A$2:$B$5,2,FALSE)</f>
        <v/>
      </c>
      <c r="X1286" s="12">
        <f>VLOOKUP(H1286,Dim_Promotion!$A$2:$G$11,2,FALSE)</f>
        <v/>
      </c>
    </row>
    <row r="1287">
      <c r="A1287" s="4" t="inlineStr">
        <is>
          <t>SL1286</t>
        </is>
      </c>
      <c r="B1287" t="inlineStr">
        <is>
          <t>O010643</t>
        </is>
      </c>
      <c r="C1287" t="n">
        <v>20250522</v>
      </c>
      <c r="D1287" s="4" t="inlineStr">
        <is>
          <t>C043</t>
        </is>
      </c>
      <c r="E1287" s="4" t="inlineStr">
        <is>
          <t>P059</t>
        </is>
      </c>
      <c r="F1287" t="inlineStr">
        <is>
          <t>XL</t>
        </is>
      </c>
      <c r="G1287" s="4" t="inlineStr">
        <is>
          <t>CH04</t>
        </is>
      </c>
      <c r="H1287" s="4" t="inlineStr">
        <is>
          <t>PR00</t>
        </is>
      </c>
      <c r="I1287" s="8" t="n">
        <v>76</v>
      </c>
      <c r="J1287" s="9" t="n">
        <v>0</v>
      </c>
      <c r="K1287" s="10">
        <f>I1287*(1-J1287)</f>
        <v/>
      </c>
      <c r="L1287" s="11" t="n">
        <v>2</v>
      </c>
      <c r="M1287" s="10">
        <f>K1287*L1287</f>
        <v/>
      </c>
      <c r="N1287" s="8" t="n">
        <v>33.96</v>
      </c>
      <c r="O1287" s="10">
        <f>N1287*L1287</f>
        <v/>
      </c>
      <c r="P1287" s="10">
        <f>M1287-O1287</f>
        <v/>
      </c>
      <c r="Q1287" s="11" t="inlineStr">
        <is>
          <t>No</t>
        </is>
      </c>
      <c r="R1287" s="11" t="n">
        <v>0</v>
      </c>
      <c r="S1287" s="10">
        <f>M1287-(R1287*K1287)</f>
        <v/>
      </c>
      <c r="T1287" s="12">
        <f>VLOOKUP(E1287,Dim_Product!$A$2:$Q$61,3,FALSE)</f>
        <v/>
      </c>
      <c r="U1287" s="12">
        <f>VLOOKUP(E1287,Dim_Product!$A$2:$Q$61,4,FALSE)</f>
        <v/>
      </c>
      <c r="V1287" s="12">
        <f>VLOOKUP(D1287,Dim_Customer!$A$2:$I$121,6,FALSE)</f>
        <v/>
      </c>
      <c r="W1287" s="12">
        <f>VLOOKUP(G1287,Dim_Channel!$A$2:$B$5,2,FALSE)</f>
        <v/>
      </c>
      <c r="X1287" s="12">
        <f>VLOOKUP(H1287,Dim_Promotion!$A$2:$G$11,2,FALSE)</f>
        <v/>
      </c>
    </row>
    <row r="1288">
      <c r="A1288" s="4" t="inlineStr">
        <is>
          <t>SL1287</t>
        </is>
      </c>
      <c r="B1288" t="inlineStr">
        <is>
          <t>O010644</t>
        </is>
      </c>
      <c r="C1288" t="n">
        <v>20250427</v>
      </c>
      <c r="D1288" s="4" t="inlineStr">
        <is>
          <t>C031</t>
        </is>
      </c>
      <c r="E1288" s="4" t="inlineStr">
        <is>
          <t>P010</t>
        </is>
      </c>
      <c r="F1288" t="inlineStr">
        <is>
          <t>L</t>
        </is>
      </c>
      <c r="G1288" s="4" t="inlineStr">
        <is>
          <t>CH01</t>
        </is>
      </c>
      <c r="H1288" s="4" t="inlineStr">
        <is>
          <t>PR00</t>
        </is>
      </c>
      <c r="I1288" s="8" t="n">
        <v>48</v>
      </c>
      <c r="J1288" s="9" t="n">
        <v>0</v>
      </c>
      <c r="K1288" s="10">
        <f>I1288*(1-J1288)</f>
        <v/>
      </c>
      <c r="L1288" s="11" t="n">
        <v>1</v>
      </c>
      <c r="M1288" s="10">
        <f>K1288*L1288</f>
        <v/>
      </c>
      <c r="N1288" s="8" t="n">
        <v>20.16</v>
      </c>
      <c r="O1288" s="10">
        <f>N1288*L1288</f>
        <v/>
      </c>
      <c r="P1288" s="10">
        <f>M1288-O1288</f>
        <v/>
      </c>
      <c r="Q1288" s="11" t="inlineStr">
        <is>
          <t>Yes</t>
        </is>
      </c>
      <c r="R1288" s="11" t="n">
        <v>1</v>
      </c>
      <c r="S1288" s="10">
        <f>M1288-(R1288*K1288)</f>
        <v/>
      </c>
      <c r="T1288" s="12">
        <f>VLOOKUP(E1288,Dim_Product!$A$2:$Q$61,3,FALSE)</f>
        <v/>
      </c>
      <c r="U1288" s="12">
        <f>VLOOKUP(E1288,Dim_Product!$A$2:$Q$61,4,FALSE)</f>
        <v/>
      </c>
      <c r="V1288" s="12">
        <f>VLOOKUP(D1288,Dim_Customer!$A$2:$I$121,6,FALSE)</f>
        <v/>
      </c>
      <c r="W1288" s="12">
        <f>VLOOKUP(G1288,Dim_Channel!$A$2:$B$5,2,FALSE)</f>
        <v/>
      </c>
      <c r="X1288" s="12">
        <f>VLOOKUP(H1288,Dim_Promotion!$A$2:$G$11,2,FALSE)</f>
        <v/>
      </c>
    </row>
    <row r="1289">
      <c r="A1289" s="4" t="inlineStr">
        <is>
          <t>SL1288</t>
        </is>
      </c>
      <c r="B1289" t="inlineStr">
        <is>
          <t>O010644</t>
        </is>
      </c>
      <c r="C1289" t="n">
        <v>20250115</v>
      </c>
      <c r="D1289" s="4" t="inlineStr">
        <is>
          <t>C015</t>
        </is>
      </c>
      <c r="E1289" s="4" t="inlineStr">
        <is>
          <t>P005</t>
        </is>
      </c>
      <c r="F1289" t="inlineStr">
        <is>
          <t>M</t>
        </is>
      </c>
      <c r="G1289" s="4" t="inlineStr">
        <is>
          <t>CH03</t>
        </is>
      </c>
      <c r="H1289" s="4" t="inlineStr">
        <is>
          <t>PR00</t>
        </is>
      </c>
      <c r="I1289" s="8" t="n">
        <v>52</v>
      </c>
      <c r="J1289" s="9" t="n">
        <v>0</v>
      </c>
      <c r="K1289" s="10">
        <f>I1289*(1-J1289)</f>
        <v/>
      </c>
      <c r="L1289" s="11" t="n">
        <v>1</v>
      </c>
      <c r="M1289" s="10">
        <f>K1289*L1289</f>
        <v/>
      </c>
      <c r="N1289" s="8" t="n">
        <v>20.44</v>
      </c>
      <c r="O1289" s="10">
        <f>N1289*L1289</f>
        <v/>
      </c>
      <c r="P1289" s="10">
        <f>M1289-O1289</f>
        <v/>
      </c>
      <c r="Q1289" s="11" t="inlineStr">
        <is>
          <t>No</t>
        </is>
      </c>
      <c r="R1289" s="11" t="n">
        <v>0</v>
      </c>
      <c r="S1289" s="10">
        <f>M1289-(R1289*K1289)</f>
        <v/>
      </c>
      <c r="T1289" s="12">
        <f>VLOOKUP(E1289,Dim_Product!$A$2:$Q$61,3,FALSE)</f>
        <v/>
      </c>
      <c r="U1289" s="12">
        <f>VLOOKUP(E1289,Dim_Product!$A$2:$Q$61,4,FALSE)</f>
        <v/>
      </c>
      <c r="V1289" s="12">
        <f>VLOOKUP(D1289,Dim_Customer!$A$2:$I$121,6,FALSE)</f>
        <v/>
      </c>
      <c r="W1289" s="12">
        <f>VLOOKUP(G1289,Dim_Channel!$A$2:$B$5,2,FALSE)</f>
        <v/>
      </c>
      <c r="X1289" s="12">
        <f>VLOOKUP(H1289,Dim_Promotion!$A$2:$G$11,2,FALSE)</f>
        <v/>
      </c>
    </row>
    <row r="1290">
      <c r="A1290" s="4" t="inlineStr">
        <is>
          <t>SL1289</t>
        </is>
      </c>
      <c r="B1290" t="inlineStr">
        <is>
          <t>O010645</t>
        </is>
      </c>
      <c r="C1290" t="n">
        <v>20250920</v>
      </c>
      <c r="D1290" s="4" t="inlineStr">
        <is>
          <t>C093</t>
        </is>
      </c>
      <c r="E1290" s="4" t="inlineStr">
        <is>
          <t>P039</t>
        </is>
      </c>
      <c r="F1290" t="inlineStr">
        <is>
          <t>L</t>
        </is>
      </c>
      <c r="G1290" s="4" t="inlineStr">
        <is>
          <t>CH04</t>
        </is>
      </c>
      <c r="H1290" s="4" t="inlineStr">
        <is>
          <t>PR00</t>
        </is>
      </c>
      <c r="I1290" s="8" t="n">
        <v>75</v>
      </c>
      <c r="J1290" s="9" t="n">
        <v>0</v>
      </c>
      <c r="K1290" s="10">
        <f>I1290*(1-J1290)</f>
        <v/>
      </c>
      <c r="L1290" s="11" t="n">
        <v>2</v>
      </c>
      <c r="M1290" s="10">
        <f>K1290*L1290</f>
        <v/>
      </c>
      <c r="N1290" s="8" t="n">
        <v>36.76</v>
      </c>
      <c r="O1290" s="10">
        <f>N1290*L1290</f>
        <v/>
      </c>
      <c r="P1290" s="10">
        <f>M1290-O1290</f>
        <v/>
      </c>
      <c r="Q1290" s="11" t="inlineStr">
        <is>
          <t>No</t>
        </is>
      </c>
      <c r="R1290" s="11" t="n">
        <v>0</v>
      </c>
      <c r="S1290" s="10">
        <f>M1290-(R1290*K1290)</f>
        <v/>
      </c>
      <c r="T1290" s="12">
        <f>VLOOKUP(E1290,Dim_Product!$A$2:$Q$61,3,FALSE)</f>
        <v/>
      </c>
      <c r="U1290" s="12">
        <f>VLOOKUP(E1290,Dim_Product!$A$2:$Q$61,4,FALSE)</f>
        <v/>
      </c>
      <c r="V1290" s="12">
        <f>VLOOKUP(D1290,Dim_Customer!$A$2:$I$121,6,FALSE)</f>
        <v/>
      </c>
      <c r="W1290" s="12">
        <f>VLOOKUP(G1290,Dim_Channel!$A$2:$B$5,2,FALSE)</f>
        <v/>
      </c>
      <c r="X1290" s="12">
        <f>VLOOKUP(H1290,Dim_Promotion!$A$2:$G$11,2,FALSE)</f>
        <v/>
      </c>
    </row>
    <row r="1291">
      <c r="A1291" s="4" t="inlineStr">
        <is>
          <t>SL1290</t>
        </is>
      </c>
      <c r="B1291" t="inlineStr">
        <is>
          <t>O010645</t>
        </is>
      </c>
      <c r="C1291" t="n">
        <v>20250625</v>
      </c>
      <c r="D1291" s="4" t="inlineStr">
        <is>
          <t>C015</t>
        </is>
      </c>
      <c r="E1291" s="4" t="inlineStr">
        <is>
          <t>P029</t>
        </is>
      </c>
      <c r="F1291" t="inlineStr">
        <is>
          <t>S</t>
        </is>
      </c>
      <c r="G1291" s="4" t="inlineStr">
        <is>
          <t>CH02</t>
        </is>
      </c>
      <c r="H1291" s="4" t="inlineStr">
        <is>
          <t>PR00</t>
        </is>
      </c>
      <c r="I1291" s="8" t="n">
        <v>112</v>
      </c>
      <c r="J1291" s="9" t="n">
        <v>0</v>
      </c>
      <c r="K1291" s="10">
        <f>I1291*(1-J1291)</f>
        <v/>
      </c>
      <c r="L1291" s="11" t="n">
        <v>2</v>
      </c>
      <c r="M1291" s="10">
        <f>K1291*L1291</f>
        <v/>
      </c>
      <c r="N1291" s="8" t="n">
        <v>56.79</v>
      </c>
      <c r="O1291" s="10">
        <f>N1291*L1291</f>
        <v/>
      </c>
      <c r="P1291" s="10">
        <f>M1291-O1291</f>
        <v/>
      </c>
      <c r="Q1291" s="11" t="inlineStr">
        <is>
          <t>No</t>
        </is>
      </c>
      <c r="R1291" s="11" t="n">
        <v>0</v>
      </c>
      <c r="S1291" s="10">
        <f>M1291-(R1291*K1291)</f>
        <v/>
      </c>
      <c r="T1291" s="12">
        <f>VLOOKUP(E1291,Dim_Product!$A$2:$Q$61,3,FALSE)</f>
        <v/>
      </c>
      <c r="U1291" s="12">
        <f>VLOOKUP(E1291,Dim_Product!$A$2:$Q$61,4,FALSE)</f>
        <v/>
      </c>
      <c r="V1291" s="12">
        <f>VLOOKUP(D1291,Dim_Customer!$A$2:$I$121,6,FALSE)</f>
        <v/>
      </c>
      <c r="W1291" s="12">
        <f>VLOOKUP(G1291,Dim_Channel!$A$2:$B$5,2,FALSE)</f>
        <v/>
      </c>
      <c r="X1291" s="12">
        <f>VLOOKUP(H1291,Dim_Promotion!$A$2:$G$11,2,FALSE)</f>
        <v/>
      </c>
    </row>
    <row r="1292">
      <c r="A1292" s="4" t="inlineStr">
        <is>
          <t>SL1291</t>
        </is>
      </c>
      <c r="B1292" t="inlineStr">
        <is>
          <t>O010646</t>
        </is>
      </c>
      <c r="C1292" t="n">
        <v>20251206</v>
      </c>
      <c r="D1292" s="4" t="inlineStr">
        <is>
          <t>C091</t>
        </is>
      </c>
      <c r="E1292" s="4" t="inlineStr">
        <is>
          <t>P040</t>
        </is>
      </c>
      <c r="F1292" t="inlineStr">
        <is>
          <t>M</t>
        </is>
      </c>
      <c r="G1292" s="4" t="inlineStr">
        <is>
          <t>CH03</t>
        </is>
      </c>
      <c r="H1292" s="4" t="inlineStr">
        <is>
          <t>PR00</t>
        </is>
      </c>
      <c r="I1292" s="8" t="n">
        <v>70</v>
      </c>
      <c r="J1292" s="9" t="n">
        <v>0</v>
      </c>
      <c r="K1292" s="10">
        <f>I1292*(1-J1292)</f>
        <v/>
      </c>
      <c r="L1292" s="11" t="n">
        <v>2</v>
      </c>
      <c r="M1292" s="10">
        <f>K1292*L1292</f>
        <v/>
      </c>
      <c r="N1292" s="8" t="n">
        <v>34.3</v>
      </c>
      <c r="O1292" s="10">
        <f>N1292*L1292</f>
        <v/>
      </c>
      <c r="P1292" s="10">
        <f>M1292-O1292</f>
        <v/>
      </c>
      <c r="Q1292" s="11" t="inlineStr">
        <is>
          <t>No</t>
        </is>
      </c>
      <c r="R1292" s="11" t="n">
        <v>0</v>
      </c>
      <c r="S1292" s="10">
        <f>M1292-(R1292*K1292)</f>
        <v/>
      </c>
      <c r="T1292" s="12">
        <f>VLOOKUP(E1292,Dim_Product!$A$2:$Q$61,3,FALSE)</f>
        <v/>
      </c>
      <c r="U1292" s="12">
        <f>VLOOKUP(E1292,Dim_Product!$A$2:$Q$61,4,FALSE)</f>
        <v/>
      </c>
      <c r="V1292" s="12">
        <f>VLOOKUP(D1292,Dim_Customer!$A$2:$I$121,6,FALSE)</f>
        <v/>
      </c>
      <c r="W1292" s="12">
        <f>VLOOKUP(G1292,Dim_Channel!$A$2:$B$5,2,FALSE)</f>
        <v/>
      </c>
      <c r="X1292" s="12">
        <f>VLOOKUP(H1292,Dim_Promotion!$A$2:$G$11,2,FALSE)</f>
        <v/>
      </c>
    </row>
    <row r="1293">
      <c r="A1293" s="4" t="inlineStr">
        <is>
          <t>SL1292</t>
        </is>
      </c>
      <c r="B1293" t="inlineStr">
        <is>
          <t>O010646</t>
        </is>
      </c>
      <c r="C1293" t="n">
        <v>20251028</v>
      </c>
      <c r="D1293" s="4" t="inlineStr">
        <is>
          <t>C028</t>
        </is>
      </c>
      <c r="E1293" s="4" t="inlineStr">
        <is>
          <t>P035</t>
        </is>
      </c>
      <c r="F1293" t="inlineStr">
        <is>
          <t>XL</t>
        </is>
      </c>
      <c r="G1293" s="4" t="inlineStr">
        <is>
          <t>CH01</t>
        </is>
      </c>
      <c r="H1293" s="4" t="inlineStr">
        <is>
          <t>PR00</t>
        </is>
      </c>
      <c r="I1293" s="8" t="n">
        <v>88</v>
      </c>
      <c r="J1293" s="9" t="n">
        <v>0</v>
      </c>
      <c r="K1293" s="10">
        <f>I1293*(1-J1293)</f>
        <v/>
      </c>
      <c r="L1293" s="11" t="n">
        <v>3</v>
      </c>
      <c r="M1293" s="10">
        <f>K1293*L1293</f>
        <v/>
      </c>
      <c r="N1293" s="8" t="n">
        <v>42.94</v>
      </c>
      <c r="O1293" s="10">
        <f>N1293*L1293</f>
        <v/>
      </c>
      <c r="P1293" s="10">
        <f>M1293-O1293</f>
        <v/>
      </c>
      <c r="Q1293" s="11" t="inlineStr">
        <is>
          <t>Yes</t>
        </is>
      </c>
      <c r="R1293" s="11" t="n">
        <v>1</v>
      </c>
      <c r="S1293" s="10">
        <f>M1293-(R1293*K1293)</f>
        <v/>
      </c>
      <c r="T1293" s="12">
        <f>VLOOKUP(E1293,Dim_Product!$A$2:$Q$61,3,FALSE)</f>
        <v/>
      </c>
      <c r="U1293" s="12">
        <f>VLOOKUP(E1293,Dim_Product!$A$2:$Q$61,4,FALSE)</f>
        <v/>
      </c>
      <c r="V1293" s="12">
        <f>VLOOKUP(D1293,Dim_Customer!$A$2:$I$121,6,FALSE)</f>
        <v/>
      </c>
      <c r="W1293" s="12">
        <f>VLOOKUP(G1293,Dim_Channel!$A$2:$B$5,2,FALSE)</f>
        <v/>
      </c>
      <c r="X1293" s="12">
        <f>VLOOKUP(H1293,Dim_Promotion!$A$2:$G$11,2,FALSE)</f>
        <v/>
      </c>
    </row>
    <row r="1294">
      <c r="A1294" s="4" t="inlineStr">
        <is>
          <t>SL1293</t>
        </is>
      </c>
      <c r="B1294" t="inlineStr">
        <is>
          <t>O010647</t>
        </is>
      </c>
      <c r="C1294" t="n">
        <v>20251205</v>
      </c>
      <c r="D1294" s="4" t="inlineStr">
        <is>
          <t>C022</t>
        </is>
      </c>
      <c r="E1294" s="4" t="inlineStr">
        <is>
          <t>P042</t>
        </is>
      </c>
      <c r="F1294" t="inlineStr">
        <is>
          <t>XS</t>
        </is>
      </c>
      <c r="G1294" s="4" t="inlineStr">
        <is>
          <t>CH02</t>
        </is>
      </c>
      <c r="H1294" s="4" t="inlineStr">
        <is>
          <t>PR00</t>
        </is>
      </c>
      <c r="I1294" s="8" t="n">
        <v>76</v>
      </c>
      <c r="J1294" s="9" t="n">
        <v>0</v>
      </c>
      <c r="K1294" s="10">
        <f>I1294*(1-J1294)</f>
        <v/>
      </c>
      <c r="L1294" s="11" t="n">
        <v>1</v>
      </c>
      <c r="M1294" s="10">
        <f>K1294*L1294</f>
        <v/>
      </c>
      <c r="N1294" s="8" t="n">
        <v>37.65</v>
      </c>
      <c r="O1294" s="10">
        <f>N1294*L1294</f>
        <v/>
      </c>
      <c r="P1294" s="10">
        <f>M1294-O1294</f>
        <v/>
      </c>
      <c r="Q1294" s="11" t="inlineStr">
        <is>
          <t>No</t>
        </is>
      </c>
      <c r="R1294" s="11" t="n">
        <v>0</v>
      </c>
      <c r="S1294" s="10">
        <f>M1294-(R1294*K1294)</f>
        <v/>
      </c>
      <c r="T1294" s="12">
        <f>VLOOKUP(E1294,Dim_Product!$A$2:$Q$61,3,FALSE)</f>
        <v/>
      </c>
      <c r="U1294" s="12">
        <f>VLOOKUP(E1294,Dim_Product!$A$2:$Q$61,4,FALSE)</f>
        <v/>
      </c>
      <c r="V1294" s="12">
        <f>VLOOKUP(D1294,Dim_Customer!$A$2:$I$121,6,FALSE)</f>
        <v/>
      </c>
      <c r="W1294" s="12">
        <f>VLOOKUP(G1294,Dim_Channel!$A$2:$B$5,2,FALSE)</f>
        <v/>
      </c>
      <c r="X1294" s="12">
        <f>VLOOKUP(H1294,Dim_Promotion!$A$2:$G$11,2,FALSE)</f>
        <v/>
      </c>
    </row>
    <row r="1295">
      <c r="A1295" s="4" t="inlineStr">
        <is>
          <t>SL1294</t>
        </is>
      </c>
      <c r="B1295" t="inlineStr">
        <is>
          <t>O010647</t>
        </is>
      </c>
      <c r="C1295" t="n">
        <v>20250422</v>
      </c>
      <c r="D1295" s="4" t="inlineStr">
        <is>
          <t>C020</t>
        </is>
      </c>
      <c r="E1295" s="4" t="inlineStr">
        <is>
          <t>P004</t>
        </is>
      </c>
      <c r="F1295" t="inlineStr">
        <is>
          <t>M</t>
        </is>
      </c>
      <c r="G1295" s="4" t="inlineStr">
        <is>
          <t>CH04</t>
        </is>
      </c>
      <c r="H1295" s="4" t="inlineStr">
        <is>
          <t>PR00</t>
        </is>
      </c>
      <c r="I1295" s="8" t="n">
        <v>44</v>
      </c>
      <c r="J1295" s="9" t="n">
        <v>0</v>
      </c>
      <c r="K1295" s="10">
        <f>I1295*(1-J1295)</f>
        <v/>
      </c>
      <c r="L1295" s="11" t="n">
        <v>2</v>
      </c>
      <c r="M1295" s="10">
        <f>K1295*L1295</f>
        <v/>
      </c>
      <c r="N1295" s="8" t="n">
        <v>18.7</v>
      </c>
      <c r="O1295" s="10">
        <f>N1295*L1295</f>
        <v/>
      </c>
      <c r="P1295" s="10">
        <f>M1295-O1295</f>
        <v/>
      </c>
      <c r="Q1295" s="11" t="inlineStr">
        <is>
          <t>No</t>
        </is>
      </c>
      <c r="R1295" s="11" t="n">
        <v>0</v>
      </c>
      <c r="S1295" s="10">
        <f>M1295-(R1295*K1295)</f>
        <v/>
      </c>
      <c r="T1295" s="12">
        <f>VLOOKUP(E1295,Dim_Product!$A$2:$Q$61,3,FALSE)</f>
        <v/>
      </c>
      <c r="U1295" s="12">
        <f>VLOOKUP(E1295,Dim_Product!$A$2:$Q$61,4,FALSE)</f>
        <v/>
      </c>
      <c r="V1295" s="12">
        <f>VLOOKUP(D1295,Dim_Customer!$A$2:$I$121,6,FALSE)</f>
        <v/>
      </c>
      <c r="W1295" s="12">
        <f>VLOOKUP(G1295,Dim_Channel!$A$2:$B$5,2,FALSE)</f>
        <v/>
      </c>
      <c r="X1295" s="12">
        <f>VLOOKUP(H1295,Dim_Promotion!$A$2:$G$11,2,FALSE)</f>
        <v/>
      </c>
    </row>
    <row r="1296">
      <c r="A1296" s="4" t="inlineStr">
        <is>
          <t>SL1295</t>
        </is>
      </c>
      <c r="B1296" t="inlineStr">
        <is>
          <t>O010648</t>
        </is>
      </c>
      <c r="C1296" t="n">
        <v>20251219</v>
      </c>
      <c r="D1296" s="4" t="inlineStr">
        <is>
          <t>C078</t>
        </is>
      </c>
      <c r="E1296" s="4" t="inlineStr">
        <is>
          <t>P042</t>
        </is>
      </c>
      <c r="F1296" t="inlineStr">
        <is>
          <t>M</t>
        </is>
      </c>
      <c r="G1296" s="4" t="inlineStr">
        <is>
          <t>CH03</t>
        </is>
      </c>
      <c r="H1296" s="4" t="inlineStr">
        <is>
          <t>PR00</t>
        </is>
      </c>
      <c r="I1296" s="8" t="n">
        <v>76</v>
      </c>
      <c r="J1296" s="9" t="n">
        <v>0</v>
      </c>
      <c r="K1296" s="10">
        <f>I1296*(1-J1296)</f>
        <v/>
      </c>
      <c r="L1296" s="11" t="n">
        <v>1</v>
      </c>
      <c r="M1296" s="10">
        <f>K1296*L1296</f>
        <v/>
      </c>
      <c r="N1296" s="8" t="n">
        <v>36.72</v>
      </c>
      <c r="O1296" s="10">
        <f>N1296*L1296</f>
        <v/>
      </c>
      <c r="P1296" s="10">
        <f>M1296-O1296</f>
        <v/>
      </c>
      <c r="Q1296" s="11" t="inlineStr">
        <is>
          <t>No</t>
        </is>
      </c>
      <c r="R1296" s="11" t="n">
        <v>0</v>
      </c>
      <c r="S1296" s="10">
        <f>M1296-(R1296*K1296)</f>
        <v/>
      </c>
      <c r="T1296" s="12">
        <f>VLOOKUP(E1296,Dim_Product!$A$2:$Q$61,3,FALSE)</f>
        <v/>
      </c>
      <c r="U1296" s="12">
        <f>VLOOKUP(E1296,Dim_Product!$A$2:$Q$61,4,FALSE)</f>
        <v/>
      </c>
      <c r="V1296" s="12">
        <f>VLOOKUP(D1296,Dim_Customer!$A$2:$I$121,6,FALSE)</f>
        <v/>
      </c>
      <c r="W1296" s="12">
        <f>VLOOKUP(G1296,Dim_Channel!$A$2:$B$5,2,FALSE)</f>
        <v/>
      </c>
      <c r="X1296" s="12">
        <f>VLOOKUP(H1296,Dim_Promotion!$A$2:$G$11,2,FALSE)</f>
        <v/>
      </c>
    </row>
    <row r="1297">
      <c r="A1297" s="4" t="inlineStr">
        <is>
          <t>SL1296</t>
        </is>
      </c>
      <c r="B1297" t="inlineStr">
        <is>
          <t>O010648</t>
        </is>
      </c>
      <c r="C1297" t="n">
        <v>20251223</v>
      </c>
      <c r="D1297" s="4" t="inlineStr">
        <is>
          <t>C020</t>
        </is>
      </c>
      <c r="E1297" s="4" t="inlineStr">
        <is>
          <t>P012</t>
        </is>
      </c>
      <c r="F1297" t="inlineStr">
        <is>
          <t>L</t>
        </is>
      </c>
      <c r="G1297" s="4" t="inlineStr">
        <is>
          <t>CH02</t>
        </is>
      </c>
      <c r="H1297" s="4" t="inlineStr">
        <is>
          <t>PR00</t>
        </is>
      </c>
      <c r="I1297" s="8" t="n">
        <v>44</v>
      </c>
      <c r="J1297" s="9" t="n">
        <v>0</v>
      </c>
      <c r="K1297" s="10">
        <f>I1297*(1-J1297)</f>
        <v/>
      </c>
      <c r="L1297" s="11" t="n">
        <v>1</v>
      </c>
      <c r="M1297" s="10">
        <f>K1297*L1297</f>
        <v/>
      </c>
      <c r="N1297" s="8" t="n">
        <v>21.7</v>
      </c>
      <c r="O1297" s="10">
        <f>N1297*L1297</f>
        <v/>
      </c>
      <c r="P1297" s="10">
        <f>M1297-O1297</f>
        <v/>
      </c>
      <c r="Q1297" s="11" t="inlineStr">
        <is>
          <t>No</t>
        </is>
      </c>
      <c r="R1297" s="11" t="n">
        <v>0</v>
      </c>
      <c r="S1297" s="10">
        <f>M1297-(R1297*K1297)</f>
        <v/>
      </c>
      <c r="T1297" s="12">
        <f>VLOOKUP(E1297,Dim_Product!$A$2:$Q$61,3,FALSE)</f>
        <v/>
      </c>
      <c r="U1297" s="12">
        <f>VLOOKUP(E1297,Dim_Product!$A$2:$Q$61,4,FALSE)</f>
        <v/>
      </c>
      <c r="V1297" s="12">
        <f>VLOOKUP(D1297,Dim_Customer!$A$2:$I$121,6,FALSE)</f>
        <v/>
      </c>
      <c r="W1297" s="12">
        <f>VLOOKUP(G1297,Dim_Channel!$A$2:$B$5,2,FALSE)</f>
        <v/>
      </c>
      <c r="X1297" s="12">
        <f>VLOOKUP(H1297,Dim_Promotion!$A$2:$G$11,2,FALSE)</f>
        <v/>
      </c>
    </row>
    <row r="1298">
      <c r="A1298" s="4" t="inlineStr">
        <is>
          <t>SL1297</t>
        </is>
      </c>
      <c r="B1298" t="inlineStr">
        <is>
          <t>O010649</t>
        </is>
      </c>
      <c r="C1298" t="n">
        <v>20250329</v>
      </c>
      <c r="D1298" s="4" t="inlineStr">
        <is>
          <t>C100</t>
        </is>
      </c>
      <c r="E1298" s="4" t="inlineStr">
        <is>
          <t>P045</t>
        </is>
      </c>
      <c r="F1298" t="inlineStr">
        <is>
          <t>S</t>
        </is>
      </c>
      <c r="G1298" s="4" t="inlineStr">
        <is>
          <t>CH04</t>
        </is>
      </c>
      <c r="H1298" s="4" t="inlineStr">
        <is>
          <t>PR00</t>
        </is>
      </c>
      <c r="I1298" s="8" t="n">
        <v>64</v>
      </c>
      <c r="J1298" s="9" t="n">
        <v>0</v>
      </c>
      <c r="K1298" s="10">
        <f>I1298*(1-J1298)</f>
        <v/>
      </c>
      <c r="L1298" s="11" t="n">
        <v>1</v>
      </c>
      <c r="M1298" s="10">
        <f>K1298*L1298</f>
        <v/>
      </c>
      <c r="N1298" s="8" t="n">
        <v>33.97</v>
      </c>
      <c r="O1298" s="10">
        <f>N1298*L1298</f>
        <v/>
      </c>
      <c r="P1298" s="10">
        <f>M1298-O1298</f>
        <v/>
      </c>
      <c r="Q1298" s="11" t="inlineStr">
        <is>
          <t>No</t>
        </is>
      </c>
      <c r="R1298" s="11" t="n">
        <v>0</v>
      </c>
      <c r="S1298" s="10">
        <f>M1298-(R1298*K1298)</f>
        <v/>
      </c>
      <c r="T1298" s="12">
        <f>VLOOKUP(E1298,Dim_Product!$A$2:$Q$61,3,FALSE)</f>
        <v/>
      </c>
      <c r="U1298" s="12">
        <f>VLOOKUP(E1298,Dim_Product!$A$2:$Q$61,4,FALSE)</f>
        <v/>
      </c>
      <c r="V1298" s="12">
        <f>VLOOKUP(D1298,Dim_Customer!$A$2:$I$121,6,FALSE)</f>
        <v/>
      </c>
      <c r="W1298" s="12">
        <f>VLOOKUP(G1298,Dim_Channel!$A$2:$B$5,2,FALSE)</f>
        <v/>
      </c>
      <c r="X1298" s="12">
        <f>VLOOKUP(H1298,Dim_Promotion!$A$2:$G$11,2,FALSE)</f>
        <v/>
      </c>
    </row>
    <row r="1299">
      <c r="A1299" s="4" t="inlineStr">
        <is>
          <t>SL1298</t>
        </is>
      </c>
      <c r="B1299" t="inlineStr">
        <is>
          <t>O010649</t>
        </is>
      </c>
      <c r="C1299" t="n">
        <v>20251108</v>
      </c>
      <c r="D1299" s="4" t="inlineStr">
        <is>
          <t>C120</t>
        </is>
      </c>
      <c r="E1299" s="4" t="inlineStr">
        <is>
          <t>P049</t>
        </is>
      </c>
      <c r="F1299" t="inlineStr">
        <is>
          <t>M</t>
        </is>
      </c>
      <c r="G1299" s="4" t="inlineStr">
        <is>
          <t>CH04</t>
        </is>
      </c>
      <c r="H1299" s="4" t="inlineStr">
        <is>
          <t>PR00</t>
        </is>
      </c>
      <c r="I1299" s="8" t="n">
        <v>70</v>
      </c>
      <c r="J1299" s="9" t="n">
        <v>0</v>
      </c>
      <c r="K1299" s="10">
        <f>I1299*(1-J1299)</f>
        <v/>
      </c>
      <c r="L1299" s="11" t="n">
        <v>2</v>
      </c>
      <c r="M1299" s="10">
        <f>K1299*L1299</f>
        <v/>
      </c>
      <c r="N1299" s="8" t="n">
        <v>29.61</v>
      </c>
      <c r="O1299" s="10">
        <f>N1299*L1299</f>
        <v/>
      </c>
      <c r="P1299" s="10">
        <f>M1299-O1299</f>
        <v/>
      </c>
      <c r="Q1299" s="11" t="inlineStr">
        <is>
          <t>No</t>
        </is>
      </c>
      <c r="R1299" s="11" t="n">
        <v>0</v>
      </c>
      <c r="S1299" s="10">
        <f>M1299-(R1299*K1299)</f>
        <v/>
      </c>
      <c r="T1299" s="12">
        <f>VLOOKUP(E1299,Dim_Product!$A$2:$Q$61,3,FALSE)</f>
        <v/>
      </c>
      <c r="U1299" s="12">
        <f>VLOOKUP(E1299,Dim_Product!$A$2:$Q$61,4,FALSE)</f>
        <v/>
      </c>
      <c r="V1299" s="12">
        <f>VLOOKUP(D1299,Dim_Customer!$A$2:$I$121,6,FALSE)</f>
        <v/>
      </c>
      <c r="W1299" s="12">
        <f>VLOOKUP(G1299,Dim_Channel!$A$2:$B$5,2,FALSE)</f>
        <v/>
      </c>
      <c r="X1299" s="12">
        <f>VLOOKUP(H1299,Dim_Promotion!$A$2:$G$11,2,FALSE)</f>
        <v/>
      </c>
    </row>
    <row r="1300">
      <c r="A1300" s="4" t="inlineStr">
        <is>
          <t>SL1299</t>
        </is>
      </c>
      <c r="B1300" t="inlineStr">
        <is>
          <t>O010650</t>
        </is>
      </c>
      <c r="C1300" t="n">
        <v>20251203</v>
      </c>
      <c r="D1300" s="4" t="inlineStr">
        <is>
          <t>C054</t>
        </is>
      </c>
      <c r="E1300" s="4" t="inlineStr">
        <is>
          <t>P059</t>
        </is>
      </c>
      <c r="F1300" t="inlineStr">
        <is>
          <t>M</t>
        </is>
      </c>
      <c r="G1300" s="4" t="inlineStr">
        <is>
          <t>CH04</t>
        </is>
      </c>
      <c r="H1300" s="4" t="inlineStr">
        <is>
          <t>PR00</t>
        </is>
      </c>
      <c r="I1300" s="8" t="n">
        <v>76</v>
      </c>
      <c r="J1300" s="9" t="n">
        <v>0</v>
      </c>
      <c r="K1300" s="10">
        <f>I1300*(1-J1300)</f>
        <v/>
      </c>
      <c r="L1300" s="11" t="n">
        <v>2</v>
      </c>
      <c r="M1300" s="10">
        <f>K1300*L1300</f>
        <v/>
      </c>
      <c r="N1300" s="8" t="n">
        <v>34.4</v>
      </c>
      <c r="O1300" s="10">
        <f>N1300*L1300</f>
        <v/>
      </c>
      <c r="P1300" s="10">
        <f>M1300-O1300</f>
        <v/>
      </c>
      <c r="Q1300" s="11" t="inlineStr">
        <is>
          <t>No</t>
        </is>
      </c>
      <c r="R1300" s="11" t="n">
        <v>0</v>
      </c>
      <c r="S1300" s="10">
        <f>M1300-(R1300*K1300)</f>
        <v/>
      </c>
      <c r="T1300" s="12">
        <f>VLOOKUP(E1300,Dim_Product!$A$2:$Q$61,3,FALSE)</f>
        <v/>
      </c>
      <c r="U1300" s="12">
        <f>VLOOKUP(E1300,Dim_Product!$A$2:$Q$61,4,FALSE)</f>
        <v/>
      </c>
      <c r="V1300" s="12">
        <f>VLOOKUP(D1300,Dim_Customer!$A$2:$I$121,6,FALSE)</f>
        <v/>
      </c>
      <c r="W1300" s="12">
        <f>VLOOKUP(G1300,Dim_Channel!$A$2:$B$5,2,FALSE)</f>
        <v/>
      </c>
      <c r="X1300" s="12">
        <f>VLOOKUP(H1300,Dim_Promotion!$A$2:$G$11,2,FALSE)</f>
        <v/>
      </c>
    </row>
    <row r="1301">
      <c r="A1301" s="4" t="inlineStr">
        <is>
          <t>SL1300</t>
        </is>
      </c>
      <c r="B1301" t="inlineStr">
        <is>
          <t>O010650</t>
        </is>
      </c>
      <c r="C1301" t="n">
        <v>20251109</v>
      </c>
      <c r="D1301" s="4" t="inlineStr">
        <is>
          <t>C032</t>
        </is>
      </c>
      <c r="E1301" s="4" t="inlineStr">
        <is>
          <t>P050</t>
        </is>
      </c>
      <c r="F1301" t="inlineStr">
        <is>
          <t>XL</t>
        </is>
      </c>
      <c r="G1301" s="4" t="inlineStr">
        <is>
          <t>CH01</t>
        </is>
      </c>
      <c r="H1301" s="4" t="inlineStr">
        <is>
          <t>PR00</t>
        </is>
      </c>
      <c r="I1301" s="8" t="n">
        <v>68</v>
      </c>
      <c r="J1301" s="9" t="n">
        <v>0</v>
      </c>
      <c r="K1301" s="10">
        <f>I1301*(1-J1301)</f>
        <v/>
      </c>
      <c r="L1301" s="11" t="n">
        <v>1</v>
      </c>
      <c r="M1301" s="10">
        <f>K1301*L1301</f>
        <v/>
      </c>
      <c r="N1301" s="8" t="n">
        <v>30.96</v>
      </c>
      <c r="O1301" s="10">
        <f>N1301*L1301</f>
        <v/>
      </c>
      <c r="P1301" s="10">
        <f>M1301-O1301</f>
        <v/>
      </c>
      <c r="Q1301" s="11" t="inlineStr">
        <is>
          <t>No</t>
        </is>
      </c>
      <c r="R1301" s="11" t="n">
        <v>0</v>
      </c>
      <c r="S1301" s="10">
        <f>M1301-(R1301*K1301)</f>
        <v/>
      </c>
      <c r="T1301" s="12">
        <f>VLOOKUP(E1301,Dim_Product!$A$2:$Q$61,3,FALSE)</f>
        <v/>
      </c>
      <c r="U1301" s="12">
        <f>VLOOKUP(E1301,Dim_Product!$A$2:$Q$61,4,FALSE)</f>
        <v/>
      </c>
      <c r="V1301" s="12">
        <f>VLOOKUP(D1301,Dim_Customer!$A$2:$I$121,6,FALSE)</f>
        <v/>
      </c>
      <c r="W1301" s="12">
        <f>VLOOKUP(G1301,Dim_Channel!$A$2:$B$5,2,FALSE)</f>
        <v/>
      </c>
      <c r="X1301" s="12">
        <f>VLOOKUP(H1301,Dim_Promotion!$A$2:$G$11,2,FALSE)</f>
        <v/>
      </c>
    </row>
    <row r="1302">
      <c r="A1302" s="4" t="inlineStr">
        <is>
          <t>SL1301</t>
        </is>
      </c>
      <c r="B1302" t="inlineStr">
        <is>
          <t>O010651</t>
        </is>
      </c>
      <c r="C1302" t="n">
        <v>20250601</v>
      </c>
      <c r="D1302" s="4" t="inlineStr">
        <is>
          <t>C065</t>
        </is>
      </c>
      <c r="E1302" s="4" t="inlineStr">
        <is>
          <t>P003</t>
        </is>
      </c>
      <c r="F1302" t="inlineStr">
        <is>
          <t>XL</t>
        </is>
      </c>
      <c r="G1302" s="4" t="inlineStr">
        <is>
          <t>CH04</t>
        </is>
      </c>
      <c r="H1302" s="4" t="inlineStr">
        <is>
          <t>PR00</t>
        </is>
      </c>
      <c r="I1302" s="8" t="n">
        <v>43</v>
      </c>
      <c r="J1302" s="9" t="n">
        <v>0</v>
      </c>
      <c r="K1302" s="10">
        <f>I1302*(1-J1302)</f>
        <v/>
      </c>
      <c r="L1302" s="11" t="n">
        <v>1</v>
      </c>
      <c r="M1302" s="10">
        <f>K1302*L1302</f>
        <v/>
      </c>
      <c r="N1302" s="8" t="n">
        <v>20.5</v>
      </c>
      <c r="O1302" s="10">
        <f>N1302*L1302</f>
        <v/>
      </c>
      <c r="P1302" s="10">
        <f>M1302-O1302</f>
        <v/>
      </c>
      <c r="Q1302" s="11" t="inlineStr">
        <is>
          <t>No</t>
        </is>
      </c>
      <c r="R1302" s="11" t="n">
        <v>0</v>
      </c>
      <c r="S1302" s="10">
        <f>M1302-(R1302*K1302)</f>
        <v/>
      </c>
      <c r="T1302" s="12">
        <f>VLOOKUP(E1302,Dim_Product!$A$2:$Q$61,3,FALSE)</f>
        <v/>
      </c>
      <c r="U1302" s="12">
        <f>VLOOKUP(E1302,Dim_Product!$A$2:$Q$61,4,FALSE)</f>
        <v/>
      </c>
      <c r="V1302" s="12">
        <f>VLOOKUP(D1302,Dim_Customer!$A$2:$I$121,6,FALSE)</f>
        <v/>
      </c>
      <c r="W1302" s="12">
        <f>VLOOKUP(G1302,Dim_Channel!$A$2:$B$5,2,FALSE)</f>
        <v/>
      </c>
      <c r="X1302" s="12">
        <f>VLOOKUP(H1302,Dim_Promotion!$A$2:$G$11,2,FALSE)</f>
        <v/>
      </c>
    </row>
    <row r="1303">
      <c r="A1303" s="4" t="inlineStr">
        <is>
          <t>SL1302</t>
        </is>
      </c>
      <c r="B1303" t="inlineStr">
        <is>
          <t>O010651</t>
        </is>
      </c>
      <c r="C1303" t="n">
        <v>20250623</v>
      </c>
      <c r="D1303" s="4" t="inlineStr">
        <is>
          <t>C051</t>
        </is>
      </c>
      <c r="E1303" s="4" t="inlineStr">
        <is>
          <t>P056</t>
        </is>
      </c>
      <c r="F1303" t="inlineStr">
        <is>
          <t>M</t>
        </is>
      </c>
      <c r="G1303" s="4" t="inlineStr">
        <is>
          <t>CH01</t>
        </is>
      </c>
      <c r="H1303" s="4" t="inlineStr">
        <is>
          <t>PR00</t>
        </is>
      </c>
      <c r="I1303" s="8" t="n">
        <v>68</v>
      </c>
      <c r="J1303" s="9" t="n">
        <v>0</v>
      </c>
      <c r="K1303" s="10">
        <f>I1303*(1-J1303)</f>
        <v/>
      </c>
      <c r="L1303" s="11" t="n">
        <v>2</v>
      </c>
      <c r="M1303" s="10">
        <f>K1303*L1303</f>
        <v/>
      </c>
      <c r="N1303" s="8" t="n">
        <v>33.89</v>
      </c>
      <c r="O1303" s="10">
        <f>N1303*L1303</f>
        <v/>
      </c>
      <c r="P1303" s="10">
        <f>M1303-O1303</f>
        <v/>
      </c>
      <c r="Q1303" s="11" t="inlineStr">
        <is>
          <t>No</t>
        </is>
      </c>
      <c r="R1303" s="11" t="n">
        <v>0</v>
      </c>
      <c r="S1303" s="10">
        <f>M1303-(R1303*K1303)</f>
        <v/>
      </c>
      <c r="T1303" s="12">
        <f>VLOOKUP(E1303,Dim_Product!$A$2:$Q$61,3,FALSE)</f>
        <v/>
      </c>
      <c r="U1303" s="12">
        <f>VLOOKUP(E1303,Dim_Product!$A$2:$Q$61,4,FALSE)</f>
        <v/>
      </c>
      <c r="V1303" s="12">
        <f>VLOOKUP(D1303,Dim_Customer!$A$2:$I$121,6,FALSE)</f>
        <v/>
      </c>
      <c r="W1303" s="12">
        <f>VLOOKUP(G1303,Dim_Channel!$A$2:$B$5,2,FALSE)</f>
        <v/>
      </c>
      <c r="X1303" s="12">
        <f>VLOOKUP(H1303,Dim_Promotion!$A$2:$G$11,2,FALSE)</f>
        <v/>
      </c>
    </row>
    <row r="1304">
      <c r="A1304" s="4" t="inlineStr">
        <is>
          <t>SL1303</t>
        </is>
      </c>
      <c r="B1304" t="inlineStr">
        <is>
          <t>O010652</t>
        </is>
      </c>
      <c r="C1304" t="n">
        <v>20250114</v>
      </c>
      <c r="D1304" s="4" t="inlineStr">
        <is>
          <t>C051</t>
        </is>
      </c>
      <c r="E1304" s="4" t="inlineStr">
        <is>
          <t>P059</t>
        </is>
      </c>
      <c r="F1304" t="inlineStr">
        <is>
          <t>L</t>
        </is>
      </c>
      <c r="G1304" s="4" t="inlineStr">
        <is>
          <t>CH01</t>
        </is>
      </c>
      <c r="H1304" s="4" t="inlineStr">
        <is>
          <t>PR00</t>
        </is>
      </c>
      <c r="I1304" s="8" t="n">
        <v>72</v>
      </c>
      <c r="J1304" s="9" t="n">
        <v>0</v>
      </c>
      <c r="K1304" s="10">
        <f>I1304*(1-J1304)</f>
        <v/>
      </c>
      <c r="L1304" s="11" t="n">
        <v>1</v>
      </c>
      <c r="M1304" s="10">
        <f>K1304*L1304</f>
        <v/>
      </c>
      <c r="N1304" s="8" t="n">
        <v>34.55</v>
      </c>
      <c r="O1304" s="10">
        <f>N1304*L1304</f>
        <v/>
      </c>
      <c r="P1304" s="10">
        <f>M1304-O1304</f>
        <v/>
      </c>
      <c r="Q1304" s="11" t="inlineStr">
        <is>
          <t>No</t>
        </is>
      </c>
      <c r="R1304" s="11" t="n">
        <v>0</v>
      </c>
      <c r="S1304" s="10">
        <f>M1304-(R1304*K1304)</f>
        <v/>
      </c>
      <c r="T1304" s="12">
        <f>VLOOKUP(E1304,Dim_Product!$A$2:$Q$61,3,FALSE)</f>
        <v/>
      </c>
      <c r="U1304" s="12">
        <f>VLOOKUP(E1304,Dim_Product!$A$2:$Q$61,4,FALSE)</f>
        <v/>
      </c>
      <c r="V1304" s="12">
        <f>VLOOKUP(D1304,Dim_Customer!$A$2:$I$121,6,FALSE)</f>
        <v/>
      </c>
      <c r="W1304" s="12">
        <f>VLOOKUP(G1304,Dim_Channel!$A$2:$B$5,2,FALSE)</f>
        <v/>
      </c>
      <c r="X1304" s="12">
        <f>VLOOKUP(H1304,Dim_Promotion!$A$2:$G$11,2,FALSE)</f>
        <v/>
      </c>
    </row>
    <row r="1305">
      <c r="A1305" s="4" t="inlineStr">
        <is>
          <t>SL1304</t>
        </is>
      </c>
      <c r="B1305" t="inlineStr">
        <is>
          <t>O010652</t>
        </is>
      </c>
      <c r="C1305" t="n">
        <v>20250328</v>
      </c>
      <c r="D1305" s="4" t="inlineStr">
        <is>
          <t>C022</t>
        </is>
      </c>
      <c r="E1305" s="4" t="inlineStr">
        <is>
          <t>P022</t>
        </is>
      </c>
      <c r="F1305" t="inlineStr">
        <is>
          <t>XL</t>
        </is>
      </c>
      <c r="G1305" s="4" t="inlineStr">
        <is>
          <t>CH01</t>
        </is>
      </c>
      <c r="H1305" s="4" t="inlineStr">
        <is>
          <t>PR00</t>
        </is>
      </c>
      <c r="I1305" s="8" t="n">
        <v>61</v>
      </c>
      <c r="J1305" s="9" t="n">
        <v>0</v>
      </c>
      <c r="K1305" s="10">
        <f>I1305*(1-J1305)</f>
        <v/>
      </c>
      <c r="L1305" s="11" t="n">
        <v>1</v>
      </c>
      <c r="M1305" s="10">
        <f>K1305*L1305</f>
        <v/>
      </c>
      <c r="N1305" s="8" t="n">
        <v>26.91</v>
      </c>
      <c r="O1305" s="10">
        <f>N1305*L1305</f>
        <v/>
      </c>
      <c r="P1305" s="10">
        <f>M1305-O1305</f>
        <v/>
      </c>
      <c r="Q1305" s="11" t="inlineStr">
        <is>
          <t>No</t>
        </is>
      </c>
      <c r="R1305" s="11" t="n">
        <v>0</v>
      </c>
      <c r="S1305" s="10">
        <f>M1305-(R1305*K1305)</f>
        <v/>
      </c>
      <c r="T1305" s="12">
        <f>VLOOKUP(E1305,Dim_Product!$A$2:$Q$61,3,FALSE)</f>
        <v/>
      </c>
      <c r="U1305" s="12">
        <f>VLOOKUP(E1305,Dim_Product!$A$2:$Q$61,4,FALSE)</f>
        <v/>
      </c>
      <c r="V1305" s="12">
        <f>VLOOKUP(D1305,Dim_Customer!$A$2:$I$121,6,FALSE)</f>
        <v/>
      </c>
      <c r="W1305" s="12">
        <f>VLOOKUP(G1305,Dim_Channel!$A$2:$B$5,2,FALSE)</f>
        <v/>
      </c>
      <c r="X1305" s="12">
        <f>VLOOKUP(H1305,Dim_Promotion!$A$2:$G$11,2,FALSE)</f>
        <v/>
      </c>
    </row>
    <row r="1306">
      <c r="A1306" s="4" t="inlineStr">
        <is>
          <t>SL1305</t>
        </is>
      </c>
      <c r="B1306" t="inlineStr">
        <is>
          <t>O010653</t>
        </is>
      </c>
      <c r="C1306" t="n">
        <v>20251218</v>
      </c>
      <c r="D1306" s="4" t="inlineStr">
        <is>
          <t>C090</t>
        </is>
      </c>
      <c r="E1306" s="4" t="inlineStr">
        <is>
          <t>P018</t>
        </is>
      </c>
      <c r="F1306" t="inlineStr">
        <is>
          <t>XS</t>
        </is>
      </c>
      <c r="G1306" s="4" t="inlineStr">
        <is>
          <t>CH04</t>
        </is>
      </c>
      <c r="H1306" s="4" t="inlineStr">
        <is>
          <t>PR00</t>
        </is>
      </c>
      <c r="I1306" s="8" t="n">
        <v>62</v>
      </c>
      <c r="J1306" s="9" t="n">
        <v>0</v>
      </c>
      <c r="K1306" s="10">
        <f>I1306*(1-J1306)</f>
        <v/>
      </c>
      <c r="L1306" s="11" t="n">
        <v>1</v>
      </c>
      <c r="M1306" s="10">
        <f>K1306*L1306</f>
        <v/>
      </c>
      <c r="N1306" s="8" t="n">
        <v>31.3</v>
      </c>
      <c r="O1306" s="10">
        <f>N1306*L1306</f>
        <v/>
      </c>
      <c r="P1306" s="10">
        <f>M1306-O1306</f>
        <v/>
      </c>
      <c r="Q1306" s="11" t="inlineStr">
        <is>
          <t>No</t>
        </is>
      </c>
      <c r="R1306" s="11" t="n">
        <v>0</v>
      </c>
      <c r="S1306" s="10">
        <f>M1306-(R1306*K1306)</f>
        <v/>
      </c>
      <c r="T1306" s="12">
        <f>VLOOKUP(E1306,Dim_Product!$A$2:$Q$61,3,FALSE)</f>
        <v/>
      </c>
      <c r="U1306" s="12">
        <f>VLOOKUP(E1306,Dim_Product!$A$2:$Q$61,4,FALSE)</f>
        <v/>
      </c>
      <c r="V1306" s="12">
        <f>VLOOKUP(D1306,Dim_Customer!$A$2:$I$121,6,FALSE)</f>
        <v/>
      </c>
      <c r="W1306" s="12">
        <f>VLOOKUP(G1306,Dim_Channel!$A$2:$B$5,2,FALSE)</f>
        <v/>
      </c>
      <c r="X1306" s="12">
        <f>VLOOKUP(H1306,Dim_Promotion!$A$2:$G$11,2,FALSE)</f>
        <v/>
      </c>
    </row>
    <row r="1307">
      <c r="A1307" s="4" t="inlineStr">
        <is>
          <t>SL1306</t>
        </is>
      </c>
      <c r="B1307" t="inlineStr">
        <is>
          <t>O010653</t>
        </is>
      </c>
      <c r="C1307" t="n">
        <v>20251220</v>
      </c>
      <c r="D1307" s="4" t="inlineStr">
        <is>
          <t>C013</t>
        </is>
      </c>
      <c r="E1307" s="4" t="inlineStr">
        <is>
          <t>P008</t>
        </is>
      </c>
      <c r="F1307" t="inlineStr">
        <is>
          <t>M</t>
        </is>
      </c>
      <c r="G1307" s="4" t="inlineStr">
        <is>
          <t>CH03</t>
        </is>
      </c>
      <c r="H1307" s="4" t="inlineStr">
        <is>
          <t>PR00</t>
        </is>
      </c>
      <c r="I1307" s="8" t="n">
        <v>54</v>
      </c>
      <c r="J1307" s="9" t="n">
        <v>0</v>
      </c>
      <c r="K1307" s="10">
        <f>I1307*(1-J1307)</f>
        <v/>
      </c>
      <c r="L1307" s="11" t="n">
        <v>1</v>
      </c>
      <c r="M1307" s="10">
        <f>K1307*L1307</f>
        <v/>
      </c>
      <c r="N1307" s="8" t="n">
        <v>23.06</v>
      </c>
      <c r="O1307" s="10">
        <f>N1307*L1307</f>
        <v/>
      </c>
      <c r="P1307" s="10">
        <f>M1307-O1307</f>
        <v/>
      </c>
      <c r="Q1307" s="11" t="inlineStr">
        <is>
          <t>No</t>
        </is>
      </c>
      <c r="R1307" s="11" t="n">
        <v>0</v>
      </c>
      <c r="S1307" s="10">
        <f>M1307-(R1307*K1307)</f>
        <v/>
      </c>
      <c r="T1307" s="12">
        <f>VLOOKUP(E1307,Dim_Product!$A$2:$Q$61,3,FALSE)</f>
        <v/>
      </c>
      <c r="U1307" s="12">
        <f>VLOOKUP(E1307,Dim_Product!$A$2:$Q$61,4,FALSE)</f>
        <v/>
      </c>
      <c r="V1307" s="12">
        <f>VLOOKUP(D1307,Dim_Customer!$A$2:$I$121,6,FALSE)</f>
        <v/>
      </c>
      <c r="W1307" s="12">
        <f>VLOOKUP(G1307,Dim_Channel!$A$2:$B$5,2,FALSE)</f>
        <v/>
      </c>
      <c r="X1307" s="12">
        <f>VLOOKUP(H1307,Dim_Promotion!$A$2:$G$11,2,FALSE)</f>
        <v/>
      </c>
    </row>
    <row r="1308">
      <c r="A1308" s="4" t="inlineStr">
        <is>
          <t>SL1307</t>
        </is>
      </c>
      <c r="B1308" t="inlineStr">
        <is>
          <t>O010654</t>
        </is>
      </c>
      <c r="C1308" t="n">
        <v>20250826</v>
      </c>
      <c r="D1308" s="4" t="inlineStr">
        <is>
          <t>C031</t>
        </is>
      </c>
      <c r="E1308" s="4" t="inlineStr">
        <is>
          <t>P053</t>
        </is>
      </c>
      <c r="F1308" t="inlineStr">
        <is>
          <t>XL</t>
        </is>
      </c>
      <c r="G1308" s="4" t="inlineStr">
        <is>
          <t>CH01</t>
        </is>
      </c>
      <c r="H1308" s="4" t="inlineStr">
        <is>
          <t>PR00</t>
        </is>
      </c>
      <c r="I1308" s="8" t="n">
        <v>74</v>
      </c>
      <c r="J1308" s="9" t="n">
        <v>0</v>
      </c>
      <c r="K1308" s="10">
        <f>I1308*(1-J1308)</f>
        <v/>
      </c>
      <c r="L1308" s="11" t="n">
        <v>1</v>
      </c>
      <c r="M1308" s="10">
        <f>K1308*L1308</f>
        <v/>
      </c>
      <c r="N1308" s="8" t="n">
        <v>34.06</v>
      </c>
      <c r="O1308" s="10">
        <f>N1308*L1308</f>
        <v/>
      </c>
      <c r="P1308" s="10">
        <f>M1308-O1308</f>
        <v/>
      </c>
      <c r="Q1308" s="11" t="inlineStr">
        <is>
          <t>No</t>
        </is>
      </c>
      <c r="R1308" s="11" t="n">
        <v>0</v>
      </c>
      <c r="S1308" s="10">
        <f>M1308-(R1308*K1308)</f>
        <v/>
      </c>
      <c r="T1308" s="12">
        <f>VLOOKUP(E1308,Dim_Product!$A$2:$Q$61,3,FALSE)</f>
        <v/>
      </c>
      <c r="U1308" s="12">
        <f>VLOOKUP(E1308,Dim_Product!$A$2:$Q$61,4,FALSE)</f>
        <v/>
      </c>
      <c r="V1308" s="12">
        <f>VLOOKUP(D1308,Dim_Customer!$A$2:$I$121,6,FALSE)</f>
        <v/>
      </c>
      <c r="W1308" s="12">
        <f>VLOOKUP(G1308,Dim_Channel!$A$2:$B$5,2,FALSE)</f>
        <v/>
      </c>
      <c r="X1308" s="12">
        <f>VLOOKUP(H1308,Dim_Promotion!$A$2:$G$11,2,FALSE)</f>
        <v/>
      </c>
    </row>
    <row r="1309">
      <c r="A1309" s="4" t="inlineStr">
        <is>
          <t>SL1308</t>
        </is>
      </c>
      <c r="B1309" t="inlineStr">
        <is>
          <t>O010654</t>
        </is>
      </c>
      <c r="C1309" t="n">
        <v>20250407</v>
      </c>
      <c r="D1309" s="4" t="inlineStr">
        <is>
          <t>C105</t>
        </is>
      </c>
      <c r="E1309" s="4" t="inlineStr">
        <is>
          <t>P002</t>
        </is>
      </c>
      <c r="F1309" t="inlineStr">
        <is>
          <t>S</t>
        </is>
      </c>
      <c r="G1309" s="4" t="inlineStr">
        <is>
          <t>CH03</t>
        </is>
      </c>
      <c r="H1309" s="4" t="inlineStr">
        <is>
          <t>PR00</t>
        </is>
      </c>
      <c r="I1309" s="8" t="n">
        <v>42</v>
      </c>
      <c r="J1309" s="9" t="n">
        <v>0</v>
      </c>
      <c r="K1309" s="10">
        <f>I1309*(1-J1309)</f>
        <v/>
      </c>
      <c r="L1309" s="11" t="n">
        <v>1</v>
      </c>
      <c r="M1309" s="10">
        <f>K1309*L1309</f>
        <v/>
      </c>
      <c r="N1309" s="8" t="n">
        <v>16.69</v>
      </c>
      <c r="O1309" s="10">
        <f>N1309*L1309</f>
        <v/>
      </c>
      <c r="P1309" s="10">
        <f>M1309-O1309</f>
        <v/>
      </c>
      <c r="Q1309" s="11" t="inlineStr">
        <is>
          <t>No</t>
        </is>
      </c>
      <c r="R1309" s="11" t="n">
        <v>0</v>
      </c>
      <c r="S1309" s="10">
        <f>M1309-(R1309*K1309)</f>
        <v/>
      </c>
      <c r="T1309" s="12">
        <f>VLOOKUP(E1309,Dim_Product!$A$2:$Q$61,3,FALSE)</f>
        <v/>
      </c>
      <c r="U1309" s="12">
        <f>VLOOKUP(E1309,Dim_Product!$A$2:$Q$61,4,FALSE)</f>
        <v/>
      </c>
      <c r="V1309" s="12">
        <f>VLOOKUP(D1309,Dim_Customer!$A$2:$I$121,6,FALSE)</f>
        <v/>
      </c>
      <c r="W1309" s="12">
        <f>VLOOKUP(G1309,Dim_Channel!$A$2:$B$5,2,FALSE)</f>
        <v/>
      </c>
      <c r="X1309" s="12">
        <f>VLOOKUP(H1309,Dim_Promotion!$A$2:$G$11,2,FALSE)</f>
        <v/>
      </c>
    </row>
    <row r="1310">
      <c r="A1310" s="4" t="inlineStr">
        <is>
          <t>SL1309</t>
        </is>
      </c>
      <c r="B1310" t="inlineStr">
        <is>
          <t>O010655</t>
        </is>
      </c>
      <c r="C1310" t="n">
        <v>20250428</v>
      </c>
      <c r="D1310" s="4" t="inlineStr">
        <is>
          <t>C060</t>
        </is>
      </c>
      <c r="E1310" s="4" t="inlineStr">
        <is>
          <t>P046</t>
        </is>
      </c>
      <c r="F1310" t="inlineStr">
        <is>
          <t>M</t>
        </is>
      </c>
      <c r="G1310" s="4" t="inlineStr">
        <is>
          <t>CH02</t>
        </is>
      </c>
      <c r="H1310" s="4" t="inlineStr">
        <is>
          <t>PR00</t>
        </is>
      </c>
      <c r="I1310" s="8" t="n">
        <v>67</v>
      </c>
      <c r="J1310" s="9" t="n">
        <v>0</v>
      </c>
      <c r="K1310" s="10">
        <f>I1310*(1-J1310)</f>
        <v/>
      </c>
      <c r="L1310" s="11" t="n">
        <v>1</v>
      </c>
      <c r="M1310" s="10">
        <f>K1310*L1310</f>
        <v/>
      </c>
      <c r="N1310" s="8" t="n">
        <v>33.75</v>
      </c>
      <c r="O1310" s="10">
        <f>N1310*L1310</f>
        <v/>
      </c>
      <c r="P1310" s="10">
        <f>M1310-O1310</f>
        <v/>
      </c>
      <c r="Q1310" s="11" t="inlineStr">
        <is>
          <t>No</t>
        </is>
      </c>
      <c r="R1310" s="11" t="n">
        <v>0</v>
      </c>
      <c r="S1310" s="10">
        <f>M1310-(R1310*K1310)</f>
        <v/>
      </c>
      <c r="T1310" s="12">
        <f>VLOOKUP(E1310,Dim_Product!$A$2:$Q$61,3,FALSE)</f>
        <v/>
      </c>
      <c r="U1310" s="12">
        <f>VLOOKUP(E1310,Dim_Product!$A$2:$Q$61,4,FALSE)</f>
        <v/>
      </c>
      <c r="V1310" s="12">
        <f>VLOOKUP(D1310,Dim_Customer!$A$2:$I$121,6,FALSE)</f>
        <v/>
      </c>
      <c r="W1310" s="12">
        <f>VLOOKUP(G1310,Dim_Channel!$A$2:$B$5,2,FALSE)</f>
        <v/>
      </c>
      <c r="X1310" s="12">
        <f>VLOOKUP(H1310,Dim_Promotion!$A$2:$G$11,2,FALSE)</f>
        <v/>
      </c>
    </row>
    <row r="1311">
      <c r="A1311" s="4" t="inlineStr">
        <is>
          <t>SL1310</t>
        </is>
      </c>
      <c r="B1311" t="inlineStr">
        <is>
          <t>O010655</t>
        </is>
      </c>
      <c r="C1311" t="n">
        <v>20251224</v>
      </c>
      <c r="D1311" s="4" t="inlineStr">
        <is>
          <t>C099</t>
        </is>
      </c>
      <c r="E1311" s="4" t="inlineStr">
        <is>
          <t>P057</t>
        </is>
      </c>
      <c r="F1311" t="inlineStr">
        <is>
          <t>M</t>
        </is>
      </c>
      <c r="G1311" s="4" t="inlineStr">
        <is>
          <t>CH01</t>
        </is>
      </c>
      <c r="H1311" s="4" t="inlineStr">
        <is>
          <t>PR09</t>
        </is>
      </c>
      <c r="I1311" s="8" t="n">
        <v>75</v>
      </c>
      <c r="J1311" s="9" t="n">
        <v>0.15</v>
      </c>
      <c r="K1311" s="10">
        <f>I1311*(1-J1311)</f>
        <v/>
      </c>
      <c r="L1311" s="11" t="n">
        <v>1</v>
      </c>
      <c r="M1311" s="10">
        <f>K1311*L1311</f>
        <v/>
      </c>
      <c r="N1311" s="8" t="n">
        <v>35.29</v>
      </c>
      <c r="O1311" s="10">
        <f>N1311*L1311</f>
        <v/>
      </c>
      <c r="P1311" s="10">
        <f>M1311-O1311</f>
        <v/>
      </c>
      <c r="Q1311" s="11" t="inlineStr">
        <is>
          <t>No</t>
        </is>
      </c>
      <c r="R1311" s="11" t="n">
        <v>0</v>
      </c>
      <c r="S1311" s="10">
        <f>M1311-(R1311*K1311)</f>
        <v/>
      </c>
      <c r="T1311" s="12">
        <f>VLOOKUP(E1311,Dim_Product!$A$2:$Q$61,3,FALSE)</f>
        <v/>
      </c>
      <c r="U1311" s="12">
        <f>VLOOKUP(E1311,Dim_Product!$A$2:$Q$61,4,FALSE)</f>
        <v/>
      </c>
      <c r="V1311" s="12">
        <f>VLOOKUP(D1311,Dim_Customer!$A$2:$I$121,6,FALSE)</f>
        <v/>
      </c>
      <c r="W1311" s="12">
        <f>VLOOKUP(G1311,Dim_Channel!$A$2:$B$5,2,FALSE)</f>
        <v/>
      </c>
      <c r="X1311" s="12">
        <f>VLOOKUP(H1311,Dim_Promotion!$A$2:$G$11,2,FALSE)</f>
        <v/>
      </c>
    </row>
    <row r="1312">
      <c r="A1312" s="4" t="inlineStr">
        <is>
          <t>SL1311</t>
        </is>
      </c>
      <c r="B1312" t="inlineStr">
        <is>
          <t>O010656</t>
        </is>
      </c>
      <c r="C1312" t="n">
        <v>20250630</v>
      </c>
      <c r="D1312" s="4" t="inlineStr">
        <is>
          <t>C094</t>
        </is>
      </c>
      <c r="E1312" s="4" t="inlineStr">
        <is>
          <t>P035</t>
        </is>
      </c>
      <c r="F1312" t="inlineStr">
        <is>
          <t>XXL</t>
        </is>
      </c>
      <c r="G1312" s="4" t="inlineStr">
        <is>
          <t>CH01</t>
        </is>
      </c>
      <c r="H1312" s="4" t="inlineStr">
        <is>
          <t>PR00</t>
        </is>
      </c>
      <c r="I1312" s="8" t="n">
        <v>86</v>
      </c>
      <c r="J1312" s="9" t="n">
        <v>0</v>
      </c>
      <c r="K1312" s="10">
        <f>I1312*(1-J1312)</f>
        <v/>
      </c>
      <c r="L1312" s="11" t="n">
        <v>1</v>
      </c>
      <c r="M1312" s="10">
        <f>K1312*L1312</f>
        <v/>
      </c>
      <c r="N1312" s="8" t="n">
        <v>42.88</v>
      </c>
      <c r="O1312" s="10">
        <f>N1312*L1312</f>
        <v/>
      </c>
      <c r="P1312" s="10">
        <f>M1312-O1312</f>
        <v/>
      </c>
      <c r="Q1312" s="11" t="inlineStr">
        <is>
          <t>Yes</t>
        </is>
      </c>
      <c r="R1312" s="11" t="n">
        <v>1</v>
      </c>
      <c r="S1312" s="10">
        <f>M1312-(R1312*K1312)</f>
        <v/>
      </c>
      <c r="T1312" s="12">
        <f>VLOOKUP(E1312,Dim_Product!$A$2:$Q$61,3,FALSE)</f>
        <v/>
      </c>
      <c r="U1312" s="12">
        <f>VLOOKUP(E1312,Dim_Product!$A$2:$Q$61,4,FALSE)</f>
        <v/>
      </c>
      <c r="V1312" s="12">
        <f>VLOOKUP(D1312,Dim_Customer!$A$2:$I$121,6,FALSE)</f>
        <v/>
      </c>
      <c r="W1312" s="12">
        <f>VLOOKUP(G1312,Dim_Channel!$A$2:$B$5,2,FALSE)</f>
        <v/>
      </c>
      <c r="X1312" s="12">
        <f>VLOOKUP(H1312,Dim_Promotion!$A$2:$G$11,2,FALSE)</f>
        <v/>
      </c>
    </row>
    <row r="1313">
      <c r="A1313" s="4" t="inlineStr">
        <is>
          <t>SL1312</t>
        </is>
      </c>
      <c r="B1313" t="inlineStr">
        <is>
          <t>O010656</t>
        </is>
      </c>
      <c r="C1313" t="n">
        <v>20250830</v>
      </c>
      <c r="D1313" s="4" t="inlineStr">
        <is>
          <t>C108</t>
        </is>
      </c>
      <c r="E1313" s="4" t="inlineStr">
        <is>
          <t>P017</t>
        </is>
      </c>
      <c r="F1313" t="inlineStr">
        <is>
          <t>S</t>
        </is>
      </c>
      <c r="G1313" s="4" t="inlineStr">
        <is>
          <t>CH03</t>
        </is>
      </c>
      <c r="H1313" s="4" t="inlineStr">
        <is>
          <t>PR00</t>
        </is>
      </c>
      <c r="I1313" s="8" t="n">
        <v>68</v>
      </c>
      <c r="J1313" s="9" t="n">
        <v>0</v>
      </c>
      <c r="K1313" s="10">
        <f>I1313*(1-J1313)</f>
        <v/>
      </c>
      <c r="L1313" s="11" t="n">
        <v>2</v>
      </c>
      <c r="M1313" s="10">
        <f>K1313*L1313</f>
        <v/>
      </c>
      <c r="N1313" s="8" t="n">
        <v>32.07</v>
      </c>
      <c r="O1313" s="10">
        <f>N1313*L1313</f>
        <v/>
      </c>
      <c r="P1313" s="10">
        <f>M1313-O1313</f>
        <v/>
      </c>
      <c r="Q1313" s="11" t="inlineStr">
        <is>
          <t>No</t>
        </is>
      </c>
      <c r="R1313" s="11" t="n">
        <v>0</v>
      </c>
      <c r="S1313" s="10">
        <f>M1313-(R1313*K1313)</f>
        <v/>
      </c>
      <c r="T1313" s="12">
        <f>VLOOKUP(E1313,Dim_Product!$A$2:$Q$61,3,FALSE)</f>
        <v/>
      </c>
      <c r="U1313" s="12">
        <f>VLOOKUP(E1313,Dim_Product!$A$2:$Q$61,4,FALSE)</f>
        <v/>
      </c>
      <c r="V1313" s="12">
        <f>VLOOKUP(D1313,Dim_Customer!$A$2:$I$121,6,FALSE)</f>
        <v/>
      </c>
      <c r="W1313" s="12">
        <f>VLOOKUP(G1313,Dim_Channel!$A$2:$B$5,2,FALSE)</f>
        <v/>
      </c>
      <c r="X1313" s="12">
        <f>VLOOKUP(H1313,Dim_Promotion!$A$2:$G$11,2,FALSE)</f>
        <v/>
      </c>
    </row>
    <row r="1314">
      <c r="A1314" s="4" t="inlineStr">
        <is>
          <t>SL1313</t>
        </is>
      </c>
      <c r="B1314" t="inlineStr">
        <is>
          <t>O010657</t>
        </is>
      </c>
      <c r="C1314" t="n">
        <v>20250515</v>
      </c>
      <c r="D1314" s="4" t="inlineStr">
        <is>
          <t>C024</t>
        </is>
      </c>
      <c r="E1314" s="4" t="inlineStr">
        <is>
          <t>P006</t>
        </is>
      </c>
      <c r="F1314" t="inlineStr">
        <is>
          <t>S</t>
        </is>
      </c>
      <c r="G1314" s="4" t="inlineStr">
        <is>
          <t>CH04</t>
        </is>
      </c>
      <c r="H1314" s="4" t="inlineStr">
        <is>
          <t>PR00</t>
        </is>
      </c>
      <c r="I1314" s="8" t="n">
        <v>48</v>
      </c>
      <c r="J1314" s="9" t="n">
        <v>0</v>
      </c>
      <c r="K1314" s="10">
        <f>I1314*(1-J1314)</f>
        <v/>
      </c>
      <c r="L1314" s="11" t="n">
        <v>4</v>
      </c>
      <c r="M1314" s="10">
        <f>K1314*L1314</f>
        <v/>
      </c>
      <c r="N1314" s="8" t="n">
        <v>20.91</v>
      </c>
      <c r="O1314" s="10">
        <f>N1314*L1314</f>
        <v/>
      </c>
      <c r="P1314" s="10">
        <f>M1314-O1314</f>
        <v/>
      </c>
      <c r="Q1314" s="11" t="inlineStr">
        <is>
          <t>No</t>
        </is>
      </c>
      <c r="R1314" s="11" t="n">
        <v>0</v>
      </c>
      <c r="S1314" s="10">
        <f>M1314-(R1314*K1314)</f>
        <v/>
      </c>
      <c r="T1314" s="12">
        <f>VLOOKUP(E1314,Dim_Product!$A$2:$Q$61,3,FALSE)</f>
        <v/>
      </c>
      <c r="U1314" s="12">
        <f>VLOOKUP(E1314,Dim_Product!$A$2:$Q$61,4,FALSE)</f>
        <v/>
      </c>
      <c r="V1314" s="12">
        <f>VLOOKUP(D1314,Dim_Customer!$A$2:$I$121,6,FALSE)</f>
        <v/>
      </c>
      <c r="W1314" s="12">
        <f>VLOOKUP(G1314,Dim_Channel!$A$2:$B$5,2,FALSE)</f>
        <v/>
      </c>
      <c r="X1314" s="12">
        <f>VLOOKUP(H1314,Dim_Promotion!$A$2:$G$11,2,FALSE)</f>
        <v/>
      </c>
    </row>
    <row r="1315">
      <c r="A1315" s="4" t="inlineStr">
        <is>
          <t>SL1314</t>
        </is>
      </c>
      <c r="B1315" t="inlineStr">
        <is>
          <t>O010657</t>
        </is>
      </c>
      <c r="C1315" t="n">
        <v>20251210</v>
      </c>
      <c r="D1315" s="4" t="inlineStr">
        <is>
          <t>C007</t>
        </is>
      </c>
      <c r="E1315" s="4" t="inlineStr">
        <is>
          <t>P057</t>
        </is>
      </c>
      <c r="F1315" t="inlineStr">
        <is>
          <t>M</t>
        </is>
      </c>
      <c r="G1315" s="4" t="inlineStr">
        <is>
          <t>CH01</t>
        </is>
      </c>
      <c r="H1315" s="4" t="inlineStr">
        <is>
          <t>PR00</t>
        </is>
      </c>
      <c r="I1315" s="8" t="n">
        <v>72</v>
      </c>
      <c r="J1315" s="9" t="n">
        <v>0</v>
      </c>
      <c r="K1315" s="10">
        <f>I1315*(1-J1315)</f>
        <v/>
      </c>
      <c r="L1315" s="11" t="n">
        <v>1</v>
      </c>
      <c r="M1315" s="10">
        <f>K1315*L1315</f>
        <v/>
      </c>
      <c r="N1315" s="8" t="n">
        <v>35.17</v>
      </c>
      <c r="O1315" s="10">
        <f>N1315*L1315</f>
        <v/>
      </c>
      <c r="P1315" s="10">
        <f>M1315-O1315</f>
        <v/>
      </c>
      <c r="Q1315" s="11" t="inlineStr">
        <is>
          <t>No</t>
        </is>
      </c>
      <c r="R1315" s="11" t="n">
        <v>0</v>
      </c>
      <c r="S1315" s="10">
        <f>M1315-(R1315*K1315)</f>
        <v/>
      </c>
      <c r="T1315" s="12">
        <f>VLOOKUP(E1315,Dim_Product!$A$2:$Q$61,3,FALSE)</f>
        <v/>
      </c>
      <c r="U1315" s="12">
        <f>VLOOKUP(E1315,Dim_Product!$A$2:$Q$61,4,FALSE)</f>
        <v/>
      </c>
      <c r="V1315" s="12">
        <f>VLOOKUP(D1315,Dim_Customer!$A$2:$I$121,6,FALSE)</f>
        <v/>
      </c>
      <c r="W1315" s="12">
        <f>VLOOKUP(G1315,Dim_Channel!$A$2:$B$5,2,FALSE)</f>
        <v/>
      </c>
      <c r="X1315" s="12">
        <f>VLOOKUP(H1315,Dim_Promotion!$A$2:$G$11,2,FALSE)</f>
        <v/>
      </c>
    </row>
    <row r="1316">
      <c r="A1316" s="4" t="inlineStr">
        <is>
          <t>SL1315</t>
        </is>
      </c>
      <c r="B1316" t="inlineStr">
        <is>
          <t>O010658</t>
        </is>
      </c>
      <c r="C1316" t="n">
        <v>20250704</v>
      </c>
      <c r="D1316" s="4" t="inlineStr">
        <is>
          <t>C117</t>
        </is>
      </c>
      <c r="E1316" s="4" t="inlineStr">
        <is>
          <t>P040</t>
        </is>
      </c>
      <c r="F1316" t="inlineStr">
        <is>
          <t>M</t>
        </is>
      </c>
      <c r="G1316" s="4" t="inlineStr">
        <is>
          <t>CH03</t>
        </is>
      </c>
      <c r="H1316" s="4" t="inlineStr">
        <is>
          <t>PR00</t>
        </is>
      </c>
      <c r="I1316" s="8" t="n">
        <v>72</v>
      </c>
      <c r="J1316" s="9" t="n">
        <v>0</v>
      </c>
      <c r="K1316" s="10">
        <f>I1316*(1-J1316)</f>
        <v/>
      </c>
      <c r="L1316" s="11" t="n">
        <v>2</v>
      </c>
      <c r="M1316" s="10">
        <f>K1316*L1316</f>
        <v/>
      </c>
      <c r="N1316" s="8" t="n">
        <v>35.2</v>
      </c>
      <c r="O1316" s="10">
        <f>N1316*L1316</f>
        <v/>
      </c>
      <c r="P1316" s="10">
        <f>M1316-O1316</f>
        <v/>
      </c>
      <c r="Q1316" s="11" t="inlineStr">
        <is>
          <t>No</t>
        </is>
      </c>
      <c r="R1316" s="11" t="n">
        <v>0</v>
      </c>
      <c r="S1316" s="10">
        <f>M1316-(R1316*K1316)</f>
        <v/>
      </c>
      <c r="T1316" s="12">
        <f>VLOOKUP(E1316,Dim_Product!$A$2:$Q$61,3,FALSE)</f>
        <v/>
      </c>
      <c r="U1316" s="12">
        <f>VLOOKUP(E1316,Dim_Product!$A$2:$Q$61,4,FALSE)</f>
        <v/>
      </c>
      <c r="V1316" s="12">
        <f>VLOOKUP(D1316,Dim_Customer!$A$2:$I$121,6,FALSE)</f>
        <v/>
      </c>
      <c r="W1316" s="12">
        <f>VLOOKUP(G1316,Dim_Channel!$A$2:$B$5,2,FALSE)</f>
        <v/>
      </c>
      <c r="X1316" s="12">
        <f>VLOOKUP(H1316,Dim_Promotion!$A$2:$G$11,2,FALSE)</f>
        <v/>
      </c>
    </row>
    <row r="1317">
      <c r="A1317" s="4" t="inlineStr">
        <is>
          <t>SL1316</t>
        </is>
      </c>
      <c r="B1317" t="inlineStr">
        <is>
          <t>O010658</t>
        </is>
      </c>
      <c r="C1317" t="n">
        <v>20250212</v>
      </c>
      <c r="D1317" s="4" t="inlineStr">
        <is>
          <t>C094</t>
        </is>
      </c>
      <c r="E1317" s="4" t="inlineStr">
        <is>
          <t>P032</t>
        </is>
      </c>
      <c r="F1317" t="inlineStr">
        <is>
          <t>XL</t>
        </is>
      </c>
      <c r="G1317" s="4" t="inlineStr">
        <is>
          <t>CH01</t>
        </is>
      </c>
      <c r="H1317" s="4" t="inlineStr">
        <is>
          <t>PR00</t>
        </is>
      </c>
      <c r="I1317" s="8" t="n">
        <v>114</v>
      </c>
      <c r="J1317" s="9" t="n">
        <v>0</v>
      </c>
      <c r="K1317" s="10">
        <f>I1317*(1-J1317)</f>
        <v/>
      </c>
      <c r="L1317" s="11" t="n">
        <v>2</v>
      </c>
      <c r="M1317" s="10">
        <f>K1317*L1317</f>
        <v/>
      </c>
      <c r="N1317" s="8" t="n">
        <v>55.47</v>
      </c>
      <c r="O1317" s="10">
        <f>N1317*L1317</f>
        <v/>
      </c>
      <c r="P1317" s="10">
        <f>M1317-O1317</f>
        <v/>
      </c>
      <c r="Q1317" s="11" t="inlineStr">
        <is>
          <t>No</t>
        </is>
      </c>
      <c r="R1317" s="11" t="n">
        <v>0</v>
      </c>
      <c r="S1317" s="10">
        <f>M1317-(R1317*K1317)</f>
        <v/>
      </c>
      <c r="T1317" s="12">
        <f>VLOOKUP(E1317,Dim_Product!$A$2:$Q$61,3,FALSE)</f>
        <v/>
      </c>
      <c r="U1317" s="12">
        <f>VLOOKUP(E1317,Dim_Product!$A$2:$Q$61,4,FALSE)</f>
        <v/>
      </c>
      <c r="V1317" s="12">
        <f>VLOOKUP(D1317,Dim_Customer!$A$2:$I$121,6,FALSE)</f>
        <v/>
      </c>
      <c r="W1317" s="12">
        <f>VLOOKUP(G1317,Dim_Channel!$A$2:$B$5,2,FALSE)</f>
        <v/>
      </c>
      <c r="X1317" s="12">
        <f>VLOOKUP(H1317,Dim_Promotion!$A$2:$G$11,2,FALSE)</f>
        <v/>
      </c>
    </row>
    <row r="1318">
      <c r="A1318" s="4" t="inlineStr">
        <is>
          <t>SL1317</t>
        </is>
      </c>
      <c r="B1318" t="inlineStr">
        <is>
          <t>O010659</t>
        </is>
      </c>
      <c r="C1318" t="n">
        <v>20250715</v>
      </c>
      <c r="D1318" s="4" t="inlineStr">
        <is>
          <t>C034</t>
        </is>
      </c>
      <c r="E1318" s="4" t="inlineStr">
        <is>
          <t>P015</t>
        </is>
      </c>
      <c r="F1318" t="inlineStr">
        <is>
          <t>XL</t>
        </is>
      </c>
      <c r="G1318" s="4" t="inlineStr">
        <is>
          <t>CH02</t>
        </is>
      </c>
      <c r="H1318" s="4" t="inlineStr">
        <is>
          <t>PR00</t>
        </is>
      </c>
      <c r="I1318" s="8" t="n">
        <v>56</v>
      </c>
      <c r="J1318" s="9" t="n">
        <v>0</v>
      </c>
      <c r="K1318" s="10">
        <f>I1318*(1-J1318)</f>
        <v/>
      </c>
      <c r="L1318" s="11" t="n">
        <v>1</v>
      </c>
      <c r="M1318" s="10">
        <f>K1318*L1318</f>
        <v/>
      </c>
      <c r="N1318" s="8" t="n">
        <v>25.74</v>
      </c>
      <c r="O1318" s="10">
        <f>N1318*L1318</f>
        <v/>
      </c>
      <c r="P1318" s="10">
        <f>M1318-O1318</f>
        <v/>
      </c>
      <c r="Q1318" s="11" t="inlineStr">
        <is>
          <t>No</t>
        </is>
      </c>
      <c r="R1318" s="11" t="n">
        <v>0</v>
      </c>
      <c r="S1318" s="10">
        <f>M1318-(R1318*K1318)</f>
        <v/>
      </c>
      <c r="T1318" s="12">
        <f>VLOOKUP(E1318,Dim_Product!$A$2:$Q$61,3,FALSE)</f>
        <v/>
      </c>
      <c r="U1318" s="12">
        <f>VLOOKUP(E1318,Dim_Product!$A$2:$Q$61,4,FALSE)</f>
        <v/>
      </c>
      <c r="V1318" s="12">
        <f>VLOOKUP(D1318,Dim_Customer!$A$2:$I$121,6,FALSE)</f>
        <v/>
      </c>
      <c r="W1318" s="12">
        <f>VLOOKUP(G1318,Dim_Channel!$A$2:$B$5,2,FALSE)</f>
        <v/>
      </c>
      <c r="X1318" s="12">
        <f>VLOOKUP(H1318,Dim_Promotion!$A$2:$G$11,2,FALSE)</f>
        <v/>
      </c>
    </row>
    <row r="1319">
      <c r="A1319" s="4" t="inlineStr">
        <is>
          <t>SL1318</t>
        </is>
      </c>
      <c r="B1319" t="inlineStr">
        <is>
          <t>O010659</t>
        </is>
      </c>
      <c r="C1319" t="n">
        <v>20251101</v>
      </c>
      <c r="D1319" s="4" t="inlineStr">
        <is>
          <t>C089</t>
        </is>
      </c>
      <c r="E1319" s="4" t="inlineStr">
        <is>
          <t>P031</t>
        </is>
      </c>
      <c r="F1319" t="inlineStr">
        <is>
          <t>L</t>
        </is>
      </c>
      <c r="G1319" s="4" t="inlineStr">
        <is>
          <t>CH03</t>
        </is>
      </c>
      <c r="H1319" s="4" t="inlineStr">
        <is>
          <t>PR00</t>
        </is>
      </c>
      <c r="I1319" s="8" t="n">
        <v>113</v>
      </c>
      <c r="J1319" s="9" t="n">
        <v>0</v>
      </c>
      <c r="K1319" s="10">
        <f>I1319*(1-J1319)</f>
        <v/>
      </c>
      <c r="L1319" s="11" t="n">
        <v>1</v>
      </c>
      <c r="M1319" s="10">
        <f>K1319*L1319</f>
        <v/>
      </c>
      <c r="N1319" s="8" t="n">
        <v>54.34</v>
      </c>
      <c r="O1319" s="10">
        <f>N1319*L1319</f>
        <v/>
      </c>
      <c r="P1319" s="10">
        <f>M1319-O1319</f>
        <v/>
      </c>
      <c r="Q1319" s="11" t="inlineStr">
        <is>
          <t>No</t>
        </is>
      </c>
      <c r="R1319" s="11" t="n">
        <v>0</v>
      </c>
      <c r="S1319" s="10">
        <f>M1319-(R1319*K1319)</f>
        <v/>
      </c>
      <c r="T1319" s="12">
        <f>VLOOKUP(E1319,Dim_Product!$A$2:$Q$61,3,FALSE)</f>
        <v/>
      </c>
      <c r="U1319" s="12">
        <f>VLOOKUP(E1319,Dim_Product!$A$2:$Q$61,4,FALSE)</f>
        <v/>
      </c>
      <c r="V1319" s="12">
        <f>VLOOKUP(D1319,Dim_Customer!$A$2:$I$121,6,FALSE)</f>
        <v/>
      </c>
      <c r="W1319" s="12">
        <f>VLOOKUP(G1319,Dim_Channel!$A$2:$B$5,2,FALSE)</f>
        <v/>
      </c>
      <c r="X1319" s="12">
        <f>VLOOKUP(H1319,Dim_Promotion!$A$2:$G$11,2,FALSE)</f>
        <v/>
      </c>
    </row>
    <row r="1320">
      <c r="A1320" s="4" t="inlineStr">
        <is>
          <t>SL1319</t>
        </is>
      </c>
      <c r="B1320" t="inlineStr">
        <is>
          <t>O010660</t>
        </is>
      </c>
      <c r="C1320" t="n">
        <v>20250914</v>
      </c>
      <c r="D1320" s="4" t="inlineStr">
        <is>
          <t>C025</t>
        </is>
      </c>
      <c r="E1320" s="4" t="inlineStr">
        <is>
          <t>P011</t>
        </is>
      </c>
      <c r="F1320" t="inlineStr">
        <is>
          <t>M</t>
        </is>
      </c>
      <c r="G1320" s="4" t="inlineStr">
        <is>
          <t>CH01</t>
        </is>
      </c>
      <c r="H1320" s="4" t="inlineStr">
        <is>
          <t>PR00</t>
        </is>
      </c>
      <c r="I1320" s="8" t="n">
        <v>46</v>
      </c>
      <c r="J1320" s="9" t="n">
        <v>0</v>
      </c>
      <c r="K1320" s="10">
        <f>I1320*(1-J1320)</f>
        <v/>
      </c>
      <c r="L1320" s="11" t="n">
        <v>2</v>
      </c>
      <c r="M1320" s="10">
        <f>K1320*L1320</f>
        <v/>
      </c>
      <c r="N1320" s="8" t="n">
        <v>20.58</v>
      </c>
      <c r="O1320" s="10">
        <f>N1320*L1320</f>
        <v/>
      </c>
      <c r="P1320" s="10">
        <f>M1320-O1320</f>
        <v/>
      </c>
      <c r="Q1320" s="11" t="inlineStr">
        <is>
          <t>No</t>
        </is>
      </c>
      <c r="R1320" s="11" t="n">
        <v>0</v>
      </c>
      <c r="S1320" s="10">
        <f>M1320-(R1320*K1320)</f>
        <v/>
      </c>
      <c r="T1320" s="12">
        <f>VLOOKUP(E1320,Dim_Product!$A$2:$Q$61,3,FALSE)</f>
        <v/>
      </c>
      <c r="U1320" s="12">
        <f>VLOOKUP(E1320,Dim_Product!$A$2:$Q$61,4,FALSE)</f>
        <v/>
      </c>
      <c r="V1320" s="12">
        <f>VLOOKUP(D1320,Dim_Customer!$A$2:$I$121,6,FALSE)</f>
        <v/>
      </c>
      <c r="W1320" s="12">
        <f>VLOOKUP(G1320,Dim_Channel!$A$2:$B$5,2,FALSE)</f>
        <v/>
      </c>
      <c r="X1320" s="12">
        <f>VLOOKUP(H1320,Dim_Promotion!$A$2:$G$11,2,FALSE)</f>
        <v/>
      </c>
    </row>
    <row r="1321">
      <c r="A1321" s="4" t="inlineStr">
        <is>
          <t>SL1320</t>
        </is>
      </c>
      <c r="B1321" t="inlineStr">
        <is>
          <t>O010660</t>
        </is>
      </c>
      <c r="C1321" t="n">
        <v>20250130</v>
      </c>
      <c r="D1321" s="4" t="inlineStr">
        <is>
          <t>C120</t>
        </is>
      </c>
      <c r="E1321" s="4" t="inlineStr">
        <is>
          <t>P021</t>
        </is>
      </c>
      <c r="F1321" t="inlineStr">
        <is>
          <t>L</t>
        </is>
      </c>
      <c r="G1321" s="4" t="inlineStr">
        <is>
          <t>CH01</t>
        </is>
      </c>
      <c r="H1321" s="4" t="inlineStr">
        <is>
          <t>PR00</t>
        </is>
      </c>
      <c r="I1321" s="8" t="n">
        <v>54</v>
      </c>
      <c r="J1321" s="9" t="n">
        <v>0</v>
      </c>
      <c r="K1321" s="10">
        <f>I1321*(1-J1321)</f>
        <v/>
      </c>
      <c r="L1321" s="11" t="n">
        <v>2</v>
      </c>
      <c r="M1321" s="10">
        <f>K1321*L1321</f>
        <v/>
      </c>
      <c r="N1321" s="8" t="n">
        <v>27.55</v>
      </c>
      <c r="O1321" s="10">
        <f>N1321*L1321</f>
        <v/>
      </c>
      <c r="P1321" s="10">
        <f>M1321-O1321</f>
        <v/>
      </c>
      <c r="Q1321" s="11" t="inlineStr">
        <is>
          <t>No</t>
        </is>
      </c>
      <c r="R1321" s="11" t="n">
        <v>0</v>
      </c>
      <c r="S1321" s="10">
        <f>M1321-(R1321*K1321)</f>
        <v/>
      </c>
      <c r="T1321" s="12">
        <f>VLOOKUP(E1321,Dim_Product!$A$2:$Q$61,3,FALSE)</f>
        <v/>
      </c>
      <c r="U1321" s="12">
        <f>VLOOKUP(E1321,Dim_Product!$A$2:$Q$61,4,FALSE)</f>
        <v/>
      </c>
      <c r="V1321" s="12">
        <f>VLOOKUP(D1321,Dim_Customer!$A$2:$I$121,6,FALSE)</f>
        <v/>
      </c>
      <c r="W1321" s="12">
        <f>VLOOKUP(G1321,Dim_Channel!$A$2:$B$5,2,FALSE)</f>
        <v/>
      </c>
      <c r="X1321" s="12">
        <f>VLOOKUP(H1321,Dim_Promotion!$A$2:$G$11,2,FALSE)</f>
        <v/>
      </c>
    </row>
    <row r="1322">
      <c r="A1322" s="4" t="inlineStr">
        <is>
          <t>SL1321</t>
        </is>
      </c>
      <c r="B1322" t="inlineStr">
        <is>
          <t>O010661</t>
        </is>
      </c>
      <c r="C1322" t="n">
        <v>20250728</v>
      </c>
      <c r="D1322" s="4" t="inlineStr">
        <is>
          <t>C025</t>
        </is>
      </c>
      <c r="E1322" s="4" t="inlineStr">
        <is>
          <t>P007</t>
        </is>
      </c>
      <c r="F1322" t="inlineStr">
        <is>
          <t>M</t>
        </is>
      </c>
      <c r="G1322" s="4" t="inlineStr">
        <is>
          <t>CH04</t>
        </is>
      </c>
      <c r="H1322" s="4" t="inlineStr">
        <is>
          <t>PR00</t>
        </is>
      </c>
      <c r="I1322" s="8" t="n">
        <v>50</v>
      </c>
      <c r="J1322" s="9" t="n">
        <v>0</v>
      </c>
      <c r="K1322" s="10">
        <f>I1322*(1-J1322)</f>
        <v/>
      </c>
      <c r="L1322" s="11" t="n">
        <v>2</v>
      </c>
      <c r="M1322" s="10">
        <f>K1322*L1322</f>
        <v/>
      </c>
      <c r="N1322" s="8" t="n">
        <v>22.26</v>
      </c>
      <c r="O1322" s="10">
        <f>N1322*L1322</f>
        <v/>
      </c>
      <c r="P1322" s="10">
        <f>M1322-O1322</f>
        <v/>
      </c>
      <c r="Q1322" s="11" t="inlineStr">
        <is>
          <t>No</t>
        </is>
      </c>
      <c r="R1322" s="11" t="n">
        <v>0</v>
      </c>
      <c r="S1322" s="10">
        <f>M1322-(R1322*K1322)</f>
        <v/>
      </c>
      <c r="T1322" s="12">
        <f>VLOOKUP(E1322,Dim_Product!$A$2:$Q$61,3,FALSE)</f>
        <v/>
      </c>
      <c r="U1322" s="12">
        <f>VLOOKUP(E1322,Dim_Product!$A$2:$Q$61,4,FALSE)</f>
        <v/>
      </c>
      <c r="V1322" s="12">
        <f>VLOOKUP(D1322,Dim_Customer!$A$2:$I$121,6,FALSE)</f>
        <v/>
      </c>
      <c r="W1322" s="12">
        <f>VLOOKUP(G1322,Dim_Channel!$A$2:$B$5,2,FALSE)</f>
        <v/>
      </c>
      <c r="X1322" s="12">
        <f>VLOOKUP(H1322,Dim_Promotion!$A$2:$G$11,2,FALSE)</f>
        <v/>
      </c>
    </row>
    <row r="1323">
      <c r="A1323" s="4" t="inlineStr">
        <is>
          <t>SL1322</t>
        </is>
      </c>
      <c r="B1323" t="inlineStr">
        <is>
          <t>O010661</t>
        </is>
      </c>
      <c r="C1323" t="n">
        <v>20250206</v>
      </c>
      <c r="D1323" s="4" t="inlineStr">
        <is>
          <t>C117</t>
        </is>
      </c>
      <c r="E1323" s="4" t="inlineStr">
        <is>
          <t>P003</t>
        </is>
      </c>
      <c r="F1323" t="inlineStr">
        <is>
          <t>M</t>
        </is>
      </c>
      <c r="G1323" s="4" t="inlineStr">
        <is>
          <t>CH01</t>
        </is>
      </c>
      <c r="H1323" s="4" t="inlineStr">
        <is>
          <t>PR00</t>
        </is>
      </c>
      <c r="I1323" s="8" t="n">
        <v>43</v>
      </c>
      <c r="J1323" s="9" t="n">
        <v>0</v>
      </c>
      <c r="K1323" s="10">
        <f>I1323*(1-J1323)</f>
        <v/>
      </c>
      <c r="L1323" s="11" t="n">
        <v>1</v>
      </c>
      <c r="M1323" s="10">
        <f>K1323*L1323</f>
        <v/>
      </c>
      <c r="N1323" s="8" t="n">
        <v>20.47</v>
      </c>
      <c r="O1323" s="10">
        <f>N1323*L1323</f>
        <v/>
      </c>
      <c r="P1323" s="10">
        <f>M1323-O1323</f>
        <v/>
      </c>
      <c r="Q1323" s="11" t="inlineStr">
        <is>
          <t>No</t>
        </is>
      </c>
      <c r="R1323" s="11" t="n">
        <v>0</v>
      </c>
      <c r="S1323" s="10">
        <f>M1323-(R1323*K1323)</f>
        <v/>
      </c>
      <c r="T1323" s="12">
        <f>VLOOKUP(E1323,Dim_Product!$A$2:$Q$61,3,FALSE)</f>
        <v/>
      </c>
      <c r="U1323" s="12">
        <f>VLOOKUP(E1323,Dim_Product!$A$2:$Q$61,4,FALSE)</f>
        <v/>
      </c>
      <c r="V1323" s="12">
        <f>VLOOKUP(D1323,Dim_Customer!$A$2:$I$121,6,FALSE)</f>
        <v/>
      </c>
      <c r="W1323" s="12">
        <f>VLOOKUP(G1323,Dim_Channel!$A$2:$B$5,2,FALSE)</f>
        <v/>
      </c>
      <c r="X1323" s="12">
        <f>VLOOKUP(H1323,Dim_Promotion!$A$2:$G$11,2,FALSE)</f>
        <v/>
      </c>
    </row>
    <row r="1324">
      <c r="A1324" s="4" t="inlineStr">
        <is>
          <t>SL1323</t>
        </is>
      </c>
      <c r="B1324" t="inlineStr">
        <is>
          <t>O010662</t>
        </is>
      </c>
      <c r="C1324" t="n">
        <v>20250324</v>
      </c>
      <c r="D1324" s="4" t="inlineStr">
        <is>
          <t>C081</t>
        </is>
      </c>
      <c r="E1324" s="4" t="inlineStr">
        <is>
          <t>P019</t>
        </is>
      </c>
      <c r="F1324" t="inlineStr">
        <is>
          <t>XL</t>
        </is>
      </c>
      <c r="G1324" s="4" t="inlineStr">
        <is>
          <t>CH01</t>
        </is>
      </c>
      <c r="H1324" s="4" t="inlineStr">
        <is>
          <t>PR00</t>
        </is>
      </c>
      <c r="I1324" s="8" t="n">
        <v>64</v>
      </c>
      <c r="J1324" s="9" t="n">
        <v>0</v>
      </c>
      <c r="K1324" s="10">
        <f>I1324*(1-J1324)</f>
        <v/>
      </c>
      <c r="L1324" s="11" t="n">
        <v>2</v>
      </c>
      <c r="M1324" s="10">
        <f>K1324*L1324</f>
        <v/>
      </c>
      <c r="N1324" s="8" t="n">
        <v>31.64</v>
      </c>
      <c r="O1324" s="10">
        <f>N1324*L1324</f>
        <v/>
      </c>
      <c r="P1324" s="10">
        <f>M1324-O1324</f>
        <v/>
      </c>
      <c r="Q1324" s="11" t="inlineStr">
        <is>
          <t>No</t>
        </is>
      </c>
      <c r="R1324" s="11" t="n">
        <v>0</v>
      </c>
      <c r="S1324" s="10">
        <f>M1324-(R1324*K1324)</f>
        <v/>
      </c>
      <c r="T1324" s="12">
        <f>VLOOKUP(E1324,Dim_Product!$A$2:$Q$61,3,FALSE)</f>
        <v/>
      </c>
      <c r="U1324" s="12">
        <f>VLOOKUP(E1324,Dim_Product!$A$2:$Q$61,4,FALSE)</f>
        <v/>
      </c>
      <c r="V1324" s="12">
        <f>VLOOKUP(D1324,Dim_Customer!$A$2:$I$121,6,FALSE)</f>
        <v/>
      </c>
      <c r="W1324" s="12">
        <f>VLOOKUP(G1324,Dim_Channel!$A$2:$B$5,2,FALSE)</f>
        <v/>
      </c>
      <c r="X1324" s="12">
        <f>VLOOKUP(H1324,Dim_Promotion!$A$2:$G$11,2,FALSE)</f>
        <v/>
      </c>
    </row>
    <row r="1325">
      <c r="A1325" s="4" t="inlineStr">
        <is>
          <t>SL1324</t>
        </is>
      </c>
      <c r="B1325" t="inlineStr">
        <is>
          <t>O010662</t>
        </is>
      </c>
      <c r="C1325" t="n">
        <v>20250927</v>
      </c>
      <c r="D1325" s="4" t="inlineStr">
        <is>
          <t>C057</t>
        </is>
      </c>
      <c r="E1325" s="4" t="inlineStr">
        <is>
          <t>P013</t>
        </is>
      </c>
      <c r="F1325" t="inlineStr">
        <is>
          <t>XL</t>
        </is>
      </c>
      <c r="G1325" s="4" t="inlineStr">
        <is>
          <t>CH04</t>
        </is>
      </c>
      <c r="H1325" s="4" t="inlineStr">
        <is>
          <t>PR00</t>
        </is>
      </c>
      <c r="I1325" s="8" t="n">
        <v>61</v>
      </c>
      <c r="J1325" s="9" t="n">
        <v>0</v>
      </c>
      <c r="K1325" s="10">
        <f>I1325*(1-J1325)</f>
        <v/>
      </c>
      <c r="L1325" s="11" t="n">
        <v>1</v>
      </c>
      <c r="M1325" s="10">
        <f>K1325*L1325</f>
        <v/>
      </c>
      <c r="N1325" s="8" t="n">
        <v>26.77</v>
      </c>
      <c r="O1325" s="10">
        <f>N1325*L1325</f>
        <v/>
      </c>
      <c r="P1325" s="10">
        <f>M1325-O1325</f>
        <v/>
      </c>
      <c r="Q1325" s="11" t="inlineStr">
        <is>
          <t>No</t>
        </is>
      </c>
      <c r="R1325" s="11" t="n">
        <v>0</v>
      </c>
      <c r="S1325" s="10">
        <f>M1325-(R1325*K1325)</f>
        <v/>
      </c>
      <c r="T1325" s="12">
        <f>VLOOKUP(E1325,Dim_Product!$A$2:$Q$61,3,FALSE)</f>
        <v/>
      </c>
      <c r="U1325" s="12">
        <f>VLOOKUP(E1325,Dim_Product!$A$2:$Q$61,4,FALSE)</f>
        <v/>
      </c>
      <c r="V1325" s="12">
        <f>VLOOKUP(D1325,Dim_Customer!$A$2:$I$121,6,FALSE)</f>
        <v/>
      </c>
      <c r="W1325" s="12">
        <f>VLOOKUP(G1325,Dim_Channel!$A$2:$B$5,2,FALSE)</f>
        <v/>
      </c>
      <c r="X1325" s="12">
        <f>VLOOKUP(H1325,Dim_Promotion!$A$2:$G$11,2,FALSE)</f>
        <v/>
      </c>
    </row>
    <row r="1326">
      <c r="A1326" s="4" t="inlineStr">
        <is>
          <t>SL1325</t>
        </is>
      </c>
      <c r="B1326" t="inlineStr">
        <is>
          <t>O010663</t>
        </is>
      </c>
      <c r="C1326" t="n">
        <v>20250412</v>
      </c>
      <c r="D1326" s="4" t="inlineStr">
        <is>
          <t>C029</t>
        </is>
      </c>
      <c r="E1326" s="4" t="inlineStr">
        <is>
          <t>P007</t>
        </is>
      </c>
      <c r="F1326" t="inlineStr">
        <is>
          <t>S</t>
        </is>
      </c>
      <c r="G1326" s="4" t="inlineStr">
        <is>
          <t>CH01</t>
        </is>
      </c>
      <c r="H1326" s="4" t="inlineStr">
        <is>
          <t>PR00</t>
        </is>
      </c>
      <c r="I1326" s="8" t="n">
        <v>48</v>
      </c>
      <c r="J1326" s="9" t="n">
        <v>0</v>
      </c>
      <c r="K1326" s="10">
        <f>I1326*(1-J1326)</f>
        <v/>
      </c>
      <c r="L1326" s="11" t="n">
        <v>1</v>
      </c>
      <c r="M1326" s="10">
        <f>K1326*L1326</f>
        <v/>
      </c>
      <c r="N1326" s="8" t="n">
        <v>22.17</v>
      </c>
      <c r="O1326" s="10">
        <f>N1326*L1326</f>
        <v/>
      </c>
      <c r="P1326" s="10">
        <f>M1326-O1326</f>
        <v/>
      </c>
      <c r="Q1326" s="11" t="inlineStr">
        <is>
          <t>No</t>
        </is>
      </c>
      <c r="R1326" s="11" t="n">
        <v>0</v>
      </c>
      <c r="S1326" s="10">
        <f>M1326-(R1326*K1326)</f>
        <v/>
      </c>
      <c r="T1326" s="12">
        <f>VLOOKUP(E1326,Dim_Product!$A$2:$Q$61,3,FALSE)</f>
        <v/>
      </c>
      <c r="U1326" s="12">
        <f>VLOOKUP(E1326,Dim_Product!$A$2:$Q$61,4,FALSE)</f>
        <v/>
      </c>
      <c r="V1326" s="12">
        <f>VLOOKUP(D1326,Dim_Customer!$A$2:$I$121,6,FALSE)</f>
        <v/>
      </c>
      <c r="W1326" s="12">
        <f>VLOOKUP(G1326,Dim_Channel!$A$2:$B$5,2,FALSE)</f>
        <v/>
      </c>
      <c r="X1326" s="12">
        <f>VLOOKUP(H1326,Dim_Promotion!$A$2:$G$11,2,FALSE)</f>
        <v/>
      </c>
    </row>
    <row r="1327">
      <c r="A1327" s="4" t="inlineStr">
        <is>
          <t>SL1326</t>
        </is>
      </c>
      <c r="B1327" t="inlineStr">
        <is>
          <t>O010663</t>
        </is>
      </c>
      <c r="C1327" t="n">
        <v>20250616</v>
      </c>
      <c r="D1327" s="4" t="inlineStr">
        <is>
          <t>C101</t>
        </is>
      </c>
      <c r="E1327" s="4" t="inlineStr">
        <is>
          <t>P048</t>
        </is>
      </c>
      <c r="F1327" t="inlineStr">
        <is>
          <t>S</t>
        </is>
      </c>
      <c r="G1327" s="4" t="inlineStr">
        <is>
          <t>CH01</t>
        </is>
      </c>
      <c r="H1327" s="4" t="inlineStr">
        <is>
          <t>PR00</t>
        </is>
      </c>
      <c r="I1327" s="8" t="n">
        <v>69</v>
      </c>
      <c r="J1327" s="9" t="n">
        <v>0</v>
      </c>
      <c r="K1327" s="10">
        <f>I1327*(1-J1327)</f>
        <v/>
      </c>
      <c r="L1327" s="11" t="n">
        <v>1</v>
      </c>
      <c r="M1327" s="10">
        <f>K1327*L1327</f>
        <v/>
      </c>
      <c r="N1327" s="8" t="n">
        <v>33.62</v>
      </c>
      <c r="O1327" s="10">
        <f>N1327*L1327</f>
        <v/>
      </c>
      <c r="P1327" s="10">
        <f>M1327-O1327</f>
        <v/>
      </c>
      <c r="Q1327" s="11" t="inlineStr">
        <is>
          <t>No</t>
        </is>
      </c>
      <c r="R1327" s="11" t="n">
        <v>0</v>
      </c>
      <c r="S1327" s="10">
        <f>M1327-(R1327*K1327)</f>
        <v/>
      </c>
      <c r="T1327" s="12">
        <f>VLOOKUP(E1327,Dim_Product!$A$2:$Q$61,3,FALSE)</f>
        <v/>
      </c>
      <c r="U1327" s="12">
        <f>VLOOKUP(E1327,Dim_Product!$A$2:$Q$61,4,FALSE)</f>
        <v/>
      </c>
      <c r="V1327" s="12">
        <f>VLOOKUP(D1327,Dim_Customer!$A$2:$I$121,6,FALSE)</f>
        <v/>
      </c>
      <c r="W1327" s="12">
        <f>VLOOKUP(G1327,Dim_Channel!$A$2:$B$5,2,FALSE)</f>
        <v/>
      </c>
      <c r="X1327" s="12">
        <f>VLOOKUP(H1327,Dim_Promotion!$A$2:$G$11,2,FALSE)</f>
        <v/>
      </c>
    </row>
    <row r="1328">
      <c r="A1328" s="4" t="inlineStr">
        <is>
          <t>SL1327</t>
        </is>
      </c>
      <c r="B1328" t="inlineStr">
        <is>
          <t>O010664</t>
        </is>
      </c>
      <c r="C1328" t="n">
        <v>20251208</v>
      </c>
      <c r="D1328" s="4" t="inlineStr">
        <is>
          <t>C115</t>
        </is>
      </c>
      <c r="E1328" s="4" t="inlineStr">
        <is>
          <t>P058</t>
        </is>
      </c>
      <c r="F1328" t="inlineStr">
        <is>
          <t>L</t>
        </is>
      </c>
      <c r="G1328" s="4" t="inlineStr">
        <is>
          <t>CH01</t>
        </is>
      </c>
      <c r="H1328" s="4" t="inlineStr">
        <is>
          <t>PR00</t>
        </is>
      </c>
      <c r="I1328" s="8" t="n">
        <v>75</v>
      </c>
      <c r="J1328" s="9" t="n">
        <v>0</v>
      </c>
      <c r="K1328" s="10">
        <f>I1328*(1-J1328)</f>
        <v/>
      </c>
      <c r="L1328" s="11" t="n">
        <v>3</v>
      </c>
      <c r="M1328" s="10">
        <f>K1328*L1328</f>
        <v/>
      </c>
      <c r="N1328" s="8" t="n">
        <v>36.93</v>
      </c>
      <c r="O1328" s="10">
        <f>N1328*L1328</f>
        <v/>
      </c>
      <c r="P1328" s="10">
        <f>M1328-O1328</f>
        <v/>
      </c>
      <c r="Q1328" s="11" t="inlineStr">
        <is>
          <t>No</t>
        </is>
      </c>
      <c r="R1328" s="11" t="n">
        <v>0</v>
      </c>
      <c r="S1328" s="10">
        <f>M1328-(R1328*K1328)</f>
        <v/>
      </c>
      <c r="T1328" s="12">
        <f>VLOOKUP(E1328,Dim_Product!$A$2:$Q$61,3,FALSE)</f>
        <v/>
      </c>
      <c r="U1328" s="12">
        <f>VLOOKUP(E1328,Dim_Product!$A$2:$Q$61,4,FALSE)</f>
        <v/>
      </c>
      <c r="V1328" s="12">
        <f>VLOOKUP(D1328,Dim_Customer!$A$2:$I$121,6,FALSE)</f>
        <v/>
      </c>
      <c r="W1328" s="12">
        <f>VLOOKUP(G1328,Dim_Channel!$A$2:$B$5,2,FALSE)</f>
        <v/>
      </c>
      <c r="X1328" s="12">
        <f>VLOOKUP(H1328,Dim_Promotion!$A$2:$G$11,2,FALSE)</f>
        <v/>
      </c>
    </row>
    <row r="1329">
      <c r="A1329" s="4" t="inlineStr">
        <is>
          <t>SL1328</t>
        </is>
      </c>
      <c r="B1329" t="inlineStr">
        <is>
          <t>O010664</t>
        </is>
      </c>
      <c r="C1329" t="n">
        <v>20250413</v>
      </c>
      <c r="D1329" s="4" t="inlineStr">
        <is>
          <t>C062</t>
        </is>
      </c>
      <c r="E1329" s="4" t="inlineStr">
        <is>
          <t>P011</t>
        </is>
      </c>
      <c r="F1329" t="inlineStr">
        <is>
          <t>M</t>
        </is>
      </c>
      <c r="G1329" s="4" t="inlineStr">
        <is>
          <t>CH01</t>
        </is>
      </c>
      <c r="H1329" s="4" t="inlineStr">
        <is>
          <t>PR03</t>
        </is>
      </c>
      <c r="I1329" s="8" t="n">
        <v>46</v>
      </c>
      <c r="J1329" s="9" t="n">
        <v>0.08</v>
      </c>
      <c r="K1329" s="10">
        <f>I1329*(1-J1329)</f>
        <v/>
      </c>
      <c r="L1329" s="11" t="n">
        <v>4</v>
      </c>
      <c r="M1329" s="10">
        <f>K1329*L1329</f>
        <v/>
      </c>
      <c r="N1329" s="8" t="n">
        <v>20.78</v>
      </c>
      <c r="O1329" s="10">
        <f>N1329*L1329</f>
        <v/>
      </c>
      <c r="P1329" s="10">
        <f>M1329-O1329</f>
        <v/>
      </c>
      <c r="Q1329" s="11" t="inlineStr">
        <is>
          <t>No</t>
        </is>
      </c>
      <c r="R1329" s="11" t="n">
        <v>0</v>
      </c>
      <c r="S1329" s="10">
        <f>M1329-(R1329*K1329)</f>
        <v/>
      </c>
      <c r="T1329" s="12">
        <f>VLOOKUP(E1329,Dim_Product!$A$2:$Q$61,3,FALSE)</f>
        <v/>
      </c>
      <c r="U1329" s="12">
        <f>VLOOKUP(E1329,Dim_Product!$A$2:$Q$61,4,FALSE)</f>
        <v/>
      </c>
      <c r="V1329" s="12">
        <f>VLOOKUP(D1329,Dim_Customer!$A$2:$I$121,6,FALSE)</f>
        <v/>
      </c>
      <c r="W1329" s="12">
        <f>VLOOKUP(G1329,Dim_Channel!$A$2:$B$5,2,FALSE)</f>
        <v/>
      </c>
      <c r="X1329" s="12">
        <f>VLOOKUP(H1329,Dim_Promotion!$A$2:$G$11,2,FALSE)</f>
        <v/>
      </c>
    </row>
    <row r="1330">
      <c r="A1330" s="4" t="inlineStr">
        <is>
          <t>SL1329</t>
        </is>
      </c>
      <c r="B1330" t="inlineStr">
        <is>
          <t>O010665</t>
        </is>
      </c>
      <c r="C1330" t="n">
        <v>20250323</v>
      </c>
      <c r="D1330" s="4" t="inlineStr">
        <is>
          <t>C066</t>
        </is>
      </c>
      <c r="E1330" s="4" t="inlineStr">
        <is>
          <t>P002</t>
        </is>
      </c>
      <c r="F1330" t="inlineStr">
        <is>
          <t>L</t>
        </is>
      </c>
      <c r="G1330" s="4" t="inlineStr">
        <is>
          <t>CH01</t>
        </is>
      </c>
      <c r="H1330" s="4" t="inlineStr">
        <is>
          <t>PR00</t>
        </is>
      </c>
      <c r="I1330" s="8" t="n">
        <v>42</v>
      </c>
      <c r="J1330" s="9" t="n">
        <v>0</v>
      </c>
      <c r="K1330" s="10">
        <f>I1330*(1-J1330)</f>
        <v/>
      </c>
      <c r="L1330" s="11" t="n">
        <v>1</v>
      </c>
      <c r="M1330" s="10">
        <f>K1330*L1330</f>
        <v/>
      </c>
      <c r="N1330" s="8" t="n">
        <v>17.49</v>
      </c>
      <c r="O1330" s="10">
        <f>N1330*L1330</f>
        <v/>
      </c>
      <c r="P1330" s="10">
        <f>M1330-O1330</f>
        <v/>
      </c>
      <c r="Q1330" s="11" t="inlineStr">
        <is>
          <t>No</t>
        </is>
      </c>
      <c r="R1330" s="11" t="n">
        <v>0</v>
      </c>
      <c r="S1330" s="10">
        <f>M1330-(R1330*K1330)</f>
        <v/>
      </c>
      <c r="T1330" s="12">
        <f>VLOOKUP(E1330,Dim_Product!$A$2:$Q$61,3,FALSE)</f>
        <v/>
      </c>
      <c r="U1330" s="12">
        <f>VLOOKUP(E1330,Dim_Product!$A$2:$Q$61,4,FALSE)</f>
        <v/>
      </c>
      <c r="V1330" s="12">
        <f>VLOOKUP(D1330,Dim_Customer!$A$2:$I$121,6,FALSE)</f>
        <v/>
      </c>
      <c r="W1330" s="12">
        <f>VLOOKUP(G1330,Dim_Channel!$A$2:$B$5,2,FALSE)</f>
        <v/>
      </c>
      <c r="X1330" s="12">
        <f>VLOOKUP(H1330,Dim_Promotion!$A$2:$G$11,2,FALSE)</f>
        <v/>
      </c>
    </row>
    <row r="1331">
      <c r="A1331" s="4" t="inlineStr">
        <is>
          <t>SL1330</t>
        </is>
      </c>
      <c r="B1331" t="inlineStr">
        <is>
          <t>O010665</t>
        </is>
      </c>
      <c r="C1331" t="n">
        <v>20250906</v>
      </c>
      <c r="D1331" s="4" t="inlineStr">
        <is>
          <t>C023</t>
        </is>
      </c>
      <c r="E1331" s="4" t="inlineStr">
        <is>
          <t>P043</t>
        </is>
      </c>
      <c r="F1331" t="inlineStr">
        <is>
          <t>XS</t>
        </is>
      </c>
      <c r="G1331" s="4" t="inlineStr">
        <is>
          <t>CH02</t>
        </is>
      </c>
      <c r="H1331" s="4" t="inlineStr">
        <is>
          <t>PR00</t>
        </is>
      </c>
      <c r="I1331" s="8" t="n">
        <v>80</v>
      </c>
      <c r="J1331" s="9" t="n">
        <v>0</v>
      </c>
      <c r="K1331" s="10">
        <f>I1331*(1-J1331)</f>
        <v/>
      </c>
      <c r="L1331" s="11" t="n">
        <v>1</v>
      </c>
      <c r="M1331" s="10">
        <f>K1331*L1331</f>
        <v/>
      </c>
      <c r="N1331" s="8" t="n">
        <v>38.74</v>
      </c>
      <c r="O1331" s="10">
        <f>N1331*L1331</f>
        <v/>
      </c>
      <c r="P1331" s="10">
        <f>M1331-O1331</f>
        <v/>
      </c>
      <c r="Q1331" s="11" t="inlineStr">
        <is>
          <t>No</t>
        </is>
      </c>
      <c r="R1331" s="11" t="n">
        <v>0</v>
      </c>
      <c r="S1331" s="10">
        <f>M1331-(R1331*K1331)</f>
        <v/>
      </c>
      <c r="T1331" s="12">
        <f>VLOOKUP(E1331,Dim_Product!$A$2:$Q$61,3,FALSE)</f>
        <v/>
      </c>
      <c r="U1331" s="12">
        <f>VLOOKUP(E1331,Dim_Product!$A$2:$Q$61,4,FALSE)</f>
        <v/>
      </c>
      <c r="V1331" s="12">
        <f>VLOOKUP(D1331,Dim_Customer!$A$2:$I$121,6,FALSE)</f>
        <v/>
      </c>
      <c r="W1331" s="12">
        <f>VLOOKUP(G1331,Dim_Channel!$A$2:$B$5,2,FALSE)</f>
        <v/>
      </c>
      <c r="X1331" s="12">
        <f>VLOOKUP(H1331,Dim_Promotion!$A$2:$G$11,2,FALSE)</f>
        <v/>
      </c>
    </row>
    <row r="1332">
      <c r="A1332" s="4" t="inlineStr">
        <is>
          <t>SL1331</t>
        </is>
      </c>
      <c r="B1332" t="inlineStr">
        <is>
          <t>O010666</t>
        </is>
      </c>
      <c r="C1332" t="n">
        <v>20250429</v>
      </c>
      <c r="D1332" s="4" t="inlineStr">
        <is>
          <t>C082</t>
        </is>
      </c>
      <c r="E1332" s="4" t="inlineStr">
        <is>
          <t>P047</t>
        </is>
      </c>
      <c r="F1332" t="inlineStr">
        <is>
          <t>L</t>
        </is>
      </c>
      <c r="G1332" s="4" t="inlineStr">
        <is>
          <t>CH01</t>
        </is>
      </c>
      <c r="H1332" s="4" t="inlineStr">
        <is>
          <t>PR00</t>
        </is>
      </c>
      <c r="I1332" s="8" t="n">
        <v>72</v>
      </c>
      <c r="J1332" s="9" t="n">
        <v>0</v>
      </c>
      <c r="K1332" s="10">
        <f>I1332*(1-J1332)</f>
        <v/>
      </c>
      <c r="L1332" s="11" t="n">
        <v>1</v>
      </c>
      <c r="M1332" s="10">
        <f>K1332*L1332</f>
        <v/>
      </c>
      <c r="N1332" s="8" t="n">
        <v>31.85</v>
      </c>
      <c r="O1332" s="10">
        <f>N1332*L1332</f>
        <v/>
      </c>
      <c r="P1332" s="10">
        <f>M1332-O1332</f>
        <v/>
      </c>
      <c r="Q1332" s="11" t="inlineStr">
        <is>
          <t>No</t>
        </is>
      </c>
      <c r="R1332" s="11" t="n">
        <v>0</v>
      </c>
      <c r="S1332" s="10">
        <f>M1332-(R1332*K1332)</f>
        <v/>
      </c>
      <c r="T1332" s="12">
        <f>VLOOKUP(E1332,Dim_Product!$A$2:$Q$61,3,FALSE)</f>
        <v/>
      </c>
      <c r="U1332" s="12">
        <f>VLOOKUP(E1332,Dim_Product!$A$2:$Q$61,4,FALSE)</f>
        <v/>
      </c>
      <c r="V1332" s="12">
        <f>VLOOKUP(D1332,Dim_Customer!$A$2:$I$121,6,FALSE)</f>
        <v/>
      </c>
      <c r="W1332" s="12">
        <f>VLOOKUP(G1332,Dim_Channel!$A$2:$B$5,2,FALSE)</f>
        <v/>
      </c>
      <c r="X1332" s="12">
        <f>VLOOKUP(H1332,Dim_Promotion!$A$2:$G$11,2,FALSE)</f>
        <v/>
      </c>
    </row>
    <row r="1333">
      <c r="A1333" s="4" t="inlineStr">
        <is>
          <t>SL1332</t>
        </is>
      </c>
      <c r="B1333" t="inlineStr">
        <is>
          <t>O010666</t>
        </is>
      </c>
      <c r="C1333" t="n">
        <v>20251101</v>
      </c>
      <c r="D1333" s="4" t="inlineStr">
        <is>
          <t>C063</t>
        </is>
      </c>
      <c r="E1333" s="4" t="inlineStr">
        <is>
          <t>P039</t>
        </is>
      </c>
      <c r="F1333" t="inlineStr">
        <is>
          <t>M</t>
        </is>
      </c>
      <c r="G1333" s="4" t="inlineStr">
        <is>
          <t>CH01</t>
        </is>
      </c>
      <c r="H1333" s="4" t="inlineStr">
        <is>
          <t>PR00</t>
        </is>
      </c>
      <c r="I1333" s="8" t="n">
        <v>74</v>
      </c>
      <c r="J1333" s="9" t="n">
        <v>0</v>
      </c>
      <c r="K1333" s="10">
        <f>I1333*(1-J1333)</f>
        <v/>
      </c>
      <c r="L1333" s="11" t="n">
        <v>1</v>
      </c>
      <c r="M1333" s="10">
        <f>K1333*L1333</f>
        <v/>
      </c>
      <c r="N1333" s="8" t="n">
        <v>36.71</v>
      </c>
      <c r="O1333" s="10">
        <f>N1333*L1333</f>
        <v/>
      </c>
      <c r="P1333" s="10">
        <f>M1333-O1333</f>
        <v/>
      </c>
      <c r="Q1333" s="11" t="inlineStr">
        <is>
          <t>No</t>
        </is>
      </c>
      <c r="R1333" s="11" t="n">
        <v>0</v>
      </c>
      <c r="S1333" s="10">
        <f>M1333-(R1333*K1333)</f>
        <v/>
      </c>
      <c r="T1333" s="12">
        <f>VLOOKUP(E1333,Dim_Product!$A$2:$Q$61,3,FALSE)</f>
        <v/>
      </c>
      <c r="U1333" s="12">
        <f>VLOOKUP(E1333,Dim_Product!$A$2:$Q$61,4,FALSE)</f>
        <v/>
      </c>
      <c r="V1333" s="12">
        <f>VLOOKUP(D1333,Dim_Customer!$A$2:$I$121,6,FALSE)</f>
        <v/>
      </c>
      <c r="W1333" s="12">
        <f>VLOOKUP(G1333,Dim_Channel!$A$2:$B$5,2,FALSE)</f>
        <v/>
      </c>
      <c r="X1333" s="12">
        <f>VLOOKUP(H1333,Dim_Promotion!$A$2:$G$11,2,FALSE)</f>
        <v/>
      </c>
    </row>
    <row r="1334">
      <c r="A1334" s="4" t="inlineStr">
        <is>
          <t>SL1333</t>
        </is>
      </c>
      <c r="B1334" t="inlineStr">
        <is>
          <t>O010667</t>
        </is>
      </c>
      <c r="C1334" t="n">
        <v>20250613</v>
      </c>
      <c r="D1334" s="4" t="inlineStr">
        <is>
          <t>C085</t>
        </is>
      </c>
      <c r="E1334" s="4" t="inlineStr">
        <is>
          <t>P039</t>
        </is>
      </c>
      <c r="F1334" t="inlineStr">
        <is>
          <t>L</t>
        </is>
      </c>
      <c r="G1334" s="4" t="inlineStr">
        <is>
          <t>CH03</t>
        </is>
      </c>
      <c r="H1334" s="4" t="inlineStr">
        <is>
          <t>PR00</t>
        </is>
      </c>
      <c r="I1334" s="8" t="n">
        <v>72</v>
      </c>
      <c r="J1334" s="9" t="n">
        <v>0</v>
      </c>
      <c r="K1334" s="10">
        <f>I1334*(1-J1334)</f>
        <v/>
      </c>
      <c r="L1334" s="11" t="n">
        <v>1</v>
      </c>
      <c r="M1334" s="10">
        <f>K1334*L1334</f>
        <v/>
      </c>
      <c r="N1334" s="8" t="n">
        <v>35.88</v>
      </c>
      <c r="O1334" s="10">
        <f>N1334*L1334</f>
        <v/>
      </c>
      <c r="P1334" s="10">
        <f>M1334-O1334</f>
        <v/>
      </c>
      <c r="Q1334" s="11" t="inlineStr">
        <is>
          <t>No</t>
        </is>
      </c>
      <c r="R1334" s="11" t="n">
        <v>0</v>
      </c>
      <c r="S1334" s="10">
        <f>M1334-(R1334*K1334)</f>
        <v/>
      </c>
      <c r="T1334" s="12">
        <f>VLOOKUP(E1334,Dim_Product!$A$2:$Q$61,3,FALSE)</f>
        <v/>
      </c>
      <c r="U1334" s="12">
        <f>VLOOKUP(E1334,Dim_Product!$A$2:$Q$61,4,FALSE)</f>
        <v/>
      </c>
      <c r="V1334" s="12">
        <f>VLOOKUP(D1334,Dim_Customer!$A$2:$I$121,6,FALSE)</f>
        <v/>
      </c>
      <c r="W1334" s="12">
        <f>VLOOKUP(G1334,Dim_Channel!$A$2:$B$5,2,FALSE)</f>
        <v/>
      </c>
      <c r="X1334" s="12">
        <f>VLOOKUP(H1334,Dim_Promotion!$A$2:$G$11,2,FALSE)</f>
        <v/>
      </c>
    </row>
    <row r="1335">
      <c r="A1335" s="4" t="inlineStr">
        <is>
          <t>SL1334</t>
        </is>
      </c>
      <c r="B1335" t="inlineStr">
        <is>
          <t>O010667</t>
        </is>
      </c>
      <c r="C1335" t="n">
        <v>20250609</v>
      </c>
      <c r="D1335" s="4" t="inlineStr">
        <is>
          <t>C073</t>
        </is>
      </c>
      <c r="E1335" s="4" t="inlineStr">
        <is>
          <t>P004</t>
        </is>
      </c>
      <c r="F1335" t="inlineStr">
        <is>
          <t>L</t>
        </is>
      </c>
      <c r="G1335" s="4" t="inlineStr">
        <is>
          <t>CH01</t>
        </is>
      </c>
      <c r="H1335" s="4" t="inlineStr">
        <is>
          <t>PR00</t>
        </is>
      </c>
      <c r="I1335" s="8" t="n">
        <v>42</v>
      </c>
      <c r="J1335" s="9" t="n">
        <v>0</v>
      </c>
      <c r="K1335" s="10">
        <f>I1335*(1-J1335)</f>
        <v/>
      </c>
      <c r="L1335" s="11" t="n">
        <v>1</v>
      </c>
      <c r="M1335" s="10">
        <f>K1335*L1335</f>
        <v/>
      </c>
      <c r="N1335" s="8" t="n">
        <v>19.27</v>
      </c>
      <c r="O1335" s="10">
        <f>N1335*L1335</f>
        <v/>
      </c>
      <c r="P1335" s="10">
        <f>M1335-O1335</f>
        <v/>
      </c>
      <c r="Q1335" s="11" t="inlineStr">
        <is>
          <t>No</t>
        </is>
      </c>
      <c r="R1335" s="11" t="n">
        <v>0</v>
      </c>
      <c r="S1335" s="10">
        <f>M1335-(R1335*K1335)</f>
        <v/>
      </c>
      <c r="T1335" s="12">
        <f>VLOOKUP(E1335,Dim_Product!$A$2:$Q$61,3,FALSE)</f>
        <v/>
      </c>
      <c r="U1335" s="12">
        <f>VLOOKUP(E1335,Dim_Product!$A$2:$Q$61,4,FALSE)</f>
        <v/>
      </c>
      <c r="V1335" s="12">
        <f>VLOOKUP(D1335,Dim_Customer!$A$2:$I$121,6,FALSE)</f>
        <v/>
      </c>
      <c r="W1335" s="12">
        <f>VLOOKUP(G1335,Dim_Channel!$A$2:$B$5,2,FALSE)</f>
        <v/>
      </c>
      <c r="X1335" s="12">
        <f>VLOOKUP(H1335,Dim_Promotion!$A$2:$G$11,2,FALSE)</f>
        <v/>
      </c>
    </row>
    <row r="1336">
      <c r="A1336" s="4" t="inlineStr">
        <is>
          <t>SL1335</t>
        </is>
      </c>
      <c r="B1336" t="inlineStr">
        <is>
          <t>O010668</t>
        </is>
      </c>
      <c r="C1336" t="n">
        <v>20250514</v>
      </c>
      <c r="D1336" s="4" t="inlineStr">
        <is>
          <t>C035</t>
        </is>
      </c>
      <c r="E1336" s="4" t="inlineStr">
        <is>
          <t>P005</t>
        </is>
      </c>
      <c r="F1336" t="inlineStr">
        <is>
          <t>L</t>
        </is>
      </c>
      <c r="G1336" s="4" t="inlineStr">
        <is>
          <t>CH01</t>
        </is>
      </c>
      <c r="H1336" s="4" t="inlineStr">
        <is>
          <t>PR00</t>
        </is>
      </c>
      <c r="I1336" s="8" t="n">
        <v>52</v>
      </c>
      <c r="J1336" s="9" t="n">
        <v>0</v>
      </c>
      <c r="K1336" s="10">
        <f>I1336*(1-J1336)</f>
        <v/>
      </c>
      <c r="L1336" s="11" t="n">
        <v>2</v>
      </c>
      <c r="M1336" s="10">
        <f>K1336*L1336</f>
        <v/>
      </c>
      <c r="N1336" s="8" t="n">
        <v>19.67</v>
      </c>
      <c r="O1336" s="10">
        <f>N1336*L1336</f>
        <v/>
      </c>
      <c r="P1336" s="10">
        <f>M1336-O1336</f>
        <v/>
      </c>
      <c r="Q1336" s="11" t="inlineStr">
        <is>
          <t>No</t>
        </is>
      </c>
      <c r="R1336" s="11" t="n">
        <v>0</v>
      </c>
      <c r="S1336" s="10">
        <f>M1336-(R1336*K1336)</f>
        <v/>
      </c>
      <c r="T1336" s="12">
        <f>VLOOKUP(E1336,Dim_Product!$A$2:$Q$61,3,FALSE)</f>
        <v/>
      </c>
      <c r="U1336" s="12">
        <f>VLOOKUP(E1336,Dim_Product!$A$2:$Q$61,4,FALSE)</f>
        <v/>
      </c>
      <c r="V1336" s="12">
        <f>VLOOKUP(D1336,Dim_Customer!$A$2:$I$121,6,FALSE)</f>
        <v/>
      </c>
      <c r="W1336" s="12">
        <f>VLOOKUP(G1336,Dim_Channel!$A$2:$B$5,2,FALSE)</f>
        <v/>
      </c>
      <c r="X1336" s="12">
        <f>VLOOKUP(H1336,Dim_Promotion!$A$2:$G$11,2,FALSE)</f>
        <v/>
      </c>
    </row>
    <row r="1337">
      <c r="A1337" s="4" t="inlineStr">
        <is>
          <t>SL1336</t>
        </is>
      </c>
      <c r="B1337" t="inlineStr">
        <is>
          <t>O010668</t>
        </is>
      </c>
      <c r="C1337" t="n">
        <v>20251101</v>
      </c>
      <c r="D1337" s="4" t="inlineStr">
        <is>
          <t>C033</t>
        </is>
      </c>
      <c r="E1337" s="4" t="inlineStr">
        <is>
          <t>P039</t>
        </is>
      </c>
      <c r="F1337" t="inlineStr">
        <is>
          <t>L</t>
        </is>
      </c>
      <c r="G1337" s="4" t="inlineStr">
        <is>
          <t>CH02</t>
        </is>
      </c>
      <c r="H1337" s="4" t="inlineStr">
        <is>
          <t>PR00</t>
        </is>
      </c>
      <c r="I1337" s="8" t="n">
        <v>72</v>
      </c>
      <c r="J1337" s="9" t="n">
        <v>0</v>
      </c>
      <c r="K1337" s="10">
        <f>I1337*(1-J1337)</f>
        <v/>
      </c>
      <c r="L1337" s="11" t="n">
        <v>1</v>
      </c>
      <c r="M1337" s="10">
        <f>K1337*L1337</f>
        <v/>
      </c>
      <c r="N1337" s="8" t="n">
        <v>35.44</v>
      </c>
      <c r="O1337" s="10">
        <f>N1337*L1337</f>
        <v/>
      </c>
      <c r="P1337" s="10">
        <f>M1337-O1337</f>
        <v/>
      </c>
      <c r="Q1337" s="11" t="inlineStr">
        <is>
          <t>No</t>
        </is>
      </c>
      <c r="R1337" s="11" t="n">
        <v>0</v>
      </c>
      <c r="S1337" s="10">
        <f>M1337-(R1337*K1337)</f>
        <v/>
      </c>
      <c r="T1337" s="12">
        <f>VLOOKUP(E1337,Dim_Product!$A$2:$Q$61,3,FALSE)</f>
        <v/>
      </c>
      <c r="U1337" s="12">
        <f>VLOOKUP(E1337,Dim_Product!$A$2:$Q$61,4,FALSE)</f>
        <v/>
      </c>
      <c r="V1337" s="12">
        <f>VLOOKUP(D1337,Dim_Customer!$A$2:$I$121,6,FALSE)</f>
        <v/>
      </c>
      <c r="W1337" s="12">
        <f>VLOOKUP(G1337,Dim_Channel!$A$2:$B$5,2,FALSE)</f>
        <v/>
      </c>
      <c r="X1337" s="12">
        <f>VLOOKUP(H1337,Dim_Promotion!$A$2:$G$11,2,FALSE)</f>
        <v/>
      </c>
    </row>
    <row r="1338">
      <c r="A1338" s="4" t="inlineStr">
        <is>
          <t>SL1337</t>
        </is>
      </c>
      <c r="B1338" t="inlineStr">
        <is>
          <t>O010669</t>
        </is>
      </c>
      <c r="C1338" t="n">
        <v>20250423</v>
      </c>
      <c r="D1338" s="4" t="inlineStr">
        <is>
          <t>C056</t>
        </is>
      </c>
      <c r="E1338" s="4" t="inlineStr">
        <is>
          <t>P054</t>
        </is>
      </c>
      <c r="F1338" t="inlineStr">
        <is>
          <t>M</t>
        </is>
      </c>
      <c r="G1338" s="4" t="inlineStr">
        <is>
          <t>CH02</t>
        </is>
      </c>
      <c r="H1338" s="4" t="inlineStr">
        <is>
          <t>PR00</t>
        </is>
      </c>
      <c r="I1338" s="8" t="n">
        <v>72</v>
      </c>
      <c r="J1338" s="9" t="n">
        <v>0</v>
      </c>
      <c r="K1338" s="10">
        <f>I1338*(1-J1338)</f>
        <v/>
      </c>
      <c r="L1338" s="11" t="n">
        <v>1</v>
      </c>
      <c r="M1338" s="10">
        <f>K1338*L1338</f>
        <v/>
      </c>
      <c r="N1338" s="8" t="n">
        <v>31.35</v>
      </c>
      <c r="O1338" s="10">
        <f>N1338*L1338</f>
        <v/>
      </c>
      <c r="P1338" s="10">
        <f>M1338-O1338</f>
        <v/>
      </c>
      <c r="Q1338" s="11" t="inlineStr">
        <is>
          <t>No</t>
        </is>
      </c>
      <c r="R1338" s="11" t="n">
        <v>0</v>
      </c>
      <c r="S1338" s="10">
        <f>M1338-(R1338*K1338)</f>
        <v/>
      </c>
      <c r="T1338" s="12">
        <f>VLOOKUP(E1338,Dim_Product!$A$2:$Q$61,3,FALSE)</f>
        <v/>
      </c>
      <c r="U1338" s="12">
        <f>VLOOKUP(E1338,Dim_Product!$A$2:$Q$61,4,FALSE)</f>
        <v/>
      </c>
      <c r="V1338" s="12">
        <f>VLOOKUP(D1338,Dim_Customer!$A$2:$I$121,6,FALSE)</f>
        <v/>
      </c>
      <c r="W1338" s="12">
        <f>VLOOKUP(G1338,Dim_Channel!$A$2:$B$5,2,FALSE)</f>
        <v/>
      </c>
      <c r="X1338" s="12">
        <f>VLOOKUP(H1338,Dim_Promotion!$A$2:$G$11,2,FALSE)</f>
        <v/>
      </c>
    </row>
    <row r="1339">
      <c r="A1339" s="4" t="inlineStr">
        <is>
          <t>SL1338</t>
        </is>
      </c>
      <c r="B1339" t="inlineStr">
        <is>
          <t>O010669</t>
        </is>
      </c>
      <c r="C1339" t="n">
        <v>20250316</v>
      </c>
      <c r="D1339" s="4" t="inlineStr">
        <is>
          <t>C115</t>
        </is>
      </c>
      <c r="E1339" s="4" t="inlineStr">
        <is>
          <t>P028</t>
        </is>
      </c>
      <c r="F1339" t="inlineStr">
        <is>
          <t>L</t>
        </is>
      </c>
      <c r="G1339" s="4" t="inlineStr">
        <is>
          <t>CH03</t>
        </is>
      </c>
      <c r="H1339" s="4" t="inlineStr">
        <is>
          <t>PR00</t>
        </is>
      </c>
      <c r="I1339" s="8" t="n">
        <v>98</v>
      </c>
      <c r="J1339" s="9" t="n">
        <v>0</v>
      </c>
      <c r="K1339" s="10">
        <f>I1339*(1-J1339)</f>
        <v/>
      </c>
      <c r="L1339" s="11" t="n">
        <v>1</v>
      </c>
      <c r="M1339" s="10">
        <f>K1339*L1339</f>
        <v/>
      </c>
      <c r="N1339" s="8" t="n">
        <v>47.12</v>
      </c>
      <c r="O1339" s="10">
        <f>N1339*L1339</f>
        <v/>
      </c>
      <c r="P1339" s="10">
        <f>M1339-O1339</f>
        <v/>
      </c>
      <c r="Q1339" s="11" t="inlineStr">
        <is>
          <t>No</t>
        </is>
      </c>
      <c r="R1339" s="11" t="n">
        <v>0</v>
      </c>
      <c r="S1339" s="10">
        <f>M1339-(R1339*K1339)</f>
        <v/>
      </c>
      <c r="T1339" s="12">
        <f>VLOOKUP(E1339,Dim_Product!$A$2:$Q$61,3,FALSE)</f>
        <v/>
      </c>
      <c r="U1339" s="12">
        <f>VLOOKUP(E1339,Dim_Product!$A$2:$Q$61,4,FALSE)</f>
        <v/>
      </c>
      <c r="V1339" s="12">
        <f>VLOOKUP(D1339,Dim_Customer!$A$2:$I$121,6,FALSE)</f>
        <v/>
      </c>
      <c r="W1339" s="12">
        <f>VLOOKUP(G1339,Dim_Channel!$A$2:$B$5,2,FALSE)</f>
        <v/>
      </c>
      <c r="X1339" s="12">
        <f>VLOOKUP(H1339,Dim_Promotion!$A$2:$G$11,2,FALSE)</f>
        <v/>
      </c>
    </row>
    <row r="1340">
      <c r="A1340" s="4" t="inlineStr">
        <is>
          <t>SL1339</t>
        </is>
      </c>
      <c r="B1340" t="inlineStr">
        <is>
          <t>O010670</t>
        </is>
      </c>
      <c r="C1340" t="n">
        <v>20251017</v>
      </c>
      <c r="D1340" s="4" t="inlineStr">
        <is>
          <t>C069</t>
        </is>
      </c>
      <c r="E1340" s="4" t="inlineStr">
        <is>
          <t>P036</t>
        </is>
      </c>
      <c r="F1340" t="inlineStr">
        <is>
          <t>M</t>
        </is>
      </c>
      <c r="G1340" s="4" t="inlineStr">
        <is>
          <t>CH01</t>
        </is>
      </c>
      <c r="H1340" s="4" t="inlineStr">
        <is>
          <t>PR00</t>
        </is>
      </c>
      <c r="I1340" s="8" t="n">
        <v>90</v>
      </c>
      <c r="J1340" s="9" t="n">
        <v>0</v>
      </c>
      <c r="K1340" s="10">
        <f>I1340*(1-J1340)</f>
        <v/>
      </c>
      <c r="L1340" s="11" t="n">
        <v>2</v>
      </c>
      <c r="M1340" s="10">
        <f>K1340*L1340</f>
        <v/>
      </c>
      <c r="N1340" s="8" t="n">
        <v>42.92</v>
      </c>
      <c r="O1340" s="10">
        <f>N1340*L1340</f>
        <v/>
      </c>
      <c r="P1340" s="10">
        <f>M1340-O1340</f>
        <v/>
      </c>
      <c r="Q1340" s="11" t="inlineStr">
        <is>
          <t>No</t>
        </is>
      </c>
      <c r="R1340" s="11" t="n">
        <v>0</v>
      </c>
      <c r="S1340" s="10">
        <f>M1340-(R1340*K1340)</f>
        <v/>
      </c>
      <c r="T1340" s="12">
        <f>VLOOKUP(E1340,Dim_Product!$A$2:$Q$61,3,FALSE)</f>
        <v/>
      </c>
      <c r="U1340" s="12">
        <f>VLOOKUP(E1340,Dim_Product!$A$2:$Q$61,4,FALSE)</f>
        <v/>
      </c>
      <c r="V1340" s="12">
        <f>VLOOKUP(D1340,Dim_Customer!$A$2:$I$121,6,FALSE)</f>
        <v/>
      </c>
      <c r="W1340" s="12">
        <f>VLOOKUP(G1340,Dim_Channel!$A$2:$B$5,2,FALSE)</f>
        <v/>
      </c>
      <c r="X1340" s="12">
        <f>VLOOKUP(H1340,Dim_Promotion!$A$2:$G$11,2,FALSE)</f>
        <v/>
      </c>
    </row>
    <row r="1341">
      <c r="A1341" s="4" t="inlineStr">
        <is>
          <t>SL1340</t>
        </is>
      </c>
      <c r="B1341" t="inlineStr">
        <is>
          <t>O010670</t>
        </is>
      </c>
      <c r="C1341" t="n">
        <v>20250203</v>
      </c>
      <c r="D1341" s="4" t="inlineStr">
        <is>
          <t>C081</t>
        </is>
      </c>
      <c r="E1341" s="4" t="inlineStr">
        <is>
          <t>P045</t>
        </is>
      </c>
      <c r="F1341" t="inlineStr">
        <is>
          <t>S</t>
        </is>
      </c>
      <c r="G1341" s="4" t="inlineStr">
        <is>
          <t>CH04</t>
        </is>
      </c>
      <c r="H1341" s="4" t="inlineStr">
        <is>
          <t>PR02</t>
        </is>
      </c>
      <c r="I1341" s="8" t="n">
        <v>68</v>
      </c>
      <c r="J1341" s="9" t="n">
        <v>0.15</v>
      </c>
      <c r="K1341" s="10">
        <f>I1341*(1-J1341)</f>
        <v/>
      </c>
      <c r="L1341" s="11" t="n">
        <v>1</v>
      </c>
      <c r="M1341" s="10">
        <f>K1341*L1341</f>
        <v/>
      </c>
      <c r="N1341" s="8" t="n">
        <v>32.7</v>
      </c>
      <c r="O1341" s="10">
        <f>N1341*L1341</f>
        <v/>
      </c>
      <c r="P1341" s="10">
        <f>M1341-O1341</f>
        <v/>
      </c>
      <c r="Q1341" s="11" t="inlineStr">
        <is>
          <t>No</t>
        </is>
      </c>
      <c r="R1341" s="11" t="n">
        <v>0</v>
      </c>
      <c r="S1341" s="10">
        <f>M1341-(R1341*K1341)</f>
        <v/>
      </c>
      <c r="T1341" s="12">
        <f>VLOOKUP(E1341,Dim_Product!$A$2:$Q$61,3,FALSE)</f>
        <v/>
      </c>
      <c r="U1341" s="12">
        <f>VLOOKUP(E1341,Dim_Product!$A$2:$Q$61,4,FALSE)</f>
        <v/>
      </c>
      <c r="V1341" s="12">
        <f>VLOOKUP(D1341,Dim_Customer!$A$2:$I$121,6,FALSE)</f>
        <v/>
      </c>
      <c r="W1341" s="12">
        <f>VLOOKUP(G1341,Dim_Channel!$A$2:$B$5,2,FALSE)</f>
        <v/>
      </c>
      <c r="X1341" s="12">
        <f>VLOOKUP(H1341,Dim_Promotion!$A$2:$G$11,2,FALSE)</f>
        <v/>
      </c>
    </row>
    <row r="1342">
      <c r="A1342" s="4" t="inlineStr">
        <is>
          <t>SL1341</t>
        </is>
      </c>
      <c r="B1342" t="inlineStr">
        <is>
          <t>O010671</t>
        </is>
      </c>
      <c r="C1342" t="n">
        <v>20250104</v>
      </c>
      <c r="D1342" s="4" t="inlineStr">
        <is>
          <t>C076</t>
        </is>
      </c>
      <c r="E1342" s="4" t="inlineStr">
        <is>
          <t>P046</t>
        </is>
      </c>
      <c r="F1342" t="inlineStr">
        <is>
          <t>S</t>
        </is>
      </c>
      <c r="G1342" s="4" t="inlineStr">
        <is>
          <t>CH04</t>
        </is>
      </c>
      <c r="H1342" s="4" t="inlineStr">
        <is>
          <t>PR00</t>
        </is>
      </c>
      <c r="I1342" s="8" t="n">
        <v>66</v>
      </c>
      <c r="J1342" s="9" t="n">
        <v>0</v>
      </c>
      <c r="K1342" s="10">
        <f>I1342*(1-J1342)</f>
        <v/>
      </c>
      <c r="L1342" s="11" t="n">
        <v>1</v>
      </c>
      <c r="M1342" s="10">
        <f>K1342*L1342</f>
        <v/>
      </c>
      <c r="N1342" s="8" t="n">
        <v>33.75</v>
      </c>
      <c r="O1342" s="10">
        <f>N1342*L1342</f>
        <v/>
      </c>
      <c r="P1342" s="10">
        <f>M1342-O1342</f>
        <v/>
      </c>
      <c r="Q1342" s="11" t="inlineStr">
        <is>
          <t>Yes</t>
        </is>
      </c>
      <c r="R1342" s="11" t="n">
        <v>1</v>
      </c>
      <c r="S1342" s="10">
        <f>M1342-(R1342*K1342)</f>
        <v/>
      </c>
      <c r="T1342" s="12">
        <f>VLOOKUP(E1342,Dim_Product!$A$2:$Q$61,3,FALSE)</f>
        <v/>
      </c>
      <c r="U1342" s="12">
        <f>VLOOKUP(E1342,Dim_Product!$A$2:$Q$61,4,FALSE)</f>
        <v/>
      </c>
      <c r="V1342" s="12">
        <f>VLOOKUP(D1342,Dim_Customer!$A$2:$I$121,6,FALSE)</f>
        <v/>
      </c>
      <c r="W1342" s="12">
        <f>VLOOKUP(G1342,Dim_Channel!$A$2:$B$5,2,FALSE)</f>
        <v/>
      </c>
      <c r="X1342" s="12">
        <f>VLOOKUP(H1342,Dim_Promotion!$A$2:$G$11,2,FALSE)</f>
        <v/>
      </c>
    </row>
    <row r="1343">
      <c r="A1343" s="4" t="inlineStr">
        <is>
          <t>SL1342</t>
        </is>
      </c>
      <c r="B1343" t="inlineStr">
        <is>
          <t>O010671</t>
        </is>
      </c>
      <c r="C1343" t="n">
        <v>20251215</v>
      </c>
      <c r="D1343" s="4" t="inlineStr">
        <is>
          <t>C051</t>
        </is>
      </c>
      <c r="E1343" s="4" t="inlineStr">
        <is>
          <t>P017</t>
        </is>
      </c>
      <c r="F1343" t="inlineStr">
        <is>
          <t>L</t>
        </is>
      </c>
      <c r="G1343" s="4" t="inlineStr">
        <is>
          <t>CH01</t>
        </is>
      </c>
      <c r="H1343" s="4" t="inlineStr">
        <is>
          <t>PR00</t>
        </is>
      </c>
      <c r="I1343" s="8" t="n">
        <v>69</v>
      </c>
      <c r="J1343" s="9" t="n">
        <v>0</v>
      </c>
      <c r="K1343" s="10">
        <f>I1343*(1-J1343)</f>
        <v/>
      </c>
      <c r="L1343" s="11" t="n">
        <v>3</v>
      </c>
      <c r="M1343" s="10">
        <f>K1343*L1343</f>
        <v/>
      </c>
      <c r="N1343" s="8" t="n">
        <v>33.06</v>
      </c>
      <c r="O1343" s="10">
        <f>N1343*L1343</f>
        <v/>
      </c>
      <c r="P1343" s="10">
        <f>M1343-O1343</f>
        <v/>
      </c>
      <c r="Q1343" s="11" t="inlineStr">
        <is>
          <t>No</t>
        </is>
      </c>
      <c r="R1343" s="11" t="n">
        <v>0</v>
      </c>
      <c r="S1343" s="10">
        <f>M1343-(R1343*K1343)</f>
        <v/>
      </c>
      <c r="T1343" s="12">
        <f>VLOOKUP(E1343,Dim_Product!$A$2:$Q$61,3,FALSE)</f>
        <v/>
      </c>
      <c r="U1343" s="12">
        <f>VLOOKUP(E1343,Dim_Product!$A$2:$Q$61,4,FALSE)</f>
        <v/>
      </c>
      <c r="V1343" s="12">
        <f>VLOOKUP(D1343,Dim_Customer!$A$2:$I$121,6,FALSE)</f>
        <v/>
      </c>
      <c r="W1343" s="12">
        <f>VLOOKUP(G1343,Dim_Channel!$A$2:$B$5,2,FALSE)</f>
        <v/>
      </c>
      <c r="X1343" s="12">
        <f>VLOOKUP(H1343,Dim_Promotion!$A$2:$G$11,2,FALSE)</f>
        <v/>
      </c>
    </row>
    <row r="1344">
      <c r="A1344" s="4" t="inlineStr">
        <is>
          <t>SL1343</t>
        </is>
      </c>
      <c r="B1344" t="inlineStr">
        <is>
          <t>O010672</t>
        </is>
      </c>
      <c r="C1344" t="n">
        <v>20251113</v>
      </c>
      <c r="D1344" s="4" t="inlineStr">
        <is>
          <t>C114</t>
        </is>
      </c>
      <c r="E1344" s="4" t="inlineStr">
        <is>
          <t>P020</t>
        </is>
      </c>
      <c r="F1344" t="inlineStr">
        <is>
          <t>XS</t>
        </is>
      </c>
      <c r="G1344" s="4" t="inlineStr">
        <is>
          <t>CH04</t>
        </is>
      </c>
      <c r="H1344" s="4" t="inlineStr">
        <is>
          <t>PR00</t>
        </is>
      </c>
      <c r="I1344" s="8" t="n">
        <v>64</v>
      </c>
      <c r="J1344" s="9" t="n">
        <v>0</v>
      </c>
      <c r="K1344" s="10">
        <f>I1344*(1-J1344)</f>
        <v/>
      </c>
      <c r="L1344" s="11" t="n">
        <v>1</v>
      </c>
      <c r="M1344" s="10">
        <f>K1344*L1344</f>
        <v/>
      </c>
      <c r="N1344" s="8" t="n">
        <v>29.8</v>
      </c>
      <c r="O1344" s="10">
        <f>N1344*L1344</f>
        <v/>
      </c>
      <c r="P1344" s="10">
        <f>M1344-O1344</f>
        <v/>
      </c>
      <c r="Q1344" s="11" t="inlineStr">
        <is>
          <t>No</t>
        </is>
      </c>
      <c r="R1344" s="11" t="n">
        <v>0</v>
      </c>
      <c r="S1344" s="10">
        <f>M1344-(R1344*K1344)</f>
        <v/>
      </c>
      <c r="T1344" s="12">
        <f>VLOOKUP(E1344,Dim_Product!$A$2:$Q$61,3,FALSE)</f>
        <v/>
      </c>
      <c r="U1344" s="12">
        <f>VLOOKUP(E1344,Dim_Product!$A$2:$Q$61,4,FALSE)</f>
        <v/>
      </c>
      <c r="V1344" s="12">
        <f>VLOOKUP(D1344,Dim_Customer!$A$2:$I$121,6,FALSE)</f>
        <v/>
      </c>
      <c r="W1344" s="12">
        <f>VLOOKUP(G1344,Dim_Channel!$A$2:$B$5,2,FALSE)</f>
        <v/>
      </c>
      <c r="X1344" s="12">
        <f>VLOOKUP(H1344,Dim_Promotion!$A$2:$G$11,2,FALSE)</f>
        <v/>
      </c>
    </row>
    <row r="1345">
      <c r="A1345" s="4" t="inlineStr">
        <is>
          <t>SL1344</t>
        </is>
      </c>
      <c r="B1345" t="inlineStr">
        <is>
          <t>O010672</t>
        </is>
      </c>
      <c r="C1345" t="n">
        <v>20250813</v>
      </c>
      <c r="D1345" s="4" t="inlineStr">
        <is>
          <t>C035</t>
        </is>
      </c>
      <c r="E1345" s="4" t="inlineStr">
        <is>
          <t>P033</t>
        </is>
      </c>
      <c r="F1345" t="inlineStr">
        <is>
          <t>XXL</t>
        </is>
      </c>
      <c r="G1345" s="4" t="inlineStr">
        <is>
          <t>CH01</t>
        </is>
      </c>
      <c r="H1345" s="4" t="inlineStr">
        <is>
          <t>PR00</t>
        </is>
      </c>
      <c r="I1345" s="8" t="n">
        <v>86</v>
      </c>
      <c r="J1345" s="9" t="n">
        <v>0</v>
      </c>
      <c r="K1345" s="10">
        <f>I1345*(1-J1345)</f>
        <v/>
      </c>
      <c r="L1345" s="11" t="n">
        <v>1</v>
      </c>
      <c r="M1345" s="10">
        <f>K1345*L1345</f>
        <v/>
      </c>
      <c r="N1345" s="8" t="n">
        <v>42.91</v>
      </c>
      <c r="O1345" s="10">
        <f>N1345*L1345</f>
        <v/>
      </c>
      <c r="P1345" s="10">
        <f>M1345-O1345</f>
        <v/>
      </c>
      <c r="Q1345" s="11" t="inlineStr">
        <is>
          <t>No</t>
        </is>
      </c>
      <c r="R1345" s="11" t="n">
        <v>0</v>
      </c>
      <c r="S1345" s="10">
        <f>M1345-(R1345*K1345)</f>
        <v/>
      </c>
      <c r="T1345" s="12">
        <f>VLOOKUP(E1345,Dim_Product!$A$2:$Q$61,3,FALSE)</f>
        <v/>
      </c>
      <c r="U1345" s="12">
        <f>VLOOKUP(E1345,Dim_Product!$A$2:$Q$61,4,FALSE)</f>
        <v/>
      </c>
      <c r="V1345" s="12">
        <f>VLOOKUP(D1345,Dim_Customer!$A$2:$I$121,6,FALSE)</f>
        <v/>
      </c>
      <c r="W1345" s="12">
        <f>VLOOKUP(G1345,Dim_Channel!$A$2:$B$5,2,FALSE)</f>
        <v/>
      </c>
      <c r="X1345" s="12">
        <f>VLOOKUP(H1345,Dim_Promotion!$A$2:$G$11,2,FALSE)</f>
        <v/>
      </c>
    </row>
    <row r="1346">
      <c r="A1346" s="4" t="inlineStr">
        <is>
          <t>SL1345</t>
        </is>
      </c>
      <c r="B1346" t="inlineStr">
        <is>
          <t>O010673</t>
        </is>
      </c>
      <c r="C1346" t="n">
        <v>20250423</v>
      </c>
      <c r="D1346" s="4" t="inlineStr">
        <is>
          <t>C048</t>
        </is>
      </c>
      <c r="E1346" s="4" t="inlineStr">
        <is>
          <t>P035</t>
        </is>
      </c>
      <c r="F1346" t="inlineStr">
        <is>
          <t>M</t>
        </is>
      </c>
      <c r="G1346" s="4" t="inlineStr">
        <is>
          <t>CH03</t>
        </is>
      </c>
      <c r="H1346" s="4" t="inlineStr">
        <is>
          <t>PR00</t>
        </is>
      </c>
      <c r="I1346" s="8" t="n">
        <v>88</v>
      </c>
      <c r="J1346" s="9" t="n">
        <v>0</v>
      </c>
      <c r="K1346" s="10">
        <f>I1346*(1-J1346)</f>
        <v/>
      </c>
      <c r="L1346" s="11" t="n">
        <v>1</v>
      </c>
      <c r="M1346" s="10">
        <f>K1346*L1346</f>
        <v/>
      </c>
      <c r="N1346" s="8" t="n">
        <v>43.88</v>
      </c>
      <c r="O1346" s="10">
        <f>N1346*L1346</f>
        <v/>
      </c>
      <c r="P1346" s="10">
        <f>M1346-O1346</f>
        <v/>
      </c>
      <c r="Q1346" s="11" t="inlineStr">
        <is>
          <t>No</t>
        </is>
      </c>
      <c r="R1346" s="11" t="n">
        <v>0</v>
      </c>
      <c r="S1346" s="10">
        <f>M1346-(R1346*K1346)</f>
        <v/>
      </c>
      <c r="T1346" s="12">
        <f>VLOOKUP(E1346,Dim_Product!$A$2:$Q$61,3,FALSE)</f>
        <v/>
      </c>
      <c r="U1346" s="12">
        <f>VLOOKUP(E1346,Dim_Product!$A$2:$Q$61,4,FALSE)</f>
        <v/>
      </c>
      <c r="V1346" s="12">
        <f>VLOOKUP(D1346,Dim_Customer!$A$2:$I$121,6,FALSE)</f>
        <v/>
      </c>
      <c r="W1346" s="12">
        <f>VLOOKUP(G1346,Dim_Channel!$A$2:$B$5,2,FALSE)</f>
        <v/>
      </c>
      <c r="X1346" s="12">
        <f>VLOOKUP(H1346,Dim_Promotion!$A$2:$G$11,2,FALSE)</f>
        <v/>
      </c>
    </row>
    <row r="1347">
      <c r="A1347" s="4" t="inlineStr">
        <is>
          <t>SL1346</t>
        </is>
      </c>
      <c r="B1347" t="inlineStr">
        <is>
          <t>O010673</t>
        </is>
      </c>
      <c r="C1347" t="n">
        <v>20250403</v>
      </c>
      <c r="D1347" s="4" t="inlineStr">
        <is>
          <t>C110</t>
        </is>
      </c>
      <c r="E1347" s="4" t="inlineStr">
        <is>
          <t>P018</t>
        </is>
      </c>
      <c r="F1347" t="inlineStr">
        <is>
          <t>M</t>
        </is>
      </c>
      <c r="G1347" s="4" t="inlineStr">
        <is>
          <t>CH04</t>
        </is>
      </c>
      <c r="H1347" s="4" t="inlineStr">
        <is>
          <t>PR00</t>
        </is>
      </c>
      <c r="I1347" s="8" t="n">
        <v>66</v>
      </c>
      <c r="J1347" s="9" t="n">
        <v>0</v>
      </c>
      <c r="K1347" s="10">
        <f>I1347*(1-J1347)</f>
        <v/>
      </c>
      <c r="L1347" s="11" t="n">
        <v>1</v>
      </c>
      <c r="M1347" s="10">
        <f>K1347*L1347</f>
        <v/>
      </c>
      <c r="N1347" s="8" t="n">
        <v>32.1</v>
      </c>
      <c r="O1347" s="10">
        <f>N1347*L1347</f>
        <v/>
      </c>
      <c r="P1347" s="10">
        <f>M1347-O1347</f>
        <v/>
      </c>
      <c r="Q1347" s="11" t="inlineStr">
        <is>
          <t>No</t>
        </is>
      </c>
      <c r="R1347" s="11" t="n">
        <v>0</v>
      </c>
      <c r="S1347" s="10">
        <f>M1347-(R1347*K1347)</f>
        <v/>
      </c>
      <c r="T1347" s="12">
        <f>VLOOKUP(E1347,Dim_Product!$A$2:$Q$61,3,FALSE)</f>
        <v/>
      </c>
      <c r="U1347" s="12">
        <f>VLOOKUP(E1347,Dim_Product!$A$2:$Q$61,4,FALSE)</f>
        <v/>
      </c>
      <c r="V1347" s="12">
        <f>VLOOKUP(D1347,Dim_Customer!$A$2:$I$121,6,FALSE)</f>
        <v/>
      </c>
      <c r="W1347" s="12">
        <f>VLOOKUP(G1347,Dim_Channel!$A$2:$B$5,2,FALSE)</f>
        <v/>
      </c>
      <c r="X1347" s="12">
        <f>VLOOKUP(H1347,Dim_Promotion!$A$2:$G$11,2,FALSE)</f>
        <v/>
      </c>
    </row>
    <row r="1348">
      <c r="A1348" s="4" t="inlineStr">
        <is>
          <t>SL1347</t>
        </is>
      </c>
      <c r="B1348" t="inlineStr">
        <is>
          <t>O010674</t>
        </is>
      </c>
      <c r="C1348" t="n">
        <v>20250610</v>
      </c>
      <c r="D1348" s="4" t="inlineStr">
        <is>
          <t>C043</t>
        </is>
      </c>
      <c r="E1348" s="4" t="inlineStr">
        <is>
          <t>P057</t>
        </is>
      </c>
      <c r="F1348" t="inlineStr">
        <is>
          <t>M</t>
        </is>
      </c>
      <c r="G1348" s="4" t="inlineStr">
        <is>
          <t>CH03</t>
        </is>
      </c>
      <c r="H1348" s="4" t="inlineStr">
        <is>
          <t>PR00</t>
        </is>
      </c>
      <c r="I1348" s="8" t="n">
        <v>74</v>
      </c>
      <c r="J1348" s="9" t="n">
        <v>0</v>
      </c>
      <c r="K1348" s="10">
        <f>I1348*(1-J1348)</f>
        <v/>
      </c>
      <c r="L1348" s="11" t="n">
        <v>1</v>
      </c>
      <c r="M1348" s="10">
        <f>K1348*L1348</f>
        <v/>
      </c>
      <c r="N1348" s="8" t="n">
        <v>35.13</v>
      </c>
      <c r="O1348" s="10">
        <f>N1348*L1348</f>
        <v/>
      </c>
      <c r="P1348" s="10">
        <f>M1348-O1348</f>
        <v/>
      </c>
      <c r="Q1348" s="11" t="inlineStr">
        <is>
          <t>No</t>
        </is>
      </c>
      <c r="R1348" s="11" t="n">
        <v>0</v>
      </c>
      <c r="S1348" s="10">
        <f>M1348-(R1348*K1348)</f>
        <v/>
      </c>
      <c r="T1348" s="12">
        <f>VLOOKUP(E1348,Dim_Product!$A$2:$Q$61,3,FALSE)</f>
        <v/>
      </c>
      <c r="U1348" s="12">
        <f>VLOOKUP(E1348,Dim_Product!$A$2:$Q$61,4,FALSE)</f>
        <v/>
      </c>
      <c r="V1348" s="12">
        <f>VLOOKUP(D1348,Dim_Customer!$A$2:$I$121,6,FALSE)</f>
        <v/>
      </c>
      <c r="W1348" s="12">
        <f>VLOOKUP(G1348,Dim_Channel!$A$2:$B$5,2,FALSE)</f>
        <v/>
      </c>
      <c r="X1348" s="12">
        <f>VLOOKUP(H1348,Dim_Promotion!$A$2:$G$11,2,FALSE)</f>
        <v/>
      </c>
    </row>
    <row r="1349">
      <c r="A1349" s="4" t="inlineStr">
        <is>
          <t>SL1348</t>
        </is>
      </c>
      <c r="B1349" t="inlineStr">
        <is>
          <t>O010674</t>
        </is>
      </c>
      <c r="C1349" t="n">
        <v>20250825</v>
      </c>
      <c r="D1349" s="4" t="inlineStr">
        <is>
          <t>C078</t>
        </is>
      </c>
      <c r="E1349" s="4" t="inlineStr">
        <is>
          <t>P013</t>
        </is>
      </c>
      <c r="F1349" t="inlineStr">
        <is>
          <t>XL</t>
        </is>
      </c>
      <c r="G1349" s="4" t="inlineStr">
        <is>
          <t>CH01</t>
        </is>
      </c>
      <c r="H1349" s="4" t="inlineStr">
        <is>
          <t>PR00</t>
        </is>
      </c>
      <c r="I1349" s="8" t="n">
        <v>60</v>
      </c>
      <c r="J1349" s="9" t="n">
        <v>0</v>
      </c>
      <c r="K1349" s="10">
        <f>I1349*(1-J1349)</f>
        <v/>
      </c>
      <c r="L1349" s="11" t="n">
        <v>2</v>
      </c>
      <c r="M1349" s="10">
        <f>K1349*L1349</f>
        <v/>
      </c>
      <c r="N1349" s="8" t="n">
        <v>25.89</v>
      </c>
      <c r="O1349" s="10">
        <f>N1349*L1349</f>
        <v/>
      </c>
      <c r="P1349" s="10">
        <f>M1349-O1349</f>
        <v/>
      </c>
      <c r="Q1349" s="11" t="inlineStr">
        <is>
          <t>No</t>
        </is>
      </c>
      <c r="R1349" s="11" t="n">
        <v>0</v>
      </c>
      <c r="S1349" s="10">
        <f>M1349-(R1349*K1349)</f>
        <v/>
      </c>
      <c r="T1349" s="12">
        <f>VLOOKUP(E1349,Dim_Product!$A$2:$Q$61,3,FALSE)</f>
        <v/>
      </c>
      <c r="U1349" s="12">
        <f>VLOOKUP(E1349,Dim_Product!$A$2:$Q$61,4,FALSE)</f>
        <v/>
      </c>
      <c r="V1349" s="12">
        <f>VLOOKUP(D1349,Dim_Customer!$A$2:$I$121,6,FALSE)</f>
        <v/>
      </c>
      <c r="W1349" s="12">
        <f>VLOOKUP(G1349,Dim_Channel!$A$2:$B$5,2,FALSE)</f>
        <v/>
      </c>
      <c r="X1349" s="12">
        <f>VLOOKUP(H1349,Dim_Promotion!$A$2:$G$11,2,FALSE)</f>
        <v/>
      </c>
    </row>
    <row r="1350">
      <c r="A1350" s="4" t="inlineStr">
        <is>
          <t>SL1349</t>
        </is>
      </c>
      <c r="B1350" t="inlineStr">
        <is>
          <t>O010675</t>
        </is>
      </c>
      <c r="C1350" t="n">
        <v>20250922</v>
      </c>
      <c r="D1350" s="4" t="inlineStr">
        <is>
          <t>C090</t>
        </is>
      </c>
      <c r="E1350" s="4" t="inlineStr">
        <is>
          <t>P033</t>
        </is>
      </c>
      <c r="F1350" t="inlineStr">
        <is>
          <t>S</t>
        </is>
      </c>
      <c r="G1350" s="4" t="inlineStr">
        <is>
          <t>CH03</t>
        </is>
      </c>
      <c r="H1350" s="4" t="inlineStr">
        <is>
          <t>PR00</t>
        </is>
      </c>
      <c r="I1350" s="8" t="n">
        <v>88</v>
      </c>
      <c r="J1350" s="9" t="n">
        <v>0</v>
      </c>
      <c r="K1350" s="10">
        <f>I1350*(1-J1350)</f>
        <v/>
      </c>
      <c r="L1350" s="11" t="n">
        <v>2</v>
      </c>
      <c r="M1350" s="10">
        <f>K1350*L1350</f>
        <v/>
      </c>
      <c r="N1350" s="8" t="n">
        <v>42.98</v>
      </c>
      <c r="O1350" s="10">
        <f>N1350*L1350</f>
        <v/>
      </c>
      <c r="P1350" s="10">
        <f>M1350-O1350</f>
        <v/>
      </c>
      <c r="Q1350" s="11" t="inlineStr">
        <is>
          <t>No</t>
        </is>
      </c>
      <c r="R1350" s="11" t="n">
        <v>0</v>
      </c>
      <c r="S1350" s="10">
        <f>M1350-(R1350*K1350)</f>
        <v/>
      </c>
      <c r="T1350" s="12">
        <f>VLOOKUP(E1350,Dim_Product!$A$2:$Q$61,3,FALSE)</f>
        <v/>
      </c>
      <c r="U1350" s="12">
        <f>VLOOKUP(E1350,Dim_Product!$A$2:$Q$61,4,FALSE)</f>
        <v/>
      </c>
      <c r="V1350" s="12">
        <f>VLOOKUP(D1350,Dim_Customer!$A$2:$I$121,6,FALSE)</f>
        <v/>
      </c>
      <c r="W1350" s="12">
        <f>VLOOKUP(G1350,Dim_Channel!$A$2:$B$5,2,FALSE)</f>
        <v/>
      </c>
      <c r="X1350" s="12">
        <f>VLOOKUP(H1350,Dim_Promotion!$A$2:$G$11,2,FALSE)</f>
        <v/>
      </c>
    </row>
    <row r="1351">
      <c r="A1351" s="4" t="inlineStr">
        <is>
          <t>SL1350</t>
        </is>
      </c>
      <c r="B1351" t="inlineStr">
        <is>
          <t>O010675</t>
        </is>
      </c>
      <c r="C1351" t="n">
        <v>20250827</v>
      </c>
      <c r="D1351" s="4" t="inlineStr">
        <is>
          <t>C069</t>
        </is>
      </c>
      <c r="E1351" s="4" t="inlineStr">
        <is>
          <t>P038</t>
        </is>
      </c>
      <c r="F1351" t="inlineStr">
        <is>
          <t>M</t>
        </is>
      </c>
      <c r="G1351" s="4" t="inlineStr">
        <is>
          <t>CH04</t>
        </is>
      </c>
      <c r="H1351" s="4" t="inlineStr">
        <is>
          <t>PR00</t>
        </is>
      </c>
      <c r="I1351" s="8" t="n">
        <v>72</v>
      </c>
      <c r="J1351" s="9" t="n">
        <v>0</v>
      </c>
      <c r="K1351" s="10">
        <f>I1351*(1-J1351)</f>
        <v/>
      </c>
      <c r="L1351" s="11" t="n">
        <v>4</v>
      </c>
      <c r="M1351" s="10">
        <f>K1351*L1351</f>
        <v/>
      </c>
      <c r="N1351" s="8" t="n">
        <v>33.85</v>
      </c>
      <c r="O1351" s="10">
        <f>N1351*L1351</f>
        <v/>
      </c>
      <c r="P1351" s="10">
        <f>M1351-O1351</f>
        <v/>
      </c>
      <c r="Q1351" s="11" t="inlineStr">
        <is>
          <t>No</t>
        </is>
      </c>
      <c r="R1351" s="11" t="n">
        <v>0</v>
      </c>
      <c r="S1351" s="10">
        <f>M1351-(R1351*K1351)</f>
        <v/>
      </c>
      <c r="T1351" s="12">
        <f>VLOOKUP(E1351,Dim_Product!$A$2:$Q$61,3,FALSE)</f>
        <v/>
      </c>
      <c r="U1351" s="12">
        <f>VLOOKUP(E1351,Dim_Product!$A$2:$Q$61,4,FALSE)</f>
        <v/>
      </c>
      <c r="V1351" s="12">
        <f>VLOOKUP(D1351,Dim_Customer!$A$2:$I$121,6,FALSE)</f>
        <v/>
      </c>
      <c r="W1351" s="12">
        <f>VLOOKUP(G1351,Dim_Channel!$A$2:$B$5,2,FALSE)</f>
        <v/>
      </c>
      <c r="X1351" s="12">
        <f>VLOOKUP(H1351,Dim_Promotion!$A$2:$G$11,2,FALSE)</f>
        <v/>
      </c>
    </row>
    <row r="1352">
      <c r="A1352" s="4" t="inlineStr">
        <is>
          <t>SL1351</t>
        </is>
      </c>
      <c r="B1352" t="inlineStr">
        <is>
          <t>O010676</t>
        </is>
      </c>
      <c r="C1352" t="n">
        <v>20250106</v>
      </c>
      <c r="D1352" s="4" t="inlineStr">
        <is>
          <t>C015</t>
        </is>
      </c>
      <c r="E1352" s="4" t="inlineStr">
        <is>
          <t>P051</t>
        </is>
      </c>
      <c r="F1352" t="inlineStr">
        <is>
          <t>M</t>
        </is>
      </c>
      <c r="G1352" s="4" t="inlineStr">
        <is>
          <t>CH01</t>
        </is>
      </c>
      <c r="H1352" s="4" t="inlineStr">
        <is>
          <t>PR00</t>
        </is>
      </c>
      <c r="I1352" s="8" t="n">
        <v>70</v>
      </c>
      <c r="J1352" s="9" t="n">
        <v>0</v>
      </c>
      <c r="K1352" s="10">
        <f>I1352*(1-J1352)</f>
        <v/>
      </c>
      <c r="L1352" s="11" t="n">
        <v>1</v>
      </c>
      <c r="M1352" s="10">
        <f>K1352*L1352</f>
        <v/>
      </c>
      <c r="N1352" s="8" t="n">
        <v>29.78</v>
      </c>
      <c r="O1352" s="10">
        <f>N1352*L1352</f>
        <v/>
      </c>
      <c r="P1352" s="10">
        <f>M1352-O1352</f>
        <v/>
      </c>
      <c r="Q1352" s="11" t="inlineStr">
        <is>
          <t>No</t>
        </is>
      </c>
      <c r="R1352" s="11" t="n">
        <v>0</v>
      </c>
      <c r="S1352" s="10">
        <f>M1352-(R1352*K1352)</f>
        <v/>
      </c>
      <c r="T1352" s="12">
        <f>VLOOKUP(E1352,Dim_Product!$A$2:$Q$61,3,FALSE)</f>
        <v/>
      </c>
      <c r="U1352" s="12">
        <f>VLOOKUP(E1352,Dim_Product!$A$2:$Q$61,4,FALSE)</f>
        <v/>
      </c>
      <c r="V1352" s="12">
        <f>VLOOKUP(D1352,Dim_Customer!$A$2:$I$121,6,FALSE)</f>
        <v/>
      </c>
      <c r="W1352" s="12">
        <f>VLOOKUP(G1352,Dim_Channel!$A$2:$B$5,2,FALSE)</f>
        <v/>
      </c>
      <c r="X1352" s="12">
        <f>VLOOKUP(H1352,Dim_Promotion!$A$2:$G$11,2,FALSE)</f>
        <v/>
      </c>
    </row>
    <row r="1353">
      <c r="A1353" s="4" t="inlineStr">
        <is>
          <t>SL1352</t>
        </is>
      </c>
      <c r="B1353" t="inlineStr">
        <is>
          <t>O010676</t>
        </is>
      </c>
      <c r="C1353" t="n">
        <v>20250719</v>
      </c>
      <c r="D1353" s="4" t="inlineStr">
        <is>
          <t>C017</t>
        </is>
      </c>
      <c r="E1353" s="4" t="inlineStr">
        <is>
          <t>P051</t>
        </is>
      </c>
      <c r="F1353" t="inlineStr">
        <is>
          <t>M</t>
        </is>
      </c>
      <c r="G1353" s="4" t="inlineStr">
        <is>
          <t>CH01</t>
        </is>
      </c>
      <c r="H1353" s="4" t="inlineStr">
        <is>
          <t>PR00</t>
        </is>
      </c>
      <c r="I1353" s="8" t="n">
        <v>70</v>
      </c>
      <c r="J1353" s="9" t="n">
        <v>0</v>
      </c>
      <c r="K1353" s="10">
        <f>I1353*(1-J1353)</f>
        <v/>
      </c>
      <c r="L1353" s="11" t="n">
        <v>1</v>
      </c>
      <c r="M1353" s="10">
        <f>K1353*L1353</f>
        <v/>
      </c>
      <c r="N1353" s="8" t="n">
        <v>28.53</v>
      </c>
      <c r="O1353" s="10">
        <f>N1353*L1353</f>
        <v/>
      </c>
      <c r="P1353" s="10">
        <f>M1353-O1353</f>
        <v/>
      </c>
      <c r="Q1353" s="11" t="inlineStr">
        <is>
          <t>No</t>
        </is>
      </c>
      <c r="R1353" s="11" t="n">
        <v>0</v>
      </c>
      <c r="S1353" s="10">
        <f>M1353-(R1353*K1353)</f>
        <v/>
      </c>
      <c r="T1353" s="12">
        <f>VLOOKUP(E1353,Dim_Product!$A$2:$Q$61,3,FALSE)</f>
        <v/>
      </c>
      <c r="U1353" s="12">
        <f>VLOOKUP(E1353,Dim_Product!$A$2:$Q$61,4,FALSE)</f>
        <v/>
      </c>
      <c r="V1353" s="12">
        <f>VLOOKUP(D1353,Dim_Customer!$A$2:$I$121,6,FALSE)</f>
        <v/>
      </c>
      <c r="W1353" s="12">
        <f>VLOOKUP(G1353,Dim_Channel!$A$2:$B$5,2,FALSE)</f>
        <v/>
      </c>
      <c r="X1353" s="12">
        <f>VLOOKUP(H1353,Dim_Promotion!$A$2:$G$11,2,FALSE)</f>
        <v/>
      </c>
    </row>
    <row r="1354">
      <c r="A1354" s="4" t="inlineStr">
        <is>
          <t>SL1353</t>
        </is>
      </c>
      <c r="B1354" t="inlineStr">
        <is>
          <t>O010677</t>
        </is>
      </c>
      <c r="C1354" t="n">
        <v>20250402</v>
      </c>
      <c r="D1354" s="4" t="inlineStr">
        <is>
          <t>C106</t>
        </is>
      </c>
      <c r="E1354" s="4" t="inlineStr">
        <is>
          <t>P052</t>
        </is>
      </c>
      <c r="F1354" t="inlineStr">
        <is>
          <t>L</t>
        </is>
      </c>
      <c r="G1354" s="4" t="inlineStr">
        <is>
          <t>CH02</t>
        </is>
      </c>
      <c r="H1354" s="4" t="inlineStr">
        <is>
          <t>PR00</t>
        </is>
      </c>
      <c r="I1354" s="8" t="n">
        <v>64</v>
      </c>
      <c r="J1354" s="9" t="n">
        <v>0</v>
      </c>
      <c r="K1354" s="10">
        <f>I1354*(1-J1354)</f>
        <v/>
      </c>
      <c r="L1354" s="11" t="n">
        <v>2</v>
      </c>
      <c r="M1354" s="10">
        <f>K1354*L1354</f>
        <v/>
      </c>
      <c r="N1354" s="8" t="n">
        <v>31.99</v>
      </c>
      <c r="O1354" s="10">
        <f>N1354*L1354</f>
        <v/>
      </c>
      <c r="P1354" s="10">
        <f>M1354-O1354</f>
        <v/>
      </c>
      <c r="Q1354" s="11" t="inlineStr">
        <is>
          <t>No</t>
        </is>
      </c>
      <c r="R1354" s="11" t="n">
        <v>0</v>
      </c>
      <c r="S1354" s="10">
        <f>M1354-(R1354*K1354)</f>
        <v/>
      </c>
      <c r="T1354" s="12">
        <f>VLOOKUP(E1354,Dim_Product!$A$2:$Q$61,3,FALSE)</f>
        <v/>
      </c>
      <c r="U1354" s="12">
        <f>VLOOKUP(E1354,Dim_Product!$A$2:$Q$61,4,FALSE)</f>
        <v/>
      </c>
      <c r="V1354" s="12">
        <f>VLOOKUP(D1354,Dim_Customer!$A$2:$I$121,6,FALSE)</f>
        <v/>
      </c>
      <c r="W1354" s="12">
        <f>VLOOKUP(G1354,Dim_Channel!$A$2:$B$5,2,FALSE)</f>
        <v/>
      </c>
      <c r="X1354" s="12">
        <f>VLOOKUP(H1354,Dim_Promotion!$A$2:$G$11,2,FALSE)</f>
        <v/>
      </c>
    </row>
    <row r="1355">
      <c r="A1355" s="4" t="inlineStr">
        <is>
          <t>SL1354</t>
        </is>
      </c>
      <c r="B1355" t="inlineStr">
        <is>
          <t>O010677</t>
        </is>
      </c>
      <c r="C1355" t="n">
        <v>20250807</v>
      </c>
      <c r="D1355" s="4" t="inlineStr">
        <is>
          <t>C043</t>
        </is>
      </c>
      <c r="E1355" s="4" t="inlineStr">
        <is>
          <t>P034</t>
        </is>
      </c>
      <c r="F1355" t="inlineStr">
        <is>
          <t>XL</t>
        </is>
      </c>
      <c r="G1355" s="4" t="inlineStr">
        <is>
          <t>CH04</t>
        </is>
      </c>
      <c r="H1355" s="4" t="inlineStr">
        <is>
          <t>PR00</t>
        </is>
      </c>
      <c r="I1355" s="8" t="n">
        <v>88</v>
      </c>
      <c r="J1355" s="9" t="n">
        <v>0</v>
      </c>
      <c r="K1355" s="10">
        <f>I1355*(1-J1355)</f>
        <v/>
      </c>
      <c r="L1355" s="11" t="n">
        <v>3</v>
      </c>
      <c r="M1355" s="10">
        <f>K1355*L1355</f>
        <v/>
      </c>
      <c r="N1355" s="8" t="n">
        <v>44.73</v>
      </c>
      <c r="O1355" s="10">
        <f>N1355*L1355</f>
        <v/>
      </c>
      <c r="P1355" s="10">
        <f>M1355-O1355</f>
        <v/>
      </c>
      <c r="Q1355" s="11" t="inlineStr">
        <is>
          <t>No</t>
        </is>
      </c>
      <c r="R1355" s="11" t="n">
        <v>0</v>
      </c>
      <c r="S1355" s="10">
        <f>M1355-(R1355*K1355)</f>
        <v/>
      </c>
      <c r="T1355" s="12">
        <f>VLOOKUP(E1355,Dim_Product!$A$2:$Q$61,3,FALSE)</f>
        <v/>
      </c>
      <c r="U1355" s="12">
        <f>VLOOKUP(E1355,Dim_Product!$A$2:$Q$61,4,FALSE)</f>
        <v/>
      </c>
      <c r="V1355" s="12">
        <f>VLOOKUP(D1355,Dim_Customer!$A$2:$I$121,6,FALSE)</f>
        <v/>
      </c>
      <c r="W1355" s="12">
        <f>VLOOKUP(G1355,Dim_Channel!$A$2:$B$5,2,FALSE)</f>
        <v/>
      </c>
      <c r="X1355" s="12">
        <f>VLOOKUP(H1355,Dim_Promotion!$A$2:$G$11,2,FALSE)</f>
        <v/>
      </c>
    </row>
    <row r="1356">
      <c r="A1356" s="4" t="inlineStr">
        <is>
          <t>SL1355</t>
        </is>
      </c>
      <c r="B1356" t="inlineStr">
        <is>
          <t>O010678</t>
        </is>
      </c>
      <c r="C1356" t="n">
        <v>20250412</v>
      </c>
      <c r="D1356" s="4" t="inlineStr">
        <is>
          <t>C071</t>
        </is>
      </c>
      <c r="E1356" s="4" t="inlineStr">
        <is>
          <t>P017</t>
        </is>
      </c>
      <c r="F1356" t="inlineStr">
        <is>
          <t>S</t>
        </is>
      </c>
      <c r="G1356" s="4" t="inlineStr">
        <is>
          <t>CH03</t>
        </is>
      </c>
      <c r="H1356" s="4" t="inlineStr">
        <is>
          <t>PR00</t>
        </is>
      </c>
      <c r="I1356" s="8" t="n">
        <v>68</v>
      </c>
      <c r="J1356" s="9" t="n">
        <v>0</v>
      </c>
      <c r="K1356" s="10">
        <f>I1356*(1-J1356)</f>
        <v/>
      </c>
      <c r="L1356" s="11" t="n">
        <v>3</v>
      </c>
      <c r="M1356" s="10">
        <f>K1356*L1356</f>
        <v/>
      </c>
      <c r="N1356" s="8" t="n">
        <v>32.42</v>
      </c>
      <c r="O1356" s="10">
        <f>N1356*L1356</f>
        <v/>
      </c>
      <c r="P1356" s="10">
        <f>M1356-O1356</f>
        <v/>
      </c>
      <c r="Q1356" s="11" t="inlineStr">
        <is>
          <t>No</t>
        </is>
      </c>
      <c r="R1356" s="11" t="n">
        <v>0</v>
      </c>
      <c r="S1356" s="10">
        <f>M1356-(R1356*K1356)</f>
        <v/>
      </c>
      <c r="T1356" s="12">
        <f>VLOOKUP(E1356,Dim_Product!$A$2:$Q$61,3,FALSE)</f>
        <v/>
      </c>
      <c r="U1356" s="12">
        <f>VLOOKUP(E1356,Dim_Product!$A$2:$Q$61,4,FALSE)</f>
        <v/>
      </c>
      <c r="V1356" s="12">
        <f>VLOOKUP(D1356,Dim_Customer!$A$2:$I$121,6,FALSE)</f>
        <v/>
      </c>
      <c r="W1356" s="12">
        <f>VLOOKUP(G1356,Dim_Channel!$A$2:$B$5,2,FALSE)</f>
        <v/>
      </c>
      <c r="X1356" s="12">
        <f>VLOOKUP(H1356,Dim_Promotion!$A$2:$G$11,2,FALSE)</f>
        <v/>
      </c>
    </row>
    <row r="1357">
      <c r="A1357" s="4" t="inlineStr">
        <is>
          <t>SL1356</t>
        </is>
      </c>
      <c r="B1357" t="inlineStr">
        <is>
          <t>O010678</t>
        </is>
      </c>
      <c r="C1357" t="n">
        <v>20250429</v>
      </c>
      <c r="D1357" s="4" t="inlineStr">
        <is>
          <t>C024</t>
        </is>
      </c>
      <c r="E1357" s="4" t="inlineStr">
        <is>
          <t>P010</t>
        </is>
      </c>
      <c r="F1357" t="inlineStr">
        <is>
          <t>XL</t>
        </is>
      </c>
      <c r="G1357" s="4" t="inlineStr">
        <is>
          <t>CH03</t>
        </is>
      </c>
      <c r="H1357" s="4" t="inlineStr">
        <is>
          <t>PR00</t>
        </is>
      </c>
      <c r="I1357" s="8" t="n">
        <v>48</v>
      </c>
      <c r="J1357" s="9" t="n">
        <v>0</v>
      </c>
      <c r="K1357" s="10">
        <f>I1357*(1-J1357)</f>
        <v/>
      </c>
      <c r="L1357" s="11" t="n">
        <v>1</v>
      </c>
      <c r="M1357" s="10">
        <f>K1357*L1357</f>
        <v/>
      </c>
      <c r="N1357" s="8" t="n">
        <v>20.15</v>
      </c>
      <c r="O1357" s="10">
        <f>N1357*L1357</f>
        <v/>
      </c>
      <c r="P1357" s="10">
        <f>M1357-O1357</f>
        <v/>
      </c>
      <c r="Q1357" s="11" t="inlineStr">
        <is>
          <t>No</t>
        </is>
      </c>
      <c r="R1357" s="11" t="n">
        <v>0</v>
      </c>
      <c r="S1357" s="10">
        <f>M1357-(R1357*K1357)</f>
        <v/>
      </c>
      <c r="T1357" s="12">
        <f>VLOOKUP(E1357,Dim_Product!$A$2:$Q$61,3,FALSE)</f>
        <v/>
      </c>
      <c r="U1357" s="12">
        <f>VLOOKUP(E1357,Dim_Product!$A$2:$Q$61,4,FALSE)</f>
        <v/>
      </c>
      <c r="V1357" s="12">
        <f>VLOOKUP(D1357,Dim_Customer!$A$2:$I$121,6,FALSE)</f>
        <v/>
      </c>
      <c r="W1357" s="12">
        <f>VLOOKUP(G1357,Dim_Channel!$A$2:$B$5,2,FALSE)</f>
        <v/>
      </c>
      <c r="X1357" s="12">
        <f>VLOOKUP(H1357,Dim_Promotion!$A$2:$G$11,2,FALSE)</f>
        <v/>
      </c>
    </row>
    <row r="1358">
      <c r="A1358" s="4" t="inlineStr">
        <is>
          <t>SL1357</t>
        </is>
      </c>
      <c r="B1358" t="inlineStr">
        <is>
          <t>O010679</t>
        </is>
      </c>
      <c r="C1358" t="n">
        <v>20250621</v>
      </c>
      <c r="D1358" s="4" t="inlineStr">
        <is>
          <t>C014</t>
        </is>
      </c>
      <c r="E1358" s="4" t="inlineStr">
        <is>
          <t>P002</t>
        </is>
      </c>
      <c r="F1358" t="inlineStr">
        <is>
          <t>M</t>
        </is>
      </c>
      <c r="G1358" s="4" t="inlineStr">
        <is>
          <t>CH03</t>
        </is>
      </c>
      <c r="H1358" s="4" t="inlineStr">
        <is>
          <t>PR00</t>
        </is>
      </c>
      <c r="I1358" s="8" t="n">
        <v>41</v>
      </c>
      <c r="J1358" s="9" t="n">
        <v>0</v>
      </c>
      <c r="K1358" s="10">
        <f>I1358*(1-J1358)</f>
        <v/>
      </c>
      <c r="L1358" s="11" t="n">
        <v>2</v>
      </c>
      <c r="M1358" s="10">
        <f>K1358*L1358</f>
        <v/>
      </c>
      <c r="N1358" s="8" t="n">
        <v>17.21</v>
      </c>
      <c r="O1358" s="10">
        <f>N1358*L1358</f>
        <v/>
      </c>
      <c r="P1358" s="10">
        <f>M1358-O1358</f>
        <v/>
      </c>
      <c r="Q1358" s="11" t="inlineStr">
        <is>
          <t>Yes</t>
        </is>
      </c>
      <c r="R1358" s="11" t="n">
        <v>2</v>
      </c>
      <c r="S1358" s="10">
        <f>M1358-(R1358*K1358)</f>
        <v/>
      </c>
      <c r="T1358" s="12">
        <f>VLOOKUP(E1358,Dim_Product!$A$2:$Q$61,3,FALSE)</f>
        <v/>
      </c>
      <c r="U1358" s="12">
        <f>VLOOKUP(E1358,Dim_Product!$A$2:$Q$61,4,FALSE)</f>
        <v/>
      </c>
      <c r="V1358" s="12">
        <f>VLOOKUP(D1358,Dim_Customer!$A$2:$I$121,6,FALSE)</f>
        <v/>
      </c>
      <c r="W1358" s="12">
        <f>VLOOKUP(G1358,Dim_Channel!$A$2:$B$5,2,FALSE)</f>
        <v/>
      </c>
      <c r="X1358" s="12">
        <f>VLOOKUP(H1358,Dim_Promotion!$A$2:$G$11,2,FALSE)</f>
        <v/>
      </c>
    </row>
    <row r="1359">
      <c r="A1359" s="4" t="inlineStr">
        <is>
          <t>SL1358</t>
        </is>
      </c>
      <c r="B1359" t="inlineStr">
        <is>
          <t>O010679</t>
        </is>
      </c>
      <c r="C1359" t="n">
        <v>20251029</v>
      </c>
      <c r="D1359" s="4" t="inlineStr">
        <is>
          <t>C019</t>
        </is>
      </c>
      <c r="E1359" s="4" t="inlineStr">
        <is>
          <t>P033</t>
        </is>
      </c>
      <c r="F1359" t="inlineStr">
        <is>
          <t>XL</t>
        </is>
      </c>
      <c r="G1359" s="4" t="inlineStr">
        <is>
          <t>CH04</t>
        </is>
      </c>
      <c r="H1359" s="4" t="inlineStr">
        <is>
          <t>PR00</t>
        </is>
      </c>
      <c r="I1359" s="8" t="n">
        <v>84</v>
      </c>
      <c r="J1359" s="9" t="n">
        <v>0</v>
      </c>
      <c r="K1359" s="10">
        <f>I1359*(1-J1359)</f>
        <v/>
      </c>
      <c r="L1359" s="11" t="n">
        <v>1</v>
      </c>
      <c r="M1359" s="10">
        <f>K1359*L1359</f>
        <v/>
      </c>
      <c r="N1359" s="8" t="n">
        <v>43.61</v>
      </c>
      <c r="O1359" s="10">
        <f>N1359*L1359</f>
        <v/>
      </c>
      <c r="P1359" s="10">
        <f>M1359-O1359</f>
        <v/>
      </c>
      <c r="Q1359" s="11" t="inlineStr">
        <is>
          <t>No</t>
        </is>
      </c>
      <c r="R1359" s="11" t="n">
        <v>0</v>
      </c>
      <c r="S1359" s="10">
        <f>M1359-(R1359*K1359)</f>
        <v/>
      </c>
      <c r="T1359" s="12">
        <f>VLOOKUP(E1359,Dim_Product!$A$2:$Q$61,3,FALSE)</f>
        <v/>
      </c>
      <c r="U1359" s="12">
        <f>VLOOKUP(E1359,Dim_Product!$A$2:$Q$61,4,FALSE)</f>
        <v/>
      </c>
      <c r="V1359" s="12">
        <f>VLOOKUP(D1359,Dim_Customer!$A$2:$I$121,6,FALSE)</f>
        <v/>
      </c>
      <c r="W1359" s="12">
        <f>VLOOKUP(G1359,Dim_Channel!$A$2:$B$5,2,FALSE)</f>
        <v/>
      </c>
      <c r="X1359" s="12">
        <f>VLOOKUP(H1359,Dim_Promotion!$A$2:$G$11,2,FALSE)</f>
        <v/>
      </c>
    </row>
    <row r="1360">
      <c r="A1360" s="4" t="inlineStr">
        <is>
          <t>SL1359</t>
        </is>
      </c>
      <c r="B1360" t="inlineStr">
        <is>
          <t>O010680</t>
        </is>
      </c>
      <c r="C1360" t="n">
        <v>20250515</v>
      </c>
      <c r="D1360" s="4" t="inlineStr">
        <is>
          <t>C034</t>
        </is>
      </c>
      <c r="E1360" s="4" t="inlineStr">
        <is>
          <t>P010</t>
        </is>
      </c>
      <c r="F1360" t="inlineStr">
        <is>
          <t>M</t>
        </is>
      </c>
      <c r="G1360" s="4" t="inlineStr">
        <is>
          <t>CH02</t>
        </is>
      </c>
      <c r="H1360" s="4" t="inlineStr">
        <is>
          <t>PR00</t>
        </is>
      </c>
      <c r="I1360" s="8" t="n">
        <v>50</v>
      </c>
      <c r="J1360" s="9" t="n">
        <v>0</v>
      </c>
      <c r="K1360" s="10">
        <f>I1360*(1-J1360)</f>
        <v/>
      </c>
      <c r="L1360" s="11" t="n">
        <v>2</v>
      </c>
      <c r="M1360" s="10">
        <f>K1360*L1360</f>
        <v/>
      </c>
      <c r="N1360" s="8" t="n">
        <v>20.6</v>
      </c>
      <c r="O1360" s="10">
        <f>N1360*L1360</f>
        <v/>
      </c>
      <c r="P1360" s="10">
        <f>M1360-O1360</f>
        <v/>
      </c>
      <c r="Q1360" s="11" t="inlineStr">
        <is>
          <t>No</t>
        </is>
      </c>
      <c r="R1360" s="11" t="n">
        <v>0</v>
      </c>
      <c r="S1360" s="10">
        <f>M1360-(R1360*K1360)</f>
        <v/>
      </c>
      <c r="T1360" s="12">
        <f>VLOOKUP(E1360,Dim_Product!$A$2:$Q$61,3,FALSE)</f>
        <v/>
      </c>
      <c r="U1360" s="12">
        <f>VLOOKUP(E1360,Dim_Product!$A$2:$Q$61,4,FALSE)</f>
        <v/>
      </c>
      <c r="V1360" s="12">
        <f>VLOOKUP(D1360,Dim_Customer!$A$2:$I$121,6,FALSE)</f>
        <v/>
      </c>
      <c r="W1360" s="12">
        <f>VLOOKUP(G1360,Dim_Channel!$A$2:$B$5,2,FALSE)</f>
        <v/>
      </c>
      <c r="X1360" s="12">
        <f>VLOOKUP(H1360,Dim_Promotion!$A$2:$G$11,2,FALSE)</f>
        <v/>
      </c>
    </row>
    <row r="1361">
      <c r="A1361" s="4" t="inlineStr">
        <is>
          <t>SL1360</t>
        </is>
      </c>
      <c r="B1361" t="inlineStr">
        <is>
          <t>O010680</t>
        </is>
      </c>
      <c r="C1361" t="n">
        <v>20250327</v>
      </c>
      <c r="D1361" s="4" t="inlineStr">
        <is>
          <t>C072</t>
        </is>
      </c>
      <c r="E1361" s="4" t="inlineStr">
        <is>
          <t>P035</t>
        </is>
      </c>
      <c r="F1361" t="inlineStr">
        <is>
          <t>M</t>
        </is>
      </c>
      <c r="G1361" s="4" t="inlineStr">
        <is>
          <t>CH01</t>
        </is>
      </c>
      <c r="H1361" s="4" t="inlineStr">
        <is>
          <t>PR00</t>
        </is>
      </c>
      <c r="I1361" s="8" t="n">
        <v>88</v>
      </c>
      <c r="J1361" s="9" t="n">
        <v>0</v>
      </c>
      <c r="K1361" s="10">
        <f>I1361*(1-J1361)</f>
        <v/>
      </c>
      <c r="L1361" s="11" t="n">
        <v>1</v>
      </c>
      <c r="M1361" s="10">
        <f>K1361*L1361</f>
        <v/>
      </c>
      <c r="N1361" s="8" t="n">
        <v>42.48</v>
      </c>
      <c r="O1361" s="10">
        <f>N1361*L1361</f>
        <v/>
      </c>
      <c r="P1361" s="10">
        <f>M1361-O1361</f>
        <v/>
      </c>
      <c r="Q1361" s="11" t="inlineStr">
        <is>
          <t>No</t>
        </is>
      </c>
      <c r="R1361" s="11" t="n">
        <v>0</v>
      </c>
      <c r="S1361" s="10">
        <f>M1361-(R1361*K1361)</f>
        <v/>
      </c>
      <c r="T1361" s="12">
        <f>VLOOKUP(E1361,Dim_Product!$A$2:$Q$61,3,FALSE)</f>
        <v/>
      </c>
      <c r="U1361" s="12">
        <f>VLOOKUP(E1361,Dim_Product!$A$2:$Q$61,4,FALSE)</f>
        <v/>
      </c>
      <c r="V1361" s="12">
        <f>VLOOKUP(D1361,Dim_Customer!$A$2:$I$121,6,FALSE)</f>
        <v/>
      </c>
      <c r="W1361" s="12">
        <f>VLOOKUP(G1361,Dim_Channel!$A$2:$B$5,2,FALSE)</f>
        <v/>
      </c>
      <c r="X1361" s="12">
        <f>VLOOKUP(H1361,Dim_Promotion!$A$2:$G$11,2,FALSE)</f>
        <v/>
      </c>
    </row>
    <row r="1362">
      <c r="A1362" s="4" t="inlineStr">
        <is>
          <t>SL1361</t>
        </is>
      </c>
      <c r="B1362" t="inlineStr">
        <is>
          <t>O010681</t>
        </is>
      </c>
      <c r="C1362" t="n">
        <v>20250908</v>
      </c>
      <c r="D1362" s="4" t="inlineStr">
        <is>
          <t>C002</t>
        </is>
      </c>
      <c r="E1362" s="4" t="inlineStr">
        <is>
          <t>P007</t>
        </is>
      </c>
      <c r="F1362" t="inlineStr">
        <is>
          <t>M</t>
        </is>
      </c>
      <c r="G1362" s="4" t="inlineStr">
        <is>
          <t>CH04</t>
        </is>
      </c>
      <c r="H1362" s="4" t="inlineStr">
        <is>
          <t>PR00</t>
        </is>
      </c>
      <c r="I1362" s="8" t="n">
        <v>50</v>
      </c>
      <c r="J1362" s="9" t="n">
        <v>0</v>
      </c>
      <c r="K1362" s="10">
        <f>I1362*(1-J1362)</f>
        <v/>
      </c>
      <c r="L1362" s="11" t="n">
        <v>1</v>
      </c>
      <c r="M1362" s="10">
        <f>K1362*L1362</f>
        <v/>
      </c>
      <c r="N1362" s="8" t="n">
        <v>21.82</v>
      </c>
      <c r="O1362" s="10">
        <f>N1362*L1362</f>
        <v/>
      </c>
      <c r="P1362" s="10">
        <f>M1362-O1362</f>
        <v/>
      </c>
      <c r="Q1362" s="11" t="inlineStr">
        <is>
          <t>No</t>
        </is>
      </c>
      <c r="R1362" s="11" t="n">
        <v>0</v>
      </c>
      <c r="S1362" s="10">
        <f>M1362-(R1362*K1362)</f>
        <v/>
      </c>
      <c r="T1362" s="12">
        <f>VLOOKUP(E1362,Dim_Product!$A$2:$Q$61,3,FALSE)</f>
        <v/>
      </c>
      <c r="U1362" s="12">
        <f>VLOOKUP(E1362,Dim_Product!$A$2:$Q$61,4,FALSE)</f>
        <v/>
      </c>
      <c r="V1362" s="12">
        <f>VLOOKUP(D1362,Dim_Customer!$A$2:$I$121,6,FALSE)</f>
        <v/>
      </c>
      <c r="W1362" s="12">
        <f>VLOOKUP(G1362,Dim_Channel!$A$2:$B$5,2,FALSE)</f>
        <v/>
      </c>
      <c r="X1362" s="12">
        <f>VLOOKUP(H1362,Dim_Promotion!$A$2:$G$11,2,FALSE)</f>
        <v/>
      </c>
    </row>
    <row r="1363">
      <c r="A1363" s="4" t="inlineStr">
        <is>
          <t>SL1362</t>
        </is>
      </c>
      <c r="B1363" t="inlineStr">
        <is>
          <t>O010681</t>
        </is>
      </c>
      <c r="C1363" t="n">
        <v>20250624</v>
      </c>
      <c r="D1363" s="4" t="inlineStr">
        <is>
          <t>C089</t>
        </is>
      </c>
      <c r="E1363" s="4" t="inlineStr">
        <is>
          <t>P007</t>
        </is>
      </c>
      <c r="F1363" t="inlineStr">
        <is>
          <t>L</t>
        </is>
      </c>
      <c r="G1363" s="4" t="inlineStr">
        <is>
          <t>CH01</t>
        </is>
      </c>
      <c r="H1363" s="4" t="inlineStr">
        <is>
          <t>PR05</t>
        </is>
      </c>
      <c r="I1363" s="8" t="n">
        <v>51</v>
      </c>
      <c r="J1363" s="9" t="n">
        <v>0.2</v>
      </c>
      <c r="K1363" s="10">
        <f>I1363*(1-J1363)</f>
        <v/>
      </c>
      <c r="L1363" s="11" t="n">
        <v>2</v>
      </c>
      <c r="M1363" s="10">
        <f>K1363*L1363</f>
        <v/>
      </c>
      <c r="N1363" s="8" t="n">
        <v>21.75</v>
      </c>
      <c r="O1363" s="10">
        <f>N1363*L1363</f>
        <v/>
      </c>
      <c r="P1363" s="10">
        <f>M1363-O1363</f>
        <v/>
      </c>
      <c r="Q1363" s="11" t="inlineStr">
        <is>
          <t>No</t>
        </is>
      </c>
      <c r="R1363" s="11" t="n">
        <v>0</v>
      </c>
      <c r="S1363" s="10">
        <f>M1363-(R1363*K1363)</f>
        <v/>
      </c>
      <c r="T1363" s="12">
        <f>VLOOKUP(E1363,Dim_Product!$A$2:$Q$61,3,FALSE)</f>
        <v/>
      </c>
      <c r="U1363" s="12">
        <f>VLOOKUP(E1363,Dim_Product!$A$2:$Q$61,4,FALSE)</f>
        <v/>
      </c>
      <c r="V1363" s="12">
        <f>VLOOKUP(D1363,Dim_Customer!$A$2:$I$121,6,FALSE)</f>
        <v/>
      </c>
      <c r="W1363" s="12">
        <f>VLOOKUP(G1363,Dim_Channel!$A$2:$B$5,2,FALSE)</f>
        <v/>
      </c>
      <c r="X1363" s="12">
        <f>VLOOKUP(H1363,Dim_Promotion!$A$2:$G$11,2,FALSE)</f>
        <v/>
      </c>
    </row>
    <row r="1364">
      <c r="A1364" s="4" t="inlineStr">
        <is>
          <t>SL1363</t>
        </is>
      </c>
      <c r="B1364" t="inlineStr">
        <is>
          <t>O010682</t>
        </is>
      </c>
      <c r="C1364" t="n">
        <v>20250825</v>
      </c>
      <c r="D1364" s="4" t="inlineStr">
        <is>
          <t>C105</t>
        </is>
      </c>
      <c r="E1364" s="4" t="inlineStr">
        <is>
          <t>P003</t>
        </is>
      </c>
      <c r="F1364" t="inlineStr">
        <is>
          <t>M</t>
        </is>
      </c>
      <c r="G1364" s="4" t="inlineStr">
        <is>
          <t>CH01</t>
        </is>
      </c>
      <c r="H1364" s="4" t="inlineStr">
        <is>
          <t>PR00</t>
        </is>
      </c>
      <c r="I1364" s="8" t="n">
        <v>42</v>
      </c>
      <c r="J1364" s="9" t="n">
        <v>0</v>
      </c>
      <c r="K1364" s="10">
        <f>I1364*(1-J1364)</f>
        <v/>
      </c>
      <c r="L1364" s="11" t="n">
        <v>2</v>
      </c>
      <c r="M1364" s="10">
        <f>K1364*L1364</f>
        <v/>
      </c>
      <c r="N1364" s="8" t="n">
        <v>20.27</v>
      </c>
      <c r="O1364" s="10">
        <f>N1364*L1364</f>
        <v/>
      </c>
      <c r="P1364" s="10">
        <f>M1364-O1364</f>
        <v/>
      </c>
      <c r="Q1364" s="11" t="inlineStr">
        <is>
          <t>No</t>
        </is>
      </c>
      <c r="R1364" s="11" t="n">
        <v>0</v>
      </c>
      <c r="S1364" s="10">
        <f>M1364-(R1364*K1364)</f>
        <v/>
      </c>
      <c r="T1364" s="12">
        <f>VLOOKUP(E1364,Dim_Product!$A$2:$Q$61,3,FALSE)</f>
        <v/>
      </c>
      <c r="U1364" s="12">
        <f>VLOOKUP(E1364,Dim_Product!$A$2:$Q$61,4,FALSE)</f>
        <v/>
      </c>
      <c r="V1364" s="12">
        <f>VLOOKUP(D1364,Dim_Customer!$A$2:$I$121,6,FALSE)</f>
        <v/>
      </c>
      <c r="W1364" s="12">
        <f>VLOOKUP(G1364,Dim_Channel!$A$2:$B$5,2,FALSE)</f>
        <v/>
      </c>
      <c r="X1364" s="12">
        <f>VLOOKUP(H1364,Dim_Promotion!$A$2:$G$11,2,FALSE)</f>
        <v/>
      </c>
    </row>
    <row r="1365">
      <c r="A1365" s="4" t="inlineStr">
        <is>
          <t>SL1364</t>
        </is>
      </c>
      <c r="B1365" t="inlineStr">
        <is>
          <t>O010682</t>
        </is>
      </c>
      <c r="C1365" t="n">
        <v>20250708</v>
      </c>
      <c r="D1365" s="4" t="inlineStr">
        <is>
          <t>C004</t>
        </is>
      </c>
      <c r="E1365" s="4" t="inlineStr">
        <is>
          <t>P012</t>
        </is>
      </c>
      <c r="F1365" t="inlineStr">
        <is>
          <t>XL</t>
        </is>
      </c>
      <c r="G1365" s="4" t="inlineStr">
        <is>
          <t>CH01</t>
        </is>
      </c>
      <c r="H1365" s="4" t="inlineStr">
        <is>
          <t>PR00</t>
        </is>
      </c>
      <c r="I1365" s="8" t="n">
        <v>42</v>
      </c>
      <c r="J1365" s="9" t="n">
        <v>0</v>
      </c>
      <c r="K1365" s="10">
        <f>I1365*(1-J1365)</f>
        <v/>
      </c>
      <c r="L1365" s="11" t="n">
        <v>3</v>
      </c>
      <c r="M1365" s="10">
        <f>K1365*L1365</f>
        <v/>
      </c>
      <c r="N1365" s="8" t="n">
        <v>22.62</v>
      </c>
      <c r="O1365" s="10">
        <f>N1365*L1365</f>
        <v/>
      </c>
      <c r="P1365" s="10">
        <f>M1365-O1365</f>
        <v/>
      </c>
      <c r="Q1365" s="11" t="inlineStr">
        <is>
          <t>No</t>
        </is>
      </c>
      <c r="R1365" s="11" t="n">
        <v>0</v>
      </c>
      <c r="S1365" s="10">
        <f>M1365-(R1365*K1365)</f>
        <v/>
      </c>
      <c r="T1365" s="12">
        <f>VLOOKUP(E1365,Dim_Product!$A$2:$Q$61,3,FALSE)</f>
        <v/>
      </c>
      <c r="U1365" s="12">
        <f>VLOOKUP(E1365,Dim_Product!$A$2:$Q$61,4,FALSE)</f>
        <v/>
      </c>
      <c r="V1365" s="12">
        <f>VLOOKUP(D1365,Dim_Customer!$A$2:$I$121,6,FALSE)</f>
        <v/>
      </c>
      <c r="W1365" s="12">
        <f>VLOOKUP(G1365,Dim_Channel!$A$2:$B$5,2,FALSE)</f>
        <v/>
      </c>
      <c r="X1365" s="12">
        <f>VLOOKUP(H1365,Dim_Promotion!$A$2:$G$11,2,FALSE)</f>
        <v/>
      </c>
    </row>
    <row r="1366">
      <c r="A1366" s="4" t="inlineStr">
        <is>
          <t>SL1365</t>
        </is>
      </c>
      <c r="B1366" t="inlineStr">
        <is>
          <t>O010683</t>
        </is>
      </c>
      <c r="C1366" t="n">
        <v>20251130</v>
      </c>
      <c r="D1366" s="4" t="inlineStr">
        <is>
          <t>C099</t>
        </is>
      </c>
      <c r="E1366" s="4" t="inlineStr">
        <is>
          <t>P002</t>
        </is>
      </c>
      <c r="F1366" t="inlineStr">
        <is>
          <t>M</t>
        </is>
      </c>
      <c r="G1366" s="4" t="inlineStr">
        <is>
          <t>CH01</t>
        </is>
      </c>
      <c r="H1366" s="4" t="inlineStr">
        <is>
          <t>PR08</t>
        </is>
      </c>
      <c r="I1366" s="8" t="n">
        <v>40</v>
      </c>
      <c r="J1366" s="9" t="n">
        <v>0.25</v>
      </c>
      <c r="K1366" s="10">
        <f>I1366*(1-J1366)</f>
        <v/>
      </c>
      <c r="L1366" s="11" t="n">
        <v>1</v>
      </c>
      <c r="M1366" s="10">
        <f>K1366*L1366</f>
        <v/>
      </c>
      <c r="N1366" s="8" t="n">
        <v>17.04</v>
      </c>
      <c r="O1366" s="10">
        <f>N1366*L1366</f>
        <v/>
      </c>
      <c r="P1366" s="10">
        <f>M1366-O1366</f>
        <v/>
      </c>
      <c r="Q1366" s="11" t="inlineStr">
        <is>
          <t>No</t>
        </is>
      </c>
      <c r="R1366" s="11" t="n">
        <v>0</v>
      </c>
      <c r="S1366" s="10">
        <f>M1366-(R1366*K1366)</f>
        <v/>
      </c>
      <c r="T1366" s="12">
        <f>VLOOKUP(E1366,Dim_Product!$A$2:$Q$61,3,FALSE)</f>
        <v/>
      </c>
      <c r="U1366" s="12">
        <f>VLOOKUP(E1366,Dim_Product!$A$2:$Q$61,4,FALSE)</f>
        <v/>
      </c>
      <c r="V1366" s="12">
        <f>VLOOKUP(D1366,Dim_Customer!$A$2:$I$121,6,FALSE)</f>
        <v/>
      </c>
      <c r="W1366" s="12">
        <f>VLOOKUP(G1366,Dim_Channel!$A$2:$B$5,2,FALSE)</f>
        <v/>
      </c>
      <c r="X1366" s="12">
        <f>VLOOKUP(H1366,Dim_Promotion!$A$2:$G$11,2,FALSE)</f>
        <v/>
      </c>
    </row>
    <row r="1367">
      <c r="A1367" s="4" t="inlineStr">
        <is>
          <t>SL1366</t>
        </is>
      </c>
      <c r="B1367" t="inlineStr">
        <is>
          <t>O010683</t>
        </is>
      </c>
      <c r="C1367" t="n">
        <v>20251114</v>
      </c>
      <c r="D1367" s="4" t="inlineStr">
        <is>
          <t>C118</t>
        </is>
      </c>
      <c r="E1367" s="4" t="inlineStr">
        <is>
          <t>P049</t>
        </is>
      </c>
      <c r="F1367" t="inlineStr">
        <is>
          <t>L</t>
        </is>
      </c>
      <c r="G1367" s="4" t="inlineStr">
        <is>
          <t>CH03</t>
        </is>
      </c>
      <c r="H1367" s="4" t="inlineStr">
        <is>
          <t>PR00</t>
        </is>
      </c>
      <c r="I1367" s="8" t="n">
        <v>71</v>
      </c>
      <c r="J1367" s="9" t="n">
        <v>0</v>
      </c>
      <c r="K1367" s="10">
        <f>I1367*(1-J1367)</f>
        <v/>
      </c>
      <c r="L1367" s="11" t="n">
        <v>1</v>
      </c>
      <c r="M1367" s="10">
        <f>K1367*L1367</f>
        <v/>
      </c>
      <c r="N1367" s="8" t="n">
        <v>29.62</v>
      </c>
      <c r="O1367" s="10">
        <f>N1367*L1367</f>
        <v/>
      </c>
      <c r="P1367" s="10">
        <f>M1367-O1367</f>
        <v/>
      </c>
      <c r="Q1367" s="11" t="inlineStr">
        <is>
          <t>No</t>
        </is>
      </c>
      <c r="R1367" s="11" t="n">
        <v>0</v>
      </c>
      <c r="S1367" s="10">
        <f>M1367-(R1367*K1367)</f>
        <v/>
      </c>
      <c r="T1367" s="12">
        <f>VLOOKUP(E1367,Dim_Product!$A$2:$Q$61,3,FALSE)</f>
        <v/>
      </c>
      <c r="U1367" s="12">
        <f>VLOOKUP(E1367,Dim_Product!$A$2:$Q$61,4,FALSE)</f>
        <v/>
      </c>
      <c r="V1367" s="12">
        <f>VLOOKUP(D1367,Dim_Customer!$A$2:$I$121,6,FALSE)</f>
        <v/>
      </c>
      <c r="W1367" s="12">
        <f>VLOOKUP(G1367,Dim_Channel!$A$2:$B$5,2,FALSE)</f>
        <v/>
      </c>
      <c r="X1367" s="12">
        <f>VLOOKUP(H1367,Dim_Promotion!$A$2:$G$11,2,FALSE)</f>
        <v/>
      </c>
    </row>
    <row r="1368">
      <c r="A1368" s="4" t="inlineStr">
        <is>
          <t>SL1367</t>
        </is>
      </c>
      <c r="B1368" t="inlineStr">
        <is>
          <t>O010684</t>
        </is>
      </c>
      <c r="C1368" t="n">
        <v>20250404</v>
      </c>
      <c r="D1368" s="4" t="inlineStr">
        <is>
          <t>C080</t>
        </is>
      </c>
      <c r="E1368" s="4" t="inlineStr">
        <is>
          <t>P046</t>
        </is>
      </c>
      <c r="F1368" t="inlineStr">
        <is>
          <t>L</t>
        </is>
      </c>
      <c r="G1368" s="4" t="inlineStr">
        <is>
          <t>CH04</t>
        </is>
      </c>
      <c r="H1368" s="4" t="inlineStr">
        <is>
          <t>PR00</t>
        </is>
      </c>
      <c r="I1368" s="8" t="n">
        <v>68</v>
      </c>
      <c r="J1368" s="9" t="n">
        <v>0</v>
      </c>
      <c r="K1368" s="10">
        <f>I1368*(1-J1368)</f>
        <v/>
      </c>
      <c r="L1368" s="11" t="n">
        <v>1</v>
      </c>
      <c r="M1368" s="10">
        <f>K1368*L1368</f>
        <v/>
      </c>
      <c r="N1368" s="8" t="n">
        <v>34.07</v>
      </c>
      <c r="O1368" s="10">
        <f>N1368*L1368</f>
        <v/>
      </c>
      <c r="P1368" s="10">
        <f>M1368-O1368</f>
        <v/>
      </c>
      <c r="Q1368" s="11" t="inlineStr">
        <is>
          <t>No</t>
        </is>
      </c>
      <c r="R1368" s="11" t="n">
        <v>0</v>
      </c>
      <c r="S1368" s="10">
        <f>M1368-(R1368*K1368)</f>
        <v/>
      </c>
      <c r="T1368" s="12">
        <f>VLOOKUP(E1368,Dim_Product!$A$2:$Q$61,3,FALSE)</f>
        <v/>
      </c>
      <c r="U1368" s="12">
        <f>VLOOKUP(E1368,Dim_Product!$A$2:$Q$61,4,FALSE)</f>
        <v/>
      </c>
      <c r="V1368" s="12">
        <f>VLOOKUP(D1368,Dim_Customer!$A$2:$I$121,6,FALSE)</f>
        <v/>
      </c>
      <c r="W1368" s="12">
        <f>VLOOKUP(G1368,Dim_Channel!$A$2:$B$5,2,FALSE)</f>
        <v/>
      </c>
      <c r="X1368" s="12">
        <f>VLOOKUP(H1368,Dim_Promotion!$A$2:$G$11,2,FALSE)</f>
        <v/>
      </c>
    </row>
    <row r="1369">
      <c r="A1369" s="4" t="inlineStr">
        <is>
          <t>SL1368</t>
        </is>
      </c>
      <c r="B1369" t="inlineStr">
        <is>
          <t>O010684</t>
        </is>
      </c>
      <c r="C1369" t="n">
        <v>20251116</v>
      </c>
      <c r="D1369" s="4" t="inlineStr">
        <is>
          <t>C081</t>
        </is>
      </c>
      <c r="E1369" s="4" t="inlineStr">
        <is>
          <t>P008</t>
        </is>
      </c>
      <c r="F1369" t="inlineStr">
        <is>
          <t>XL</t>
        </is>
      </c>
      <c r="G1369" s="4" t="inlineStr">
        <is>
          <t>CH01</t>
        </is>
      </c>
      <c r="H1369" s="4" t="inlineStr">
        <is>
          <t>PR00</t>
        </is>
      </c>
      <c r="I1369" s="8" t="n">
        <v>53</v>
      </c>
      <c r="J1369" s="9" t="n">
        <v>0.08</v>
      </c>
      <c r="K1369" s="10">
        <f>I1369*(1-J1369)</f>
        <v/>
      </c>
      <c r="L1369" s="11" t="n">
        <v>1</v>
      </c>
      <c r="M1369" s="10">
        <f>K1369*L1369</f>
        <v/>
      </c>
      <c r="N1369" s="8" t="n">
        <v>23.28</v>
      </c>
      <c r="O1369" s="10">
        <f>N1369*L1369</f>
        <v/>
      </c>
      <c r="P1369" s="10">
        <f>M1369-O1369</f>
        <v/>
      </c>
      <c r="Q1369" s="11" t="inlineStr">
        <is>
          <t>No</t>
        </is>
      </c>
      <c r="R1369" s="11" t="n">
        <v>0</v>
      </c>
      <c r="S1369" s="10">
        <f>M1369-(R1369*K1369)</f>
        <v/>
      </c>
      <c r="T1369" s="12">
        <f>VLOOKUP(E1369,Dim_Product!$A$2:$Q$61,3,FALSE)</f>
        <v/>
      </c>
      <c r="U1369" s="12">
        <f>VLOOKUP(E1369,Dim_Product!$A$2:$Q$61,4,FALSE)</f>
        <v/>
      </c>
      <c r="V1369" s="12">
        <f>VLOOKUP(D1369,Dim_Customer!$A$2:$I$121,6,FALSE)</f>
        <v/>
      </c>
      <c r="W1369" s="12">
        <f>VLOOKUP(G1369,Dim_Channel!$A$2:$B$5,2,FALSE)</f>
        <v/>
      </c>
      <c r="X1369" s="12">
        <f>VLOOKUP(H1369,Dim_Promotion!$A$2:$G$11,2,FALSE)</f>
        <v/>
      </c>
    </row>
    <row r="1370">
      <c r="A1370" s="4" t="inlineStr">
        <is>
          <t>SL1369</t>
        </is>
      </c>
      <c r="B1370" t="inlineStr">
        <is>
          <t>O010685</t>
        </is>
      </c>
      <c r="C1370" t="n">
        <v>20251224</v>
      </c>
      <c r="D1370" s="4" t="inlineStr">
        <is>
          <t>C095</t>
        </is>
      </c>
      <c r="E1370" s="4" t="inlineStr">
        <is>
          <t>P008</t>
        </is>
      </c>
      <c r="F1370" t="inlineStr">
        <is>
          <t>M</t>
        </is>
      </c>
      <c r="G1370" s="4" t="inlineStr">
        <is>
          <t>CH02</t>
        </is>
      </c>
      <c r="H1370" s="4" t="inlineStr">
        <is>
          <t>PR00</t>
        </is>
      </c>
      <c r="I1370" s="8" t="n">
        <v>50</v>
      </c>
      <c r="J1370" s="9" t="n">
        <v>0</v>
      </c>
      <c r="K1370" s="10">
        <f>I1370*(1-J1370)</f>
        <v/>
      </c>
      <c r="L1370" s="11" t="n">
        <v>2</v>
      </c>
      <c r="M1370" s="10">
        <f>K1370*L1370</f>
        <v/>
      </c>
      <c r="N1370" s="8" t="n">
        <v>22.68</v>
      </c>
      <c r="O1370" s="10">
        <f>N1370*L1370</f>
        <v/>
      </c>
      <c r="P1370" s="10">
        <f>M1370-O1370</f>
        <v/>
      </c>
      <c r="Q1370" s="11" t="inlineStr">
        <is>
          <t>No</t>
        </is>
      </c>
      <c r="R1370" s="11" t="n">
        <v>0</v>
      </c>
      <c r="S1370" s="10">
        <f>M1370-(R1370*K1370)</f>
        <v/>
      </c>
      <c r="T1370" s="12">
        <f>VLOOKUP(E1370,Dim_Product!$A$2:$Q$61,3,FALSE)</f>
        <v/>
      </c>
      <c r="U1370" s="12">
        <f>VLOOKUP(E1370,Dim_Product!$A$2:$Q$61,4,FALSE)</f>
        <v/>
      </c>
      <c r="V1370" s="12">
        <f>VLOOKUP(D1370,Dim_Customer!$A$2:$I$121,6,FALSE)</f>
        <v/>
      </c>
      <c r="W1370" s="12">
        <f>VLOOKUP(G1370,Dim_Channel!$A$2:$B$5,2,FALSE)</f>
        <v/>
      </c>
      <c r="X1370" s="12">
        <f>VLOOKUP(H1370,Dim_Promotion!$A$2:$G$11,2,FALSE)</f>
        <v/>
      </c>
    </row>
    <row r="1371">
      <c r="A1371" s="4" t="inlineStr">
        <is>
          <t>SL1370</t>
        </is>
      </c>
      <c r="B1371" t="inlineStr">
        <is>
          <t>O010685</t>
        </is>
      </c>
      <c r="C1371" t="n">
        <v>20251204</v>
      </c>
      <c r="D1371" s="4" t="inlineStr">
        <is>
          <t>C068</t>
        </is>
      </c>
      <c r="E1371" s="4" t="inlineStr">
        <is>
          <t>P026</t>
        </is>
      </c>
      <c r="F1371" t="inlineStr">
        <is>
          <t>M</t>
        </is>
      </c>
      <c r="G1371" s="4" t="inlineStr">
        <is>
          <t>CH01</t>
        </is>
      </c>
      <c r="H1371" s="4" t="inlineStr">
        <is>
          <t>PR00</t>
        </is>
      </c>
      <c r="I1371" s="8" t="n">
        <v>95</v>
      </c>
      <c r="J1371" s="9" t="n">
        <v>0</v>
      </c>
      <c r="K1371" s="10">
        <f>I1371*(1-J1371)</f>
        <v/>
      </c>
      <c r="L1371" s="11" t="n">
        <v>1</v>
      </c>
      <c r="M1371" s="10">
        <f>K1371*L1371</f>
        <v/>
      </c>
      <c r="N1371" s="8" t="n">
        <v>46.57</v>
      </c>
      <c r="O1371" s="10">
        <f>N1371*L1371</f>
        <v/>
      </c>
      <c r="P1371" s="10">
        <f>M1371-O1371</f>
        <v/>
      </c>
      <c r="Q1371" s="11" t="inlineStr">
        <is>
          <t>No</t>
        </is>
      </c>
      <c r="R1371" s="11" t="n">
        <v>0</v>
      </c>
      <c r="S1371" s="10">
        <f>M1371-(R1371*K1371)</f>
        <v/>
      </c>
      <c r="T1371" s="12">
        <f>VLOOKUP(E1371,Dim_Product!$A$2:$Q$61,3,FALSE)</f>
        <v/>
      </c>
      <c r="U1371" s="12">
        <f>VLOOKUP(E1371,Dim_Product!$A$2:$Q$61,4,FALSE)</f>
        <v/>
      </c>
      <c r="V1371" s="12">
        <f>VLOOKUP(D1371,Dim_Customer!$A$2:$I$121,6,FALSE)</f>
        <v/>
      </c>
      <c r="W1371" s="12">
        <f>VLOOKUP(G1371,Dim_Channel!$A$2:$B$5,2,FALSE)</f>
        <v/>
      </c>
      <c r="X1371" s="12">
        <f>VLOOKUP(H1371,Dim_Promotion!$A$2:$G$11,2,FALSE)</f>
        <v/>
      </c>
    </row>
    <row r="1372">
      <c r="A1372" s="4" t="inlineStr">
        <is>
          <t>SL1371</t>
        </is>
      </c>
      <c r="B1372" t="inlineStr">
        <is>
          <t>O010686</t>
        </is>
      </c>
      <c r="C1372" t="n">
        <v>20250228</v>
      </c>
      <c r="D1372" s="4" t="inlineStr">
        <is>
          <t>C007</t>
        </is>
      </c>
      <c r="E1372" s="4" t="inlineStr">
        <is>
          <t>P051</t>
        </is>
      </c>
      <c r="F1372" t="inlineStr">
        <is>
          <t>L</t>
        </is>
      </c>
      <c r="G1372" s="4" t="inlineStr">
        <is>
          <t>CH03</t>
        </is>
      </c>
      <c r="H1372" s="4" t="inlineStr">
        <is>
          <t>PR00</t>
        </is>
      </c>
      <c r="I1372" s="8" t="n">
        <v>72</v>
      </c>
      <c r="J1372" s="9" t="n">
        <v>0</v>
      </c>
      <c r="K1372" s="10">
        <f>I1372*(1-J1372)</f>
        <v/>
      </c>
      <c r="L1372" s="11" t="n">
        <v>1</v>
      </c>
      <c r="M1372" s="10">
        <f>K1372*L1372</f>
        <v/>
      </c>
      <c r="N1372" s="8" t="n">
        <v>28.6</v>
      </c>
      <c r="O1372" s="10">
        <f>N1372*L1372</f>
        <v/>
      </c>
      <c r="P1372" s="10">
        <f>M1372-O1372</f>
        <v/>
      </c>
      <c r="Q1372" s="11" t="inlineStr">
        <is>
          <t>No</t>
        </is>
      </c>
      <c r="R1372" s="11" t="n">
        <v>0</v>
      </c>
      <c r="S1372" s="10">
        <f>M1372-(R1372*K1372)</f>
        <v/>
      </c>
      <c r="T1372" s="12">
        <f>VLOOKUP(E1372,Dim_Product!$A$2:$Q$61,3,FALSE)</f>
        <v/>
      </c>
      <c r="U1372" s="12">
        <f>VLOOKUP(E1372,Dim_Product!$A$2:$Q$61,4,FALSE)</f>
        <v/>
      </c>
      <c r="V1372" s="12">
        <f>VLOOKUP(D1372,Dim_Customer!$A$2:$I$121,6,FALSE)</f>
        <v/>
      </c>
      <c r="W1372" s="12">
        <f>VLOOKUP(G1372,Dim_Channel!$A$2:$B$5,2,FALSE)</f>
        <v/>
      </c>
      <c r="X1372" s="12">
        <f>VLOOKUP(H1372,Dim_Promotion!$A$2:$G$11,2,FALSE)</f>
        <v/>
      </c>
    </row>
    <row r="1373">
      <c r="A1373" s="4" t="inlineStr">
        <is>
          <t>SL1372</t>
        </is>
      </c>
      <c r="B1373" t="inlineStr">
        <is>
          <t>O010686</t>
        </is>
      </c>
      <c r="C1373" t="n">
        <v>20250823</v>
      </c>
      <c r="D1373" s="4" t="inlineStr">
        <is>
          <t>C046</t>
        </is>
      </c>
      <c r="E1373" s="4" t="inlineStr">
        <is>
          <t>P010</t>
        </is>
      </c>
      <c r="F1373" t="inlineStr">
        <is>
          <t>XL</t>
        </is>
      </c>
      <c r="G1373" s="4" t="inlineStr">
        <is>
          <t>CH04</t>
        </is>
      </c>
      <c r="H1373" s="4" t="inlineStr">
        <is>
          <t>PR00</t>
        </is>
      </c>
      <c r="I1373" s="8" t="n">
        <v>48</v>
      </c>
      <c r="J1373" s="9" t="n">
        <v>0</v>
      </c>
      <c r="K1373" s="10">
        <f>I1373*(1-J1373)</f>
        <v/>
      </c>
      <c r="L1373" s="11" t="n">
        <v>2</v>
      </c>
      <c r="M1373" s="10">
        <f>K1373*L1373</f>
        <v/>
      </c>
      <c r="N1373" s="8" t="n">
        <v>20.73</v>
      </c>
      <c r="O1373" s="10">
        <f>N1373*L1373</f>
        <v/>
      </c>
      <c r="P1373" s="10">
        <f>M1373-O1373</f>
        <v/>
      </c>
      <c r="Q1373" s="11" t="inlineStr">
        <is>
          <t>No</t>
        </is>
      </c>
      <c r="R1373" s="11" t="n">
        <v>0</v>
      </c>
      <c r="S1373" s="10">
        <f>M1373-(R1373*K1373)</f>
        <v/>
      </c>
      <c r="T1373" s="12">
        <f>VLOOKUP(E1373,Dim_Product!$A$2:$Q$61,3,FALSE)</f>
        <v/>
      </c>
      <c r="U1373" s="12">
        <f>VLOOKUP(E1373,Dim_Product!$A$2:$Q$61,4,FALSE)</f>
        <v/>
      </c>
      <c r="V1373" s="12">
        <f>VLOOKUP(D1373,Dim_Customer!$A$2:$I$121,6,FALSE)</f>
        <v/>
      </c>
      <c r="W1373" s="12">
        <f>VLOOKUP(G1373,Dim_Channel!$A$2:$B$5,2,FALSE)</f>
        <v/>
      </c>
      <c r="X1373" s="12">
        <f>VLOOKUP(H1373,Dim_Promotion!$A$2:$G$11,2,FALSE)</f>
        <v/>
      </c>
    </row>
    <row r="1374">
      <c r="A1374" s="4" t="inlineStr">
        <is>
          <t>SL1373</t>
        </is>
      </c>
      <c r="B1374" t="inlineStr">
        <is>
          <t>O010687</t>
        </is>
      </c>
      <c r="C1374" t="n">
        <v>20250418</v>
      </c>
      <c r="D1374" s="4" t="inlineStr">
        <is>
          <t>C059</t>
        </is>
      </c>
      <c r="E1374" s="4" t="inlineStr">
        <is>
          <t>P010</t>
        </is>
      </c>
      <c r="F1374" t="inlineStr">
        <is>
          <t>XL</t>
        </is>
      </c>
      <c r="G1374" s="4" t="inlineStr">
        <is>
          <t>CH01</t>
        </is>
      </c>
      <c r="H1374" s="4" t="inlineStr">
        <is>
          <t>PR00</t>
        </is>
      </c>
      <c r="I1374" s="8" t="n">
        <v>48</v>
      </c>
      <c r="J1374" s="9" t="n">
        <v>0</v>
      </c>
      <c r="K1374" s="10">
        <f>I1374*(1-J1374)</f>
        <v/>
      </c>
      <c r="L1374" s="11" t="n">
        <v>1</v>
      </c>
      <c r="M1374" s="10">
        <f>K1374*L1374</f>
        <v/>
      </c>
      <c r="N1374" s="8" t="n">
        <v>19.91</v>
      </c>
      <c r="O1374" s="10">
        <f>N1374*L1374</f>
        <v/>
      </c>
      <c r="P1374" s="10">
        <f>M1374-O1374</f>
        <v/>
      </c>
      <c r="Q1374" s="11" t="inlineStr">
        <is>
          <t>No</t>
        </is>
      </c>
      <c r="R1374" s="11" t="n">
        <v>0</v>
      </c>
      <c r="S1374" s="10">
        <f>M1374-(R1374*K1374)</f>
        <v/>
      </c>
      <c r="T1374" s="12">
        <f>VLOOKUP(E1374,Dim_Product!$A$2:$Q$61,3,FALSE)</f>
        <v/>
      </c>
      <c r="U1374" s="12">
        <f>VLOOKUP(E1374,Dim_Product!$A$2:$Q$61,4,FALSE)</f>
        <v/>
      </c>
      <c r="V1374" s="12">
        <f>VLOOKUP(D1374,Dim_Customer!$A$2:$I$121,6,FALSE)</f>
        <v/>
      </c>
      <c r="W1374" s="12">
        <f>VLOOKUP(G1374,Dim_Channel!$A$2:$B$5,2,FALSE)</f>
        <v/>
      </c>
      <c r="X1374" s="12">
        <f>VLOOKUP(H1374,Dim_Promotion!$A$2:$G$11,2,FALSE)</f>
        <v/>
      </c>
    </row>
    <row r="1375">
      <c r="A1375" s="4" t="inlineStr">
        <is>
          <t>SL1374</t>
        </is>
      </c>
      <c r="B1375" t="inlineStr">
        <is>
          <t>O010687</t>
        </is>
      </c>
      <c r="C1375" t="n">
        <v>20250607</v>
      </c>
      <c r="D1375" s="4" t="inlineStr">
        <is>
          <t>C117</t>
        </is>
      </c>
      <c r="E1375" s="4" t="inlineStr">
        <is>
          <t>P011</t>
        </is>
      </c>
      <c r="F1375" t="inlineStr">
        <is>
          <t>L</t>
        </is>
      </c>
      <c r="G1375" s="4" t="inlineStr">
        <is>
          <t>CH03</t>
        </is>
      </c>
      <c r="H1375" s="4" t="inlineStr">
        <is>
          <t>PR00</t>
        </is>
      </c>
      <c r="I1375" s="8" t="n">
        <v>46</v>
      </c>
      <c r="J1375" s="9" t="n">
        <v>0</v>
      </c>
      <c r="K1375" s="10">
        <f>I1375*(1-J1375)</f>
        <v/>
      </c>
      <c r="L1375" s="11" t="n">
        <v>1</v>
      </c>
      <c r="M1375" s="10">
        <f>K1375*L1375</f>
        <v/>
      </c>
      <c r="N1375" s="8" t="n">
        <v>20.13</v>
      </c>
      <c r="O1375" s="10">
        <f>N1375*L1375</f>
        <v/>
      </c>
      <c r="P1375" s="10">
        <f>M1375-O1375</f>
        <v/>
      </c>
      <c r="Q1375" s="11" t="inlineStr">
        <is>
          <t>No</t>
        </is>
      </c>
      <c r="R1375" s="11" t="n">
        <v>0</v>
      </c>
      <c r="S1375" s="10">
        <f>M1375-(R1375*K1375)</f>
        <v/>
      </c>
      <c r="T1375" s="12">
        <f>VLOOKUP(E1375,Dim_Product!$A$2:$Q$61,3,FALSE)</f>
        <v/>
      </c>
      <c r="U1375" s="12">
        <f>VLOOKUP(E1375,Dim_Product!$A$2:$Q$61,4,FALSE)</f>
        <v/>
      </c>
      <c r="V1375" s="12">
        <f>VLOOKUP(D1375,Dim_Customer!$A$2:$I$121,6,FALSE)</f>
        <v/>
      </c>
      <c r="W1375" s="12">
        <f>VLOOKUP(G1375,Dim_Channel!$A$2:$B$5,2,FALSE)</f>
        <v/>
      </c>
      <c r="X1375" s="12">
        <f>VLOOKUP(H1375,Dim_Promotion!$A$2:$G$11,2,FALSE)</f>
        <v/>
      </c>
    </row>
    <row r="1376">
      <c r="A1376" s="4" t="inlineStr">
        <is>
          <t>SL1375</t>
        </is>
      </c>
      <c r="B1376" t="inlineStr">
        <is>
          <t>O010688</t>
        </is>
      </c>
      <c r="C1376" t="n">
        <v>20250117</v>
      </c>
      <c r="D1376" s="4" t="inlineStr">
        <is>
          <t>C108</t>
        </is>
      </c>
      <c r="E1376" s="4" t="inlineStr">
        <is>
          <t>P030</t>
        </is>
      </c>
      <c r="F1376" t="inlineStr">
        <is>
          <t>M</t>
        </is>
      </c>
      <c r="G1376" s="4" t="inlineStr">
        <is>
          <t>CH01</t>
        </is>
      </c>
      <c r="H1376" s="4" t="inlineStr">
        <is>
          <t>PR00</t>
        </is>
      </c>
      <c r="I1376" s="8" t="n">
        <v>106</v>
      </c>
      <c r="J1376" s="9" t="n">
        <v>0.05</v>
      </c>
      <c r="K1376" s="10">
        <f>I1376*(1-J1376)</f>
        <v/>
      </c>
      <c r="L1376" s="11" t="n">
        <v>2</v>
      </c>
      <c r="M1376" s="10">
        <f>K1376*L1376</f>
        <v/>
      </c>
      <c r="N1376" s="8" t="n">
        <v>56.94</v>
      </c>
      <c r="O1376" s="10">
        <f>N1376*L1376</f>
        <v/>
      </c>
      <c r="P1376" s="10">
        <f>M1376-O1376</f>
        <v/>
      </c>
      <c r="Q1376" s="11" t="inlineStr">
        <is>
          <t>No</t>
        </is>
      </c>
      <c r="R1376" s="11" t="n">
        <v>0</v>
      </c>
      <c r="S1376" s="10">
        <f>M1376-(R1376*K1376)</f>
        <v/>
      </c>
      <c r="T1376" s="12">
        <f>VLOOKUP(E1376,Dim_Product!$A$2:$Q$61,3,FALSE)</f>
        <v/>
      </c>
      <c r="U1376" s="12">
        <f>VLOOKUP(E1376,Dim_Product!$A$2:$Q$61,4,FALSE)</f>
        <v/>
      </c>
      <c r="V1376" s="12">
        <f>VLOOKUP(D1376,Dim_Customer!$A$2:$I$121,6,FALSE)</f>
        <v/>
      </c>
      <c r="W1376" s="12">
        <f>VLOOKUP(G1376,Dim_Channel!$A$2:$B$5,2,FALSE)</f>
        <v/>
      </c>
      <c r="X1376" s="12">
        <f>VLOOKUP(H1376,Dim_Promotion!$A$2:$G$11,2,FALSE)</f>
        <v/>
      </c>
    </row>
    <row r="1377">
      <c r="A1377" s="4" t="inlineStr">
        <is>
          <t>SL1376</t>
        </is>
      </c>
      <c r="B1377" t="inlineStr">
        <is>
          <t>O010688</t>
        </is>
      </c>
      <c r="C1377" t="n">
        <v>20250712</v>
      </c>
      <c r="D1377" s="4" t="inlineStr">
        <is>
          <t>C010</t>
        </is>
      </c>
      <c r="E1377" s="4" t="inlineStr">
        <is>
          <t>P010</t>
        </is>
      </c>
      <c r="F1377" t="inlineStr">
        <is>
          <t>L</t>
        </is>
      </c>
      <c r="G1377" s="4" t="inlineStr">
        <is>
          <t>CH02</t>
        </is>
      </c>
      <c r="H1377" s="4" t="inlineStr">
        <is>
          <t>PR04</t>
        </is>
      </c>
      <c r="I1377" s="8" t="n">
        <v>49</v>
      </c>
      <c r="J1377" s="9" t="n">
        <v>0.12</v>
      </c>
      <c r="K1377" s="10">
        <f>I1377*(1-J1377)</f>
        <v/>
      </c>
      <c r="L1377" s="11" t="n">
        <v>1</v>
      </c>
      <c r="M1377" s="10">
        <f>K1377*L1377</f>
        <v/>
      </c>
      <c r="N1377" s="8" t="n">
        <v>20.39</v>
      </c>
      <c r="O1377" s="10">
        <f>N1377*L1377</f>
        <v/>
      </c>
      <c r="P1377" s="10">
        <f>M1377-O1377</f>
        <v/>
      </c>
      <c r="Q1377" s="11" t="inlineStr">
        <is>
          <t>No</t>
        </is>
      </c>
      <c r="R1377" s="11" t="n">
        <v>0</v>
      </c>
      <c r="S1377" s="10">
        <f>M1377-(R1377*K1377)</f>
        <v/>
      </c>
      <c r="T1377" s="12">
        <f>VLOOKUP(E1377,Dim_Product!$A$2:$Q$61,3,FALSE)</f>
        <v/>
      </c>
      <c r="U1377" s="12">
        <f>VLOOKUP(E1377,Dim_Product!$A$2:$Q$61,4,FALSE)</f>
        <v/>
      </c>
      <c r="V1377" s="12">
        <f>VLOOKUP(D1377,Dim_Customer!$A$2:$I$121,6,FALSE)</f>
        <v/>
      </c>
      <c r="W1377" s="12">
        <f>VLOOKUP(G1377,Dim_Channel!$A$2:$B$5,2,FALSE)</f>
        <v/>
      </c>
      <c r="X1377" s="12">
        <f>VLOOKUP(H1377,Dim_Promotion!$A$2:$G$11,2,FALSE)</f>
        <v/>
      </c>
    </row>
    <row r="1378">
      <c r="A1378" s="4" t="inlineStr">
        <is>
          <t>SL1377</t>
        </is>
      </c>
      <c r="B1378" t="inlineStr">
        <is>
          <t>O010689</t>
        </is>
      </c>
      <c r="C1378" t="n">
        <v>20251124</v>
      </c>
      <c r="D1378" s="4" t="inlineStr">
        <is>
          <t>C041</t>
        </is>
      </c>
      <c r="E1378" s="4" t="inlineStr">
        <is>
          <t>P023</t>
        </is>
      </c>
      <c r="F1378" t="inlineStr">
        <is>
          <t>L</t>
        </is>
      </c>
      <c r="G1378" s="4" t="inlineStr">
        <is>
          <t>CH01</t>
        </is>
      </c>
      <c r="H1378" s="4" t="inlineStr">
        <is>
          <t>PR00</t>
        </is>
      </c>
      <c r="I1378" s="8" t="n">
        <v>56</v>
      </c>
      <c r="J1378" s="9" t="n">
        <v>0</v>
      </c>
      <c r="K1378" s="10">
        <f>I1378*(1-J1378)</f>
        <v/>
      </c>
      <c r="L1378" s="11" t="n">
        <v>1</v>
      </c>
      <c r="M1378" s="10">
        <f>K1378*L1378</f>
        <v/>
      </c>
      <c r="N1378" s="8" t="n">
        <v>25.51</v>
      </c>
      <c r="O1378" s="10">
        <f>N1378*L1378</f>
        <v/>
      </c>
      <c r="P1378" s="10">
        <f>M1378-O1378</f>
        <v/>
      </c>
      <c r="Q1378" s="11" t="inlineStr">
        <is>
          <t>No</t>
        </is>
      </c>
      <c r="R1378" s="11" t="n">
        <v>0</v>
      </c>
      <c r="S1378" s="10">
        <f>M1378-(R1378*K1378)</f>
        <v/>
      </c>
      <c r="T1378" s="12">
        <f>VLOOKUP(E1378,Dim_Product!$A$2:$Q$61,3,FALSE)</f>
        <v/>
      </c>
      <c r="U1378" s="12">
        <f>VLOOKUP(E1378,Dim_Product!$A$2:$Q$61,4,FALSE)</f>
        <v/>
      </c>
      <c r="V1378" s="12">
        <f>VLOOKUP(D1378,Dim_Customer!$A$2:$I$121,6,FALSE)</f>
        <v/>
      </c>
      <c r="W1378" s="12">
        <f>VLOOKUP(G1378,Dim_Channel!$A$2:$B$5,2,FALSE)</f>
        <v/>
      </c>
      <c r="X1378" s="12">
        <f>VLOOKUP(H1378,Dim_Promotion!$A$2:$G$11,2,FALSE)</f>
        <v/>
      </c>
    </row>
    <row r="1379">
      <c r="A1379" s="4" t="inlineStr">
        <is>
          <t>SL1378</t>
        </is>
      </c>
      <c r="B1379" t="inlineStr">
        <is>
          <t>O010689</t>
        </is>
      </c>
      <c r="C1379" t="n">
        <v>20250618</v>
      </c>
      <c r="D1379" s="4" t="inlineStr">
        <is>
          <t>C011</t>
        </is>
      </c>
      <c r="E1379" s="4" t="inlineStr">
        <is>
          <t>P008</t>
        </is>
      </c>
      <c r="F1379" t="inlineStr">
        <is>
          <t>S</t>
        </is>
      </c>
      <c r="G1379" s="4" t="inlineStr">
        <is>
          <t>CH03</t>
        </is>
      </c>
      <c r="H1379" s="4" t="inlineStr">
        <is>
          <t>PR04</t>
        </is>
      </c>
      <c r="I1379" s="8" t="n">
        <v>52</v>
      </c>
      <c r="J1379" s="9" t="n">
        <v>0.12</v>
      </c>
      <c r="K1379" s="10">
        <f>I1379*(1-J1379)</f>
        <v/>
      </c>
      <c r="L1379" s="11" t="n">
        <v>1</v>
      </c>
      <c r="M1379" s="10">
        <f>K1379*L1379</f>
        <v/>
      </c>
      <c r="N1379" s="8" t="n">
        <v>22.93</v>
      </c>
      <c r="O1379" s="10">
        <f>N1379*L1379</f>
        <v/>
      </c>
      <c r="P1379" s="10">
        <f>M1379-O1379</f>
        <v/>
      </c>
      <c r="Q1379" s="11" t="inlineStr">
        <is>
          <t>No</t>
        </is>
      </c>
      <c r="R1379" s="11" t="n">
        <v>0</v>
      </c>
      <c r="S1379" s="10">
        <f>M1379-(R1379*K1379)</f>
        <v/>
      </c>
      <c r="T1379" s="12">
        <f>VLOOKUP(E1379,Dim_Product!$A$2:$Q$61,3,FALSE)</f>
        <v/>
      </c>
      <c r="U1379" s="12">
        <f>VLOOKUP(E1379,Dim_Product!$A$2:$Q$61,4,FALSE)</f>
        <v/>
      </c>
      <c r="V1379" s="12">
        <f>VLOOKUP(D1379,Dim_Customer!$A$2:$I$121,6,FALSE)</f>
        <v/>
      </c>
      <c r="W1379" s="12">
        <f>VLOOKUP(G1379,Dim_Channel!$A$2:$B$5,2,FALSE)</f>
        <v/>
      </c>
      <c r="X1379" s="12">
        <f>VLOOKUP(H1379,Dim_Promotion!$A$2:$G$11,2,FALSE)</f>
        <v/>
      </c>
    </row>
    <row r="1380">
      <c r="A1380" s="4" t="inlineStr">
        <is>
          <t>SL1379</t>
        </is>
      </c>
      <c r="B1380" t="inlineStr">
        <is>
          <t>O010690</t>
        </is>
      </c>
      <c r="C1380" t="n">
        <v>20251230</v>
      </c>
      <c r="D1380" s="4" t="inlineStr">
        <is>
          <t>C099</t>
        </is>
      </c>
      <c r="E1380" s="4" t="inlineStr">
        <is>
          <t>P023</t>
        </is>
      </c>
      <c r="F1380" t="inlineStr">
        <is>
          <t>L</t>
        </is>
      </c>
      <c r="G1380" s="4" t="inlineStr">
        <is>
          <t>CH01</t>
        </is>
      </c>
      <c r="H1380" s="4" t="inlineStr">
        <is>
          <t>PR00</t>
        </is>
      </c>
      <c r="I1380" s="8" t="n">
        <v>56</v>
      </c>
      <c r="J1380" s="9" t="n">
        <v>0</v>
      </c>
      <c r="K1380" s="10">
        <f>I1380*(1-J1380)</f>
        <v/>
      </c>
      <c r="L1380" s="11" t="n">
        <v>1</v>
      </c>
      <c r="M1380" s="10">
        <f>K1380*L1380</f>
        <v/>
      </c>
      <c r="N1380" s="8" t="n">
        <v>26.2</v>
      </c>
      <c r="O1380" s="10">
        <f>N1380*L1380</f>
        <v/>
      </c>
      <c r="P1380" s="10">
        <f>M1380-O1380</f>
        <v/>
      </c>
      <c r="Q1380" s="11" t="inlineStr">
        <is>
          <t>No</t>
        </is>
      </c>
      <c r="R1380" s="11" t="n">
        <v>0</v>
      </c>
      <c r="S1380" s="10">
        <f>M1380-(R1380*K1380)</f>
        <v/>
      </c>
      <c r="T1380" s="12">
        <f>VLOOKUP(E1380,Dim_Product!$A$2:$Q$61,3,FALSE)</f>
        <v/>
      </c>
      <c r="U1380" s="12">
        <f>VLOOKUP(E1380,Dim_Product!$A$2:$Q$61,4,FALSE)</f>
        <v/>
      </c>
      <c r="V1380" s="12">
        <f>VLOOKUP(D1380,Dim_Customer!$A$2:$I$121,6,FALSE)</f>
        <v/>
      </c>
      <c r="W1380" s="12">
        <f>VLOOKUP(G1380,Dim_Channel!$A$2:$B$5,2,FALSE)</f>
        <v/>
      </c>
      <c r="X1380" s="12">
        <f>VLOOKUP(H1380,Dim_Promotion!$A$2:$G$11,2,FALSE)</f>
        <v/>
      </c>
    </row>
    <row r="1381">
      <c r="A1381" s="4" t="inlineStr">
        <is>
          <t>SL1380</t>
        </is>
      </c>
      <c r="B1381" t="inlineStr">
        <is>
          <t>O010690</t>
        </is>
      </c>
      <c r="C1381" t="n">
        <v>20250314</v>
      </c>
      <c r="D1381" s="4" t="inlineStr">
        <is>
          <t>C023</t>
        </is>
      </c>
      <c r="E1381" s="4" t="inlineStr">
        <is>
          <t>P049</t>
        </is>
      </c>
      <c r="F1381" t="inlineStr">
        <is>
          <t>L</t>
        </is>
      </c>
      <c r="G1381" s="4" t="inlineStr">
        <is>
          <t>CH04</t>
        </is>
      </c>
      <c r="H1381" s="4" t="inlineStr">
        <is>
          <t>PR00</t>
        </is>
      </c>
      <c r="I1381" s="8" t="n">
        <v>70</v>
      </c>
      <c r="J1381" s="9" t="n">
        <v>0</v>
      </c>
      <c r="K1381" s="10">
        <f>I1381*(1-J1381)</f>
        <v/>
      </c>
      <c r="L1381" s="11" t="n">
        <v>1</v>
      </c>
      <c r="M1381" s="10">
        <f>K1381*L1381</f>
        <v/>
      </c>
      <c r="N1381" s="8" t="n">
        <v>29.5</v>
      </c>
      <c r="O1381" s="10">
        <f>N1381*L1381</f>
        <v/>
      </c>
      <c r="P1381" s="10">
        <f>M1381-O1381</f>
        <v/>
      </c>
      <c r="Q1381" s="11" t="inlineStr">
        <is>
          <t>Yes</t>
        </is>
      </c>
      <c r="R1381" s="11" t="n">
        <v>1</v>
      </c>
      <c r="S1381" s="10">
        <f>M1381-(R1381*K1381)</f>
        <v/>
      </c>
      <c r="T1381" s="12">
        <f>VLOOKUP(E1381,Dim_Product!$A$2:$Q$61,3,FALSE)</f>
        <v/>
      </c>
      <c r="U1381" s="12">
        <f>VLOOKUP(E1381,Dim_Product!$A$2:$Q$61,4,FALSE)</f>
        <v/>
      </c>
      <c r="V1381" s="12">
        <f>VLOOKUP(D1381,Dim_Customer!$A$2:$I$121,6,FALSE)</f>
        <v/>
      </c>
      <c r="W1381" s="12">
        <f>VLOOKUP(G1381,Dim_Channel!$A$2:$B$5,2,FALSE)</f>
        <v/>
      </c>
      <c r="X1381" s="12">
        <f>VLOOKUP(H1381,Dim_Promotion!$A$2:$G$11,2,FALSE)</f>
        <v/>
      </c>
    </row>
    <row r="1382">
      <c r="A1382" s="4" t="inlineStr">
        <is>
          <t>SL1381</t>
        </is>
      </c>
      <c r="B1382" t="inlineStr">
        <is>
          <t>O010691</t>
        </is>
      </c>
      <c r="C1382" t="n">
        <v>20250207</v>
      </c>
      <c r="D1382" s="4" t="inlineStr">
        <is>
          <t>C093</t>
        </is>
      </c>
      <c r="E1382" s="4" t="inlineStr">
        <is>
          <t>P045</t>
        </is>
      </c>
      <c r="F1382" t="inlineStr">
        <is>
          <t>S</t>
        </is>
      </c>
      <c r="G1382" s="4" t="inlineStr">
        <is>
          <t>CH04</t>
        </is>
      </c>
      <c r="H1382" s="4" t="inlineStr">
        <is>
          <t>PR02</t>
        </is>
      </c>
      <c r="I1382" s="8" t="n">
        <v>66</v>
      </c>
      <c r="J1382" s="9" t="n">
        <v>0.15</v>
      </c>
      <c r="K1382" s="10">
        <f>I1382*(1-J1382)</f>
        <v/>
      </c>
      <c r="L1382" s="11" t="n">
        <v>1</v>
      </c>
      <c r="M1382" s="10">
        <f>K1382*L1382</f>
        <v/>
      </c>
      <c r="N1382" s="8" t="n">
        <v>33.61</v>
      </c>
      <c r="O1382" s="10">
        <f>N1382*L1382</f>
        <v/>
      </c>
      <c r="P1382" s="10">
        <f>M1382-O1382</f>
        <v/>
      </c>
      <c r="Q1382" s="11" t="inlineStr">
        <is>
          <t>No</t>
        </is>
      </c>
      <c r="R1382" s="11" t="n">
        <v>0</v>
      </c>
      <c r="S1382" s="10">
        <f>M1382-(R1382*K1382)</f>
        <v/>
      </c>
      <c r="T1382" s="12">
        <f>VLOOKUP(E1382,Dim_Product!$A$2:$Q$61,3,FALSE)</f>
        <v/>
      </c>
      <c r="U1382" s="12">
        <f>VLOOKUP(E1382,Dim_Product!$A$2:$Q$61,4,FALSE)</f>
        <v/>
      </c>
      <c r="V1382" s="12">
        <f>VLOOKUP(D1382,Dim_Customer!$A$2:$I$121,6,FALSE)</f>
        <v/>
      </c>
      <c r="W1382" s="12">
        <f>VLOOKUP(G1382,Dim_Channel!$A$2:$B$5,2,FALSE)</f>
        <v/>
      </c>
      <c r="X1382" s="12">
        <f>VLOOKUP(H1382,Dim_Promotion!$A$2:$G$11,2,FALSE)</f>
        <v/>
      </c>
    </row>
    <row r="1383">
      <c r="A1383" s="4" t="inlineStr">
        <is>
          <t>SL1382</t>
        </is>
      </c>
      <c r="B1383" t="inlineStr">
        <is>
          <t>O010691</t>
        </is>
      </c>
      <c r="C1383" t="n">
        <v>20250327</v>
      </c>
      <c r="D1383" s="4" t="inlineStr">
        <is>
          <t>C023</t>
        </is>
      </c>
      <c r="E1383" s="4" t="inlineStr">
        <is>
          <t>P046</t>
        </is>
      </c>
      <c r="F1383" t="inlineStr">
        <is>
          <t>S</t>
        </is>
      </c>
      <c r="G1383" s="4" t="inlineStr">
        <is>
          <t>CH02</t>
        </is>
      </c>
      <c r="H1383" s="4" t="inlineStr">
        <is>
          <t>PR00</t>
        </is>
      </c>
      <c r="I1383" s="8" t="n">
        <v>66</v>
      </c>
      <c r="J1383" s="9" t="n">
        <v>0</v>
      </c>
      <c r="K1383" s="10">
        <f>I1383*(1-J1383)</f>
        <v/>
      </c>
      <c r="L1383" s="11" t="n">
        <v>1</v>
      </c>
      <c r="M1383" s="10">
        <f>K1383*L1383</f>
        <v/>
      </c>
      <c r="N1383" s="8" t="n">
        <v>34.06</v>
      </c>
      <c r="O1383" s="10">
        <f>N1383*L1383</f>
        <v/>
      </c>
      <c r="P1383" s="10">
        <f>M1383-O1383</f>
        <v/>
      </c>
      <c r="Q1383" s="11" t="inlineStr">
        <is>
          <t>No</t>
        </is>
      </c>
      <c r="R1383" s="11" t="n">
        <v>0</v>
      </c>
      <c r="S1383" s="10">
        <f>M1383-(R1383*K1383)</f>
        <v/>
      </c>
      <c r="T1383" s="12">
        <f>VLOOKUP(E1383,Dim_Product!$A$2:$Q$61,3,FALSE)</f>
        <v/>
      </c>
      <c r="U1383" s="12">
        <f>VLOOKUP(E1383,Dim_Product!$A$2:$Q$61,4,FALSE)</f>
        <v/>
      </c>
      <c r="V1383" s="12">
        <f>VLOOKUP(D1383,Dim_Customer!$A$2:$I$121,6,FALSE)</f>
        <v/>
      </c>
      <c r="W1383" s="12">
        <f>VLOOKUP(G1383,Dim_Channel!$A$2:$B$5,2,FALSE)</f>
        <v/>
      </c>
      <c r="X1383" s="12">
        <f>VLOOKUP(H1383,Dim_Promotion!$A$2:$G$11,2,FALSE)</f>
        <v/>
      </c>
    </row>
    <row r="1384">
      <c r="A1384" s="4" t="inlineStr">
        <is>
          <t>SL1383</t>
        </is>
      </c>
      <c r="B1384" t="inlineStr">
        <is>
          <t>O010692</t>
        </is>
      </c>
      <c r="C1384" t="n">
        <v>20250713</v>
      </c>
      <c r="D1384" s="4" t="inlineStr">
        <is>
          <t>C039</t>
        </is>
      </c>
      <c r="E1384" s="4" t="inlineStr">
        <is>
          <t>P053</t>
        </is>
      </c>
      <c r="F1384" t="inlineStr">
        <is>
          <t>M</t>
        </is>
      </c>
      <c r="G1384" s="4" t="inlineStr">
        <is>
          <t>CH02</t>
        </is>
      </c>
      <c r="H1384" s="4" t="inlineStr">
        <is>
          <t>PR00</t>
        </is>
      </c>
      <c r="I1384" s="8" t="n">
        <v>76</v>
      </c>
      <c r="J1384" s="9" t="n">
        <v>0</v>
      </c>
      <c r="K1384" s="10">
        <f>I1384*(1-J1384)</f>
        <v/>
      </c>
      <c r="L1384" s="11" t="n">
        <v>1</v>
      </c>
      <c r="M1384" s="10">
        <f>K1384*L1384</f>
        <v/>
      </c>
      <c r="N1384" s="8" t="n">
        <v>33.95</v>
      </c>
      <c r="O1384" s="10">
        <f>N1384*L1384</f>
        <v/>
      </c>
      <c r="P1384" s="10">
        <f>M1384-O1384</f>
        <v/>
      </c>
      <c r="Q1384" s="11" t="inlineStr">
        <is>
          <t>No</t>
        </is>
      </c>
      <c r="R1384" s="11" t="n">
        <v>0</v>
      </c>
      <c r="S1384" s="10">
        <f>M1384-(R1384*K1384)</f>
        <v/>
      </c>
      <c r="T1384" s="12">
        <f>VLOOKUP(E1384,Dim_Product!$A$2:$Q$61,3,FALSE)</f>
        <v/>
      </c>
      <c r="U1384" s="12">
        <f>VLOOKUP(E1384,Dim_Product!$A$2:$Q$61,4,FALSE)</f>
        <v/>
      </c>
      <c r="V1384" s="12">
        <f>VLOOKUP(D1384,Dim_Customer!$A$2:$I$121,6,FALSE)</f>
        <v/>
      </c>
      <c r="W1384" s="12">
        <f>VLOOKUP(G1384,Dim_Channel!$A$2:$B$5,2,FALSE)</f>
        <v/>
      </c>
      <c r="X1384" s="12">
        <f>VLOOKUP(H1384,Dim_Promotion!$A$2:$G$11,2,FALSE)</f>
        <v/>
      </c>
    </row>
    <row r="1385">
      <c r="A1385" s="4" t="inlineStr">
        <is>
          <t>SL1384</t>
        </is>
      </c>
      <c r="B1385" t="inlineStr">
        <is>
          <t>O010692</t>
        </is>
      </c>
      <c r="C1385" t="n">
        <v>20250327</v>
      </c>
      <c r="D1385" s="4" t="inlineStr">
        <is>
          <t>C087</t>
        </is>
      </c>
      <c r="E1385" s="4" t="inlineStr">
        <is>
          <t>P055</t>
        </is>
      </c>
      <c r="F1385" t="inlineStr">
        <is>
          <t>M</t>
        </is>
      </c>
      <c r="G1385" s="4" t="inlineStr">
        <is>
          <t>CH02</t>
        </is>
      </c>
      <c r="H1385" s="4" t="inlineStr">
        <is>
          <t>PR00</t>
        </is>
      </c>
      <c r="I1385" s="8" t="n">
        <v>72</v>
      </c>
      <c r="J1385" s="9" t="n">
        <v>0</v>
      </c>
      <c r="K1385" s="10">
        <f>I1385*(1-J1385)</f>
        <v/>
      </c>
      <c r="L1385" s="11" t="n">
        <v>1</v>
      </c>
      <c r="M1385" s="10">
        <f>K1385*L1385</f>
        <v/>
      </c>
      <c r="N1385" s="8" t="n">
        <v>34.82</v>
      </c>
      <c r="O1385" s="10">
        <f>N1385*L1385</f>
        <v/>
      </c>
      <c r="P1385" s="10">
        <f>M1385-O1385</f>
        <v/>
      </c>
      <c r="Q1385" s="11" t="inlineStr">
        <is>
          <t>No</t>
        </is>
      </c>
      <c r="R1385" s="11" t="n">
        <v>0</v>
      </c>
      <c r="S1385" s="10">
        <f>M1385-(R1385*K1385)</f>
        <v/>
      </c>
      <c r="T1385" s="12">
        <f>VLOOKUP(E1385,Dim_Product!$A$2:$Q$61,3,FALSE)</f>
        <v/>
      </c>
      <c r="U1385" s="12">
        <f>VLOOKUP(E1385,Dim_Product!$A$2:$Q$61,4,FALSE)</f>
        <v/>
      </c>
      <c r="V1385" s="12">
        <f>VLOOKUP(D1385,Dim_Customer!$A$2:$I$121,6,FALSE)</f>
        <v/>
      </c>
      <c r="W1385" s="12">
        <f>VLOOKUP(G1385,Dim_Channel!$A$2:$B$5,2,FALSE)</f>
        <v/>
      </c>
      <c r="X1385" s="12">
        <f>VLOOKUP(H1385,Dim_Promotion!$A$2:$G$11,2,FALSE)</f>
        <v/>
      </c>
    </row>
    <row r="1386">
      <c r="A1386" s="4" t="inlineStr">
        <is>
          <t>SL1385</t>
        </is>
      </c>
      <c r="B1386" t="inlineStr">
        <is>
          <t>O010693</t>
        </is>
      </c>
      <c r="C1386" t="n">
        <v>20250628</v>
      </c>
      <c r="D1386" s="4" t="inlineStr">
        <is>
          <t>C052</t>
        </is>
      </c>
      <c r="E1386" s="4" t="inlineStr">
        <is>
          <t>P007</t>
        </is>
      </c>
      <c r="F1386" t="inlineStr">
        <is>
          <t>S</t>
        </is>
      </c>
      <c r="G1386" s="4" t="inlineStr">
        <is>
          <t>CH01</t>
        </is>
      </c>
      <c r="H1386" s="4" t="inlineStr">
        <is>
          <t>PR00</t>
        </is>
      </c>
      <c r="I1386" s="8" t="n">
        <v>51</v>
      </c>
      <c r="J1386" s="9" t="n">
        <v>0</v>
      </c>
      <c r="K1386" s="10">
        <f>I1386*(1-J1386)</f>
        <v/>
      </c>
      <c r="L1386" s="11" t="n">
        <v>2</v>
      </c>
      <c r="M1386" s="10">
        <f>K1386*L1386</f>
        <v/>
      </c>
      <c r="N1386" s="8" t="n">
        <v>21.8</v>
      </c>
      <c r="O1386" s="10">
        <f>N1386*L1386</f>
        <v/>
      </c>
      <c r="P1386" s="10">
        <f>M1386-O1386</f>
        <v/>
      </c>
      <c r="Q1386" s="11" t="inlineStr">
        <is>
          <t>No</t>
        </is>
      </c>
      <c r="R1386" s="11" t="n">
        <v>0</v>
      </c>
      <c r="S1386" s="10">
        <f>M1386-(R1386*K1386)</f>
        <v/>
      </c>
      <c r="T1386" s="12">
        <f>VLOOKUP(E1386,Dim_Product!$A$2:$Q$61,3,FALSE)</f>
        <v/>
      </c>
      <c r="U1386" s="12">
        <f>VLOOKUP(E1386,Dim_Product!$A$2:$Q$61,4,FALSE)</f>
        <v/>
      </c>
      <c r="V1386" s="12">
        <f>VLOOKUP(D1386,Dim_Customer!$A$2:$I$121,6,FALSE)</f>
        <v/>
      </c>
      <c r="W1386" s="12">
        <f>VLOOKUP(G1386,Dim_Channel!$A$2:$B$5,2,FALSE)</f>
        <v/>
      </c>
      <c r="X1386" s="12">
        <f>VLOOKUP(H1386,Dim_Promotion!$A$2:$G$11,2,FALSE)</f>
        <v/>
      </c>
    </row>
    <row r="1387">
      <c r="A1387" s="4" t="inlineStr">
        <is>
          <t>SL1386</t>
        </is>
      </c>
      <c r="B1387" t="inlineStr">
        <is>
          <t>O010693</t>
        </is>
      </c>
      <c r="C1387" t="n">
        <v>20250123</v>
      </c>
      <c r="D1387" s="4" t="inlineStr">
        <is>
          <t>C009</t>
        </is>
      </c>
      <c r="E1387" s="4" t="inlineStr">
        <is>
          <t>P003</t>
        </is>
      </c>
      <c r="F1387" t="inlineStr">
        <is>
          <t>M</t>
        </is>
      </c>
      <c r="G1387" s="4" t="inlineStr">
        <is>
          <t>CH02</t>
        </is>
      </c>
      <c r="H1387" s="4" t="inlineStr">
        <is>
          <t>PR00</t>
        </is>
      </c>
      <c r="I1387" s="8" t="n">
        <v>42</v>
      </c>
      <c r="J1387" s="9" t="n">
        <v>0</v>
      </c>
      <c r="K1387" s="10">
        <f>I1387*(1-J1387)</f>
        <v/>
      </c>
      <c r="L1387" s="11" t="n">
        <v>2</v>
      </c>
      <c r="M1387" s="10">
        <f>K1387*L1387</f>
        <v/>
      </c>
      <c r="N1387" s="8" t="n">
        <v>20.73</v>
      </c>
      <c r="O1387" s="10">
        <f>N1387*L1387</f>
        <v/>
      </c>
      <c r="P1387" s="10">
        <f>M1387-O1387</f>
        <v/>
      </c>
      <c r="Q1387" s="11" t="inlineStr">
        <is>
          <t>No</t>
        </is>
      </c>
      <c r="R1387" s="11" t="n">
        <v>0</v>
      </c>
      <c r="S1387" s="10">
        <f>M1387-(R1387*K1387)</f>
        <v/>
      </c>
      <c r="T1387" s="12">
        <f>VLOOKUP(E1387,Dim_Product!$A$2:$Q$61,3,FALSE)</f>
        <v/>
      </c>
      <c r="U1387" s="12">
        <f>VLOOKUP(E1387,Dim_Product!$A$2:$Q$61,4,FALSE)</f>
        <v/>
      </c>
      <c r="V1387" s="12">
        <f>VLOOKUP(D1387,Dim_Customer!$A$2:$I$121,6,FALSE)</f>
        <v/>
      </c>
      <c r="W1387" s="12">
        <f>VLOOKUP(G1387,Dim_Channel!$A$2:$B$5,2,FALSE)</f>
        <v/>
      </c>
      <c r="X1387" s="12">
        <f>VLOOKUP(H1387,Dim_Promotion!$A$2:$G$11,2,FALSE)</f>
        <v/>
      </c>
    </row>
    <row r="1388">
      <c r="A1388" s="4" t="inlineStr">
        <is>
          <t>SL1387</t>
        </is>
      </c>
      <c r="B1388" t="inlineStr">
        <is>
          <t>O010694</t>
        </is>
      </c>
      <c r="C1388" t="n">
        <v>20250828</v>
      </c>
      <c r="D1388" s="4" t="inlineStr">
        <is>
          <t>C090</t>
        </is>
      </c>
      <c r="E1388" s="4" t="inlineStr">
        <is>
          <t>P051</t>
        </is>
      </c>
      <c r="F1388" t="inlineStr">
        <is>
          <t>XL</t>
        </is>
      </c>
      <c r="G1388" s="4" t="inlineStr">
        <is>
          <t>CH03</t>
        </is>
      </c>
      <c r="H1388" s="4" t="inlineStr">
        <is>
          <t>PR00</t>
        </is>
      </c>
      <c r="I1388" s="8" t="n">
        <v>71</v>
      </c>
      <c r="J1388" s="9" t="n">
        <v>0</v>
      </c>
      <c r="K1388" s="10">
        <f>I1388*(1-J1388)</f>
        <v/>
      </c>
      <c r="L1388" s="11" t="n">
        <v>1</v>
      </c>
      <c r="M1388" s="10">
        <f>K1388*L1388</f>
        <v/>
      </c>
      <c r="N1388" s="8" t="n">
        <v>29.45</v>
      </c>
      <c r="O1388" s="10">
        <f>N1388*L1388</f>
        <v/>
      </c>
      <c r="P1388" s="10">
        <f>M1388-O1388</f>
        <v/>
      </c>
      <c r="Q1388" s="11" t="inlineStr">
        <is>
          <t>No</t>
        </is>
      </c>
      <c r="R1388" s="11" t="n">
        <v>0</v>
      </c>
      <c r="S1388" s="10">
        <f>M1388-(R1388*K1388)</f>
        <v/>
      </c>
      <c r="T1388" s="12">
        <f>VLOOKUP(E1388,Dim_Product!$A$2:$Q$61,3,FALSE)</f>
        <v/>
      </c>
      <c r="U1388" s="12">
        <f>VLOOKUP(E1388,Dim_Product!$A$2:$Q$61,4,FALSE)</f>
        <v/>
      </c>
      <c r="V1388" s="12">
        <f>VLOOKUP(D1388,Dim_Customer!$A$2:$I$121,6,FALSE)</f>
        <v/>
      </c>
      <c r="W1388" s="12">
        <f>VLOOKUP(G1388,Dim_Channel!$A$2:$B$5,2,FALSE)</f>
        <v/>
      </c>
      <c r="X1388" s="12">
        <f>VLOOKUP(H1388,Dim_Promotion!$A$2:$G$11,2,FALSE)</f>
        <v/>
      </c>
    </row>
    <row r="1389">
      <c r="A1389" s="4" t="inlineStr">
        <is>
          <t>SL1388</t>
        </is>
      </c>
      <c r="B1389" t="inlineStr">
        <is>
          <t>O010694</t>
        </is>
      </c>
      <c r="C1389" t="n">
        <v>20250817</v>
      </c>
      <c r="D1389" s="4" t="inlineStr">
        <is>
          <t>C013</t>
        </is>
      </c>
      <c r="E1389" s="4" t="inlineStr">
        <is>
          <t>P038</t>
        </is>
      </c>
      <c r="F1389" t="inlineStr">
        <is>
          <t>S</t>
        </is>
      </c>
      <c r="G1389" s="4" t="inlineStr">
        <is>
          <t>CH03</t>
        </is>
      </c>
      <c r="H1389" s="4" t="inlineStr">
        <is>
          <t>PR00</t>
        </is>
      </c>
      <c r="I1389" s="8" t="n">
        <v>74</v>
      </c>
      <c r="J1389" s="9" t="n">
        <v>0</v>
      </c>
      <c r="K1389" s="10">
        <f>I1389*(1-J1389)</f>
        <v/>
      </c>
      <c r="L1389" s="11" t="n">
        <v>2</v>
      </c>
      <c r="M1389" s="10">
        <f>K1389*L1389</f>
        <v/>
      </c>
      <c r="N1389" s="8" t="n">
        <v>33.18</v>
      </c>
      <c r="O1389" s="10">
        <f>N1389*L1389</f>
        <v/>
      </c>
      <c r="P1389" s="10">
        <f>M1389-O1389</f>
        <v/>
      </c>
      <c r="Q1389" s="11" t="inlineStr">
        <is>
          <t>Yes</t>
        </is>
      </c>
      <c r="R1389" s="11" t="n">
        <v>1</v>
      </c>
      <c r="S1389" s="10">
        <f>M1389-(R1389*K1389)</f>
        <v/>
      </c>
      <c r="T1389" s="12">
        <f>VLOOKUP(E1389,Dim_Product!$A$2:$Q$61,3,FALSE)</f>
        <v/>
      </c>
      <c r="U1389" s="12">
        <f>VLOOKUP(E1389,Dim_Product!$A$2:$Q$61,4,FALSE)</f>
        <v/>
      </c>
      <c r="V1389" s="12">
        <f>VLOOKUP(D1389,Dim_Customer!$A$2:$I$121,6,FALSE)</f>
        <v/>
      </c>
      <c r="W1389" s="12">
        <f>VLOOKUP(G1389,Dim_Channel!$A$2:$B$5,2,FALSE)</f>
        <v/>
      </c>
      <c r="X1389" s="12">
        <f>VLOOKUP(H1389,Dim_Promotion!$A$2:$G$11,2,FALSE)</f>
        <v/>
      </c>
    </row>
    <row r="1390">
      <c r="A1390" s="4" t="inlineStr">
        <is>
          <t>SL1389</t>
        </is>
      </c>
      <c r="B1390" t="inlineStr">
        <is>
          <t>O010695</t>
        </is>
      </c>
      <c r="C1390" t="n">
        <v>20251002</v>
      </c>
      <c r="D1390" s="4" t="inlineStr">
        <is>
          <t>C001</t>
        </is>
      </c>
      <c r="E1390" s="4" t="inlineStr">
        <is>
          <t>P020</t>
        </is>
      </c>
      <c r="F1390" t="inlineStr">
        <is>
          <t>S</t>
        </is>
      </c>
      <c r="G1390" s="4" t="inlineStr">
        <is>
          <t>CH03</t>
        </is>
      </c>
      <c r="H1390" s="4" t="inlineStr">
        <is>
          <t>PR00</t>
        </is>
      </c>
      <c r="I1390" s="8" t="n">
        <v>64</v>
      </c>
      <c r="J1390" s="9" t="n">
        <v>0</v>
      </c>
      <c r="K1390" s="10">
        <f>I1390*(1-J1390)</f>
        <v/>
      </c>
      <c r="L1390" s="11" t="n">
        <v>2</v>
      </c>
      <c r="M1390" s="10">
        <f>K1390*L1390</f>
        <v/>
      </c>
      <c r="N1390" s="8" t="n">
        <v>29.41</v>
      </c>
      <c r="O1390" s="10">
        <f>N1390*L1390</f>
        <v/>
      </c>
      <c r="P1390" s="10">
        <f>M1390-O1390</f>
        <v/>
      </c>
      <c r="Q1390" s="11" t="inlineStr">
        <is>
          <t>No</t>
        </is>
      </c>
      <c r="R1390" s="11" t="n">
        <v>0</v>
      </c>
      <c r="S1390" s="10">
        <f>M1390-(R1390*K1390)</f>
        <v/>
      </c>
      <c r="T1390" s="12">
        <f>VLOOKUP(E1390,Dim_Product!$A$2:$Q$61,3,FALSE)</f>
        <v/>
      </c>
      <c r="U1390" s="12">
        <f>VLOOKUP(E1390,Dim_Product!$A$2:$Q$61,4,FALSE)</f>
        <v/>
      </c>
      <c r="V1390" s="12">
        <f>VLOOKUP(D1390,Dim_Customer!$A$2:$I$121,6,FALSE)</f>
        <v/>
      </c>
      <c r="W1390" s="12">
        <f>VLOOKUP(G1390,Dim_Channel!$A$2:$B$5,2,FALSE)</f>
        <v/>
      </c>
      <c r="X1390" s="12">
        <f>VLOOKUP(H1390,Dim_Promotion!$A$2:$G$11,2,FALSE)</f>
        <v/>
      </c>
    </row>
    <row r="1391">
      <c r="A1391" s="4" t="inlineStr">
        <is>
          <t>SL1390</t>
        </is>
      </c>
      <c r="B1391" t="inlineStr">
        <is>
          <t>O010695</t>
        </is>
      </c>
      <c r="C1391" t="n">
        <v>20250506</v>
      </c>
      <c r="D1391" s="4" t="inlineStr">
        <is>
          <t>C035</t>
        </is>
      </c>
      <c r="E1391" s="4" t="inlineStr">
        <is>
          <t>P014</t>
        </is>
      </c>
      <c r="F1391" t="inlineStr">
        <is>
          <t>M</t>
        </is>
      </c>
      <c r="G1391" s="4" t="inlineStr">
        <is>
          <t>CH03</t>
        </is>
      </c>
      <c r="H1391" s="4" t="inlineStr">
        <is>
          <t>PR00</t>
        </is>
      </c>
      <c r="I1391" s="8" t="n">
        <v>62</v>
      </c>
      <c r="J1391" s="9" t="n">
        <v>0</v>
      </c>
      <c r="K1391" s="10">
        <f>I1391*(1-J1391)</f>
        <v/>
      </c>
      <c r="L1391" s="11" t="n">
        <v>1</v>
      </c>
      <c r="M1391" s="10">
        <f>K1391*L1391</f>
        <v/>
      </c>
      <c r="N1391" s="8" t="n">
        <v>27.96</v>
      </c>
      <c r="O1391" s="10">
        <f>N1391*L1391</f>
        <v/>
      </c>
      <c r="P1391" s="10">
        <f>M1391-O1391</f>
        <v/>
      </c>
      <c r="Q1391" s="11" t="inlineStr">
        <is>
          <t>No</t>
        </is>
      </c>
      <c r="R1391" s="11" t="n">
        <v>0</v>
      </c>
      <c r="S1391" s="10">
        <f>M1391-(R1391*K1391)</f>
        <v/>
      </c>
      <c r="T1391" s="12">
        <f>VLOOKUP(E1391,Dim_Product!$A$2:$Q$61,3,FALSE)</f>
        <v/>
      </c>
      <c r="U1391" s="12">
        <f>VLOOKUP(E1391,Dim_Product!$A$2:$Q$61,4,FALSE)</f>
        <v/>
      </c>
      <c r="V1391" s="12">
        <f>VLOOKUP(D1391,Dim_Customer!$A$2:$I$121,6,FALSE)</f>
        <v/>
      </c>
      <c r="W1391" s="12">
        <f>VLOOKUP(G1391,Dim_Channel!$A$2:$B$5,2,FALSE)</f>
        <v/>
      </c>
      <c r="X1391" s="12">
        <f>VLOOKUP(H1391,Dim_Promotion!$A$2:$G$11,2,FALSE)</f>
        <v/>
      </c>
    </row>
    <row r="1392">
      <c r="A1392" s="4" t="inlineStr">
        <is>
          <t>SL1391</t>
        </is>
      </c>
      <c r="B1392" t="inlineStr">
        <is>
          <t>O010696</t>
        </is>
      </c>
      <c r="C1392" t="n">
        <v>20250822</v>
      </c>
      <c r="D1392" s="4" t="inlineStr">
        <is>
          <t>C100</t>
        </is>
      </c>
      <c r="E1392" s="4" t="inlineStr">
        <is>
          <t>P033</t>
        </is>
      </c>
      <c r="F1392" t="inlineStr">
        <is>
          <t>S</t>
        </is>
      </c>
      <c r="G1392" s="4" t="inlineStr">
        <is>
          <t>CH02</t>
        </is>
      </c>
      <c r="H1392" s="4" t="inlineStr">
        <is>
          <t>PR00</t>
        </is>
      </c>
      <c r="I1392" s="8" t="n">
        <v>86</v>
      </c>
      <c r="J1392" s="9" t="n">
        <v>0</v>
      </c>
      <c r="K1392" s="10">
        <f>I1392*(1-J1392)</f>
        <v/>
      </c>
      <c r="L1392" s="11" t="n">
        <v>2</v>
      </c>
      <c r="M1392" s="10">
        <f>K1392*L1392</f>
        <v/>
      </c>
      <c r="N1392" s="8" t="n">
        <v>43.07</v>
      </c>
      <c r="O1392" s="10">
        <f>N1392*L1392</f>
        <v/>
      </c>
      <c r="P1392" s="10">
        <f>M1392-O1392</f>
        <v/>
      </c>
      <c r="Q1392" s="11" t="inlineStr">
        <is>
          <t>No</t>
        </is>
      </c>
      <c r="R1392" s="11" t="n">
        <v>0</v>
      </c>
      <c r="S1392" s="10">
        <f>M1392-(R1392*K1392)</f>
        <v/>
      </c>
      <c r="T1392" s="12">
        <f>VLOOKUP(E1392,Dim_Product!$A$2:$Q$61,3,FALSE)</f>
        <v/>
      </c>
      <c r="U1392" s="12">
        <f>VLOOKUP(E1392,Dim_Product!$A$2:$Q$61,4,FALSE)</f>
        <v/>
      </c>
      <c r="V1392" s="12">
        <f>VLOOKUP(D1392,Dim_Customer!$A$2:$I$121,6,FALSE)</f>
        <v/>
      </c>
      <c r="W1392" s="12">
        <f>VLOOKUP(G1392,Dim_Channel!$A$2:$B$5,2,FALSE)</f>
        <v/>
      </c>
      <c r="X1392" s="12">
        <f>VLOOKUP(H1392,Dim_Promotion!$A$2:$G$11,2,FALSE)</f>
        <v/>
      </c>
    </row>
    <row r="1393">
      <c r="A1393" s="4" t="inlineStr">
        <is>
          <t>SL1392</t>
        </is>
      </c>
      <c r="B1393" t="inlineStr">
        <is>
          <t>O010696</t>
        </is>
      </c>
      <c r="C1393" t="n">
        <v>20251106</v>
      </c>
      <c r="D1393" s="4" t="inlineStr">
        <is>
          <t>C109</t>
        </is>
      </c>
      <c r="E1393" s="4" t="inlineStr">
        <is>
          <t>P032</t>
        </is>
      </c>
      <c r="F1393" t="inlineStr">
        <is>
          <t>L</t>
        </is>
      </c>
      <c r="G1393" s="4" t="inlineStr">
        <is>
          <t>CH03</t>
        </is>
      </c>
      <c r="H1393" s="4" t="inlineStr">
        <is>
          <t>PR00</t>
        </is>
      </c>
      <c r="I1393" s="8" t="n">
        <v>114</v>
      </c>
      <c r="J1393" s="9" t="n">
        <v>0</v>
      </c>
      <c r="K1393" s="10">
        <f>I1393*(1-J1393)</f>
        <v/>
      </c>
      <c r="L1393" s="11" t="n">
        <v>1</v>
      </c>
      <c r="M1393" s="10">
        <f>K1393*L1393</f>
        <v/>
      </c>
      <c r="N1393" s="8" t="n">
        <v>56.51</v>
      </c>
      <c r="O1393" s="10">
        <f>N1393*L1393</f>
        <v/>
      </c>
      <c r="P1393" s="10">
        <f>M1393-O1393</f>
        <v/>
      </c>
      <c r="Q1393" s="11" t="inlineStr">
        <is>
          <t>No</t>
        </is>
      </c>
      <c r="R1393" s="11" t="n">
        <v>0</v>
      </c>
      <c r="S1393" s="10">
        <f>M1393-(R1393*K1393)</f>
        <v/>
      </c>
      <c r="T1393" s="12">
        <f>VLOOKUP(E1393,Dim_Product!$A$2:$Q$61,3,FALSE)</f>
        <v/>
      </c>
      <c r="U1393" s="12">
        <f>VLOOKUP(E1393,Dim_Product!$A$2:$Q$61,4,FALSE)</f>
        <v/>
      </c>
      <c r="V1393" s="12">
        <f>VLOOKUP(D1393,Dim_Customer!$A$2:$I$121,6,FALSE)</f>
        <v/>
      </c>
      <c r="W1393" s="12">
        <f>VLOOKUP(G1393,Dim_Channel!$A$2:$B$5,2,FALSE)</f>
        <v/>
      </c>
      <c r="X1393" s="12">
        <f>VLOOKUP(H1393,Dim_Promotion!$A$2:$G$11,2,FALSE)</f>
        <v/>
      </c>
    </row>
    <row r="1394">
      <c r="A1394" s="4" t="inlineStr">
        <is>
          <t>SL1393</t>
        </is>
      </c>
      <c r="B1394" t="inlineStr">
        <is>
          <t>O010697</t>
        </is>
      </c>
      <c r="C1394" t="n">
        <v>20250211</v>
      </c>
      <c r="D1394" s="4" t="inlineStr">
        <is>
          <t>C082</t>
        </is>
      </c>
      <c r="E1394" s="4" t="inlineStr">
        <is>
          <t>P031</t>
        </is>
      </c>
      <c r="F1394" t="inlineStr">
        <is>
          <t>L</t>
        </is>
      </c>
      <c r="G1394" s="4" t="inlineStr">
        <is>
          <t>CH03</t>
        </is>
      </c>
      <c r="H1394" s="4" t="inlineStr">
        <is>
          <t>PR00</t>
        </is>
      </c>
      <c r="I1394" s="8" t="n">
        <v>110</v>
      </c>
      <c r="J1394" s="9" t="n">
        <v>0</v>
      </c>
      <c r="K1394" s="10">
        <f>I1394*(1-J1394)</f>
        <v/>
      </c>
      <c r="L1394" s="11" t="n">
        <v>1</v>
      </c>
      <c r="M1394" s="10">
        <f>K1394*L1394</f>
        <v/>
      </c>
      <c r="N1394" s="8" t="n">
        <v>55.72</v>
      </c>
      <c r="O1394" s="10">
        <f>N1394*L1394</f>
        <v/>
      </c>
      <c r="P1394" s="10">
        <f>M1394-O1394</f>
        <v/>
      </c>
      <c r="Q1394" s="11" t="inlineStr">
        <is>
          <t>No</t>
        </is>
      </c>
      <c r="R1394" s="11" t="n">
        <v>0</v>
      </c>
      <c r="S1394" s="10">
        <f>M1394-(R1394*K1394)</f>
        <v/>
      </c>
      <c r="T1394" s="12">
        <f>VLOOKUP(E1394,Dim_Product!$A$2:$Q$61,3,FALSE)</f>
        <v/>
      </c>
      <c r="U1394" s="12">
        <f>VLOOKUP(E1394,Dim_Product!$A$2:$Q$61,4,FALSE)</f>
        <v/>
      </c>
      <c r="V1394" s="12">
        <f>VLOOKUP(D1394,Dim_Customer!$A$2:$I$121,6,FALSE)</f>
        <v/>
      </c>
      <c r="W1394" s="12">
        <f>VLOOKUP(G1394,Dim_Channel!$A$2:$B$5,2,FALSE)</f>
        <v/>
      </c>
      <c r="X1394" s="12">
        <f>VLOOKUP(H1394,Dim_Promotion!$A$2:$G$11,2,FALSE)</f>
        <v/>
      </c>
    </row>
    <row r="1395">
      <c r="A1395" s="4" t="inlineStr">
        <is>
          <t>SL1394</t>
        </is>
      </c>
      <c r="B1395" t="inlineStr">
        <is>
          <t>O010697</t>
        </is>
      </c>
      <c r="C1395" t="n">
        <v>20250203</v>
      </c>
      <c r="D1395" s="4" t="inlineStr">
        <is>
          <t>C025</t>
        </is>
      </c>
      <c r="E1395" s="4" t="inlineStr">
        <is>
          <t>P009</t>
        </is>
      </c>
      <c r="F1395" t="inlineStr">
        <is>
          <t>S</t>
        </is>
      </c>
      <c r="G1395" s="4" t="inlineStr">
        <is>
          <t>CH04</t>
        </is>
      </c>
      <c r="H1395" s="4" t="inlineStr">
        <is>
          <t>PR00</t>
        </is>
      </c>
      <c r="I1395" s="8" t="n">
        <v>50</v>
      </c>
      <c r="J1395" s="9" t="n">
        <v>0</v>
      </c>
      <c r="K1395" s="10">
        <f>I1395*(1-J1395)</f>
        <v/>
      </c>
      <c r="L1395" s="11" t="n">
        <v>2</v>
      </c>
      <c r="M1395" s="10">
        <f>K1395*L1395</f>
        <v/>
      </c>
      <c r="N1395" s="8" t="n">
        <v>19.45</v>
      </c>
      <c r="O1395" s="10">
        <f>N1395*L1395</f>
        <v/>
      </c>
      <c r="P1395" s="10">
        <f>M1395-O1395</f>
        <v/>
      </c>
      <c r="Q1395" s="11" t="inlineStr">
        <is>
          <t>No</t>
        </is>
      </c>
      <c r="R1395" s="11" t="n">
        <v>0</v>
      </c>
      <c r="S1395" s="10">
        <f>M1395-(R1395*K1395)</f>
        <v/>
      </c>
      <c r="T1395" s="12">
        <f>VLOOKUP(E1395,Dim_Product!$A$2:$Q$61,3,FALSE)</f>
        <v/>
      </c>
      <c r="U1395" s="12">
        <f>VLOOKUP(E1395,Dim_Product!$A$2:$Q$61,4,FALSE)</f>
        <v/>
      </c>
      <c r="V1395" s="12">
        <f>VLOOKUP(D1395,Dim_Customer!$A$2:$I$121,6,FALSE)</f>
        <v/>
      </c>
      <c r="W1395" s="12">
        <f>VLOOKUP(G1395,Dim_Channel!$A$2:$B$5,2,FALSE)</f>
        <v/>
      </c>
      <c r="X1395" s="12">
        <f>VLOOKUP(H1395,Dim_Promotion!$A$2:$G$11,2,FALSE)</f>
        <v/>
      </c>
    </row>
    <row r="1396">
      <c r="A1396" s="4" t="inlineStr">
        <is>
          <t>SL1395</t>
        </is>
      </c>
      <c r="B1396" t="inlineStr">
        <is>
          <t>O010698</t>
        </is>
      </c>
      <c r="C1396" t="n">
        <v>20251215</v>
      </c>
      <c r="D1396" s="4" t="inlineStr">
        <is>
          <t>C095</t>
        </is>
      </c>
      <c r="E1396" s="4" t="inlineStr">
        <is>
          <t>P031</t>
        </is>
      </c>
      <c r="F1396" t="inlineStr">
        <is>
          <t>XL</t>
        </is>
      </c>
      <c r="G1396" s="4" t="inlineStr">
        <is>
          <t>CH04</t>
        </is>
      </c>
      <c r="H1396" s="4" t="inlineStr">
        <is>
          <t>PR00</t>
        </is>
      </c>
      <c r="I1396" s="8" t="n">
        <v>113</v>
      </c>
      <c r="J1396" s="9" t="n">
        <v>0</v>
      </c>
      <c r="K1396" s="10">
        <f>I1396*(1-J1396)</f>
        <v/>
      </c>
      <c r="L1396" s="11" t="n">
        <v>1</v>
      </c>
      <c r="M1396" s="10">
        <f>K1396*L1396</f>
        <v/>
      </c>
      <c r="N1396" s="8" t="n">
        <v>54.21</v>
      </c>
      <c r="O1396" s="10">
        <f>N1396*L1396</f>
        <v/>
      </c>
      <c r="P1396" s="10">
        <f>M1396-O1396</f>
        <v/>
      </c>
      <c r="Q1396" s="11" t="inlineStr">
        <is>
          <t>Yes</t>
        </is>
      </c>
      <c r="R1396" s="11" t="n">
        <v>1</v>
      </c>
      <c r="S1396" s="10">
        <f>M1396-(R1396*K1396)</f>
        <v/>
      </c>
      <c r="T1396" s="12">
        <f>VLOOKUP(E1396,Dim_Product!$A$2:$Q$61,3,FALSE)</f>
        <v/>
      </c>
      <c r="U1396" s="12">
        <f>VLOOKUP(E1396,Dim_Product!$A$2:$Q$61,4,FALSE)</f>
        <v/>
      </c>
      <c r="V1396" s="12">
        <f>VLOOKUP(D1396,Dim_Customer!$A$2:$I$121,6,FALSE)</f>
        <v/>
      </c>
      <c r="W1396" s="12">
        <f>VLOOKUP(G1396,Dim_Channel!$A$2:$B$5,2,FALSE)</f>
        <v/>
      </c>
      <c r="X1396" s="12">
        <f>VLOOKUP(H1396,Dim_Promotion!$A$2:$G$11,2,FALSE)</f>
        <v/>
      </c>
    </row>
    <row r="1397">
      <c r="A1397" s="4" t="inlineStr">
        <is>
          <t>SL1396</t>
        </is>
      </c>
      <c r="B1397" t="inlineStr">
        <is>
          <t>O010698</t>
        </is>
      </c>
      <c r="C1397" t="n">
        <v>20251106</v>
      </c>
      <c r="D1397" s="4" t="inlineStr">
        <is>
          <t>C001</t>
        </is>
      </c>
      <c r="E1397" s="4" t="inlineStr">
        <is>
          <t>P030</t>
        </is>
      </c>
      <c r="F1397" t="inlineStr">
        <is>
          <t>L</t>
        </is>
      </c>
      <c r="G1397" s="4" t="inlineStr">
        <is>
          <t>CH02</t>
        </is>
      </c>
      <c r="H1397" s="4" t="inlineStr">
        <is>
          <t>PR00</t>
        </is>
      </c>
      <c r="I1397" s="8" t="n">
        <v>108</v>
      </c>
      <c r="J1397" s="9" t="n">
        <v>0</v>
      </c>
      <c r="K1397" s="10">
        <f>I1397*(1-J1397)</f>
        <v/>
      </c>
      <c r="L1397" s="11" t="n">
        <v>1</v>
      </c>
      <c r="M1397" s="10">
        <f>K1397*L1397</f>
        <v/>
      </c>
      <c r="N1397" s="8" t="n">
        <v>56.26</v>
      </c>
      <c r="O1397" s="10">
        <f>N1397*L1397</f>
        <v/>
      </c>
      <c r="P1397" s="10">
        <f>M1397-O1397</f>
        <v/>
      </c>
      <c r="Q1397" s="11" t="inlineStr">
        <is>
          <t>No</t>
        </is>
      </c>
      <c r="R1397" s="11" t="n">
        <v>0</v>
      </c>
      <c r="S1397" s="10">
        <f>M1397-(R1397*K1397)</f>
        <v/>
      </c>
      <c r="T1397" s="12">
        <f>VLOOKUP(E1397,Dim_Product!$A$2:$Q$61,3,FALSE)</f>
        <v/>
      </c>
      <c r="U1397" s="12">
        <f>VLOOKUP(E1397,Dim_Product!$A$2:$Q$61,4,FALSE)</f>
        <v/>
      </c>
      <c r="V1397" s="12">
        <f>VLOOKUP(D1397,Dim_Customer!$A$2:$I$121,6,FALSE)</f>
        <v/>
      </c>
      <c r="W1397" s="12">
        <f>VLOOKUP(G1397,Dim_Channel!$A$2:$B$5,2,FALSE)</f>
        <v/>
      </c>
      <c r="X1397" s="12">
        <f>VLOOKUP(H1397,Dim_Promotion!$A$2:$G$11,2,FALSE)</f>
        <v/>
      </c>
    </row>
    <row r="1398">
      <c r="A1398" s="4" t="inlineStr">
        <is>
          <t>SL1397</t>
        </is>
      </c>
      <c r="B1398" t="inlineStr">
        <is>
          <t>O010699</t>
        </is>
      </c>
      <c r="C1398" t="n">
        <v>20250704</v>
      </c>
      <c r="D1398" s="4" t="inlineStr">
        <is>
          <t>C046</t>
        </is>
      </c>
      <c r="E1398" s="4" t="inlineStr">
        <is>
          <t>P058</t>
        </is>
      </c>
      <c r="F1398" t="inlineStr">
        <is>
          <t>XL</t>
        </is>
      </c>
      <c r="G1398" s="4" t="inlineStr">
        <is>
          <t>CH04</t>
        </is>
      </c>
      <c r="H1398" s="4" t="inlineStr">
        <is>
          <t>PR00</t>
        </is>
      </c>
      <c r="I1398" s="8" t="n">
        <v>75</v>
      </c>
      <c r="J1398" s="9" t="n">
        <v>0</v>
      </c>
      <c r="K1398" s="10">
        <f>I1398*(1-J1398)</f>
        <v/>
      </c>
      <c r="L1398" s="11" t="n">
        <v>1</v>
      </c>
      <c r="M1398" s="10">
        <f>K1398*L1398</f>
        <v/>
      </c>
      <c r="N1398" s="8" t="n">
        <v>36.74</v>
      </c>
      <c r="O1398" s="10">
        <f>N1398*L1398</f>
        <v/>
      </c>
      <c r="P1398" s="10">
        <f>M1398-O1398</f>
        <v/>
      </c>
      <c r="Q1398" s="11" t="inlineStr">
        <is>
          <t>No</t>
        </is>
      </c>
      <c r="R1398" s="11" t="n">
        <v>0</v>
      </c>
      <c r="S1398" s="10">
        <f>M1398-(R1398*K1398)</f>
        <v/>
      </c>
      <c r="T1398" s="12">
        <f>VLOOKUP(E1398,Dim_Product!$A$2:$Q$61,3,FALSE)</f>
        <v/>
      </c>
      <c r="U1398" s="12">
        <f>VLOOKUP(E1398,Dim_Product!$A$2:$Q$61,4,FALSE)</f>
        <v/>
      </c>
      <c r="V1398" s="12">
        <f>VLOOKUP(D1398,Dim_Customer!$A$2:$I$121,6,FALSE)</f>
        <v/>
      </c>
      <c r="W1398" s="12">
        <f>VLOOKUP(G1398,Dim_Channel!$A$2:$B$5,2,FALSE)</f>
        <v/>
      </c>
      <c r="X1398" s="12">
        <f>VLOOKUP(H1398,Dim_Promotion!$A$2:$G$11,2,FALSE)</f>
        <v/>
      </c>
    </row>
    <row r="1399">
      <c r="A1399" s="4" t="inlineStr">
        <is>
          <t>SL1398</t>
        </is>
      </c>
      <c r="B1399" t="inlineStr">
        <is>
          <t>O010699</t>
        </is>
      </c>
      <c r="C1399" t="n">
        <v>20251105</v>
      </c>
      <c r="D1399" s="4" t="inlineStr">
        <is>
          <t>C090</t>
        </is>
      </c>
      <c r="E1399" s="4" t="inlineStr">
        <is>
          <t>P022</t>
        </is>
      </c>
      <c r="F1399" t="inlineStr">
        <is>
          <t>XXL</t>
        </is>
      </c>
      <c r="G1399" s="4" t="inlineStr">
        <is>
          <t>CH03</t>
        </is>
      </c>
      <c r="H1399" s="4" t="inlineStr">
        <is>
          <t>PR00</t>
        </is>
      </c>
      <c r="I1399" s="8" t="n">
        <v>60</v>
      </c>
      <c r="J1399" s="9" t="n">
        <v>0</v>
      </c>
      <c r="K1399" s="10">
        <f>I1399*(1-J1399)</f>
        <v/>
      </c>
      <c r="L1399" s="11" t="n">
        <v>1</v>
      </c>
      <c r="M1399" s="10">
        <f>K1399*L1399</f>
        <v/>
      </c>
      <c r="N1399" s="8" t="n">
        <v>26.03</v>
      </c>
      <c r="O1399" s="10">
        <f>N1399*L1399</f>
        <v/>
      </c>
      <c r="P1399" s="10">
        <f>M1399-O1399</f>
        <v/>
      </c>
      <c r="Q1399" s="11" t="inlineStr">
        <is>
          <t>No</t>
        </is>
      </c>
      <c r="R1399" s="11" t="n">
        <v>0</v>
      </c>
      <c r="S1399" s="10">
        <f>M1399-(R1399*K1399)</f>
        <v/>
      </c>
      <c r="T1399" s="12">
        <f>VLOOKUP(E1399,Dim_Product!$A$2:$Q$61,3,FALSE)</f>
        <v/>
      </c>
      <c r="U1399" s="12">
        <f>VLOOKUP(E1399,Dim_Product!$A$2:$Q$61,4,FALSE)</f>
        <v/>
      </c>
      <c r="V1399" s="12">
        <f>VLOOKUP(D1399,Dim_Customer!$A$2:$I$121,6,FALSE)</f>
        <v/>
      </c>
      <c r="W1399" s="12">
        <f>VLOOKUP(G1399,Dim_Channel!$A$2:$B$5,2,FALSE)</f>
        <v/>
      </c>
      <c r="X1399" s="12">
        <f>VLOOKUP(H1399,Dim_Promotion!$A$2:$G$11,2,FALSE)</f>
        <v/>
      </c>
    </row>
    <row r="1400">
      <c r="A1400" s="4" t="inlineStr">
        <is>
          <t>SL1399</t>
        </is>
      </c>
      <c r="B1400" t="inlineStr">
        <is>
          <t>O010700</t>
        </is>
      </c>
      <c r="C1400" t="n">
        <v>20250315</v>
      </c>
      <c r="D1400" s="4" t="inlineStr">
        <is>
          <t>C027</t>
        </is>
      </c>
      <c r="E1400" s="4" t="inlineStr">
        <is>
          <t>P017</t>
        </is>
      </c>
      <c r="F1400" t="inlineStr">
        <is>
          <t>M</t>
        </is>
      </c>
      <c r="G1400" s="4" t="inlineStr">
        <is>
          <t>CH04</t>
        </is>
      </c>
      <c r="H1400" s="4" t="inlineStr">
        <is>
          <t>PR00</t>
        </is>
      </c>
      <c r="I1400" s="8" t="n">
        <v>68</v>
      </c>
      <c r="J1400" s="9" t="n">
        <v>0</v>
      </c>
      <c r="K1400" s="10">
        <f>I1400*(1-J1400)</f>
        <v/>
      </c>
      <c r="L1400" s="11" t="n">
        <v>1</v>
      </c>
      <c r="M1400" s="10">
        <f>K1400*L1400</f>
        <v/>
      </c>
      <c r="N1400" s="8" t="n">
        <v>32.57</v>
      </c>
      <c r="O1400" s="10">
        <f>N1400*L1400</f>
        <v/>
      </c>
      <c r="P1400" s="10">
        <f>M1400-O1400</f>
        <v/>
      </c>
      <c r="Q1400" s="11" t="inlineStr">
        <is>
          <t>Yes</t>
        </is>
      </c>
      <c r="R1400" s="11" t="n">
        <v>1</v>
      </c>
      <c r="S1400" s="10">
        <f>M1400-(R1400*K1400)</f>
        <v/>
      </c>
      <c r="T1400" s="12">
        <f>VLOOKUP(E1400,Dim_Product!$A$2:$Q$61,3,FALSE)</f>
        <v/>
      </c>
      <c r="U1400" s="12">
        <f>VLOOKUP(E1400,Dim_Product!$A$2:$Q$61,4,FALSE)</f>
        <v/>
      </c>
      <c r="V1400" s="12">
        <f>VLOOKUP(D1400,Dim_Customer!$A$2:$I$121,6,FALSE)</f>
        <v/>
      </c>
      <c r="W1400" s="12">
        <f>VLOOKUP(G1400,Dim_Channel!$A$2:$B$5,2,FALSE)</f>
        <v/>
      </c>
      <c r="X1400" s="12">
        <f>VLOOKUP(H1400,Dim_Promotion!$A$2:$G$11,2,FALSE)</f>
        <v/>
      </c>
    </row>
    <row r="1401">
      <c r="A1401" s="4" t="inlineStr">
        <is>
          <t>SL1400</t>
        </is>
      </c>
      <c r="B1401" t="inlineStr">
        <is>
          <t>O010700</t>
        </is>
      </c>
      <c r="C1401" t="n">
        <v>20251029</v>
      </c>
      <c r="D1401" s="4" t="inlineStr">
        <is>
          <t>C018</t>
        </is>
      </c>
      <c r="E1401" s="4" t="inlineStr">
        <is>
          <t>P034</t>
        </is>
      </c>
      <c r="F1401" t="inlineStr">
        <is>
          <t>M</t>
        </is>
      </c>
      <c r="G1401" s="4" t="inlineStr">
        <is>
          <t>CH02</t>
        </is>
      </c>
      <c r="H1401" s="4" t="inlineStr">
        <is>
          <t>PR00</t>
        </is>
      </c>
      <c r="I1401" s="8" t="n">
        <v>92</v>
      </c>
      <c r="J1401" s="9" t="n">
        <v>0</v>
      </c>
      <c r="K1401" s="10">
        <f>I1401*(1-J1401)</f>
        <v/>
      </c>
      <c r="L1401" s="11" t="n">
        <v>1</v>
      </c>
      <c r="M1401" s="10">
        <f>K1401*L1401</f>
        <v/>
      </c>
      <c r="N1401" s="8" t="n">
        <v>44.68</v>
      </c>
      <c r="O1401" s="10">
        <f>N1401*L1401</f>
        <v/>
      </c>
      <c r="P1401" s="10">
        <f>M1401-O1401</f>
        <v/>
      </c>
      <c r="Q1401" s="11" t="inlineStr">
        <is>
          <t>No</t>
        </is>
      </c>
      <c r="R1401" s="11" t="n">
        <v>0</v>
      </c>
      <c r="S1401" s="10">
        <f>M1401-(R1401*K1401)</f>
        <v/>
      </c>
      <c r="T1401" s="12">
        <f>VLOOKUP(E1401,Dim_Product!$A$2:$Q$61,3,FALSE)</f>
        <v/>
      </c>
      <c r="U1401" s="12">
        <f>VLOOKUP(E1401,Dim_Product!$A$2:$Q$61,4,FALSE)</f>
        <v/>
      </c>
      <c r="V1401" s="12">
        <f>VLOOKUP(D1401,Dim_Customer!$A$2:$I$121,6,FALSE)</f>
        <v/>
      </c>
      <c r="W1401" s="12">
        <f>VLOOKUP(G1401,Dim_Channel!$A$2:$B$5,2,FALSE)</f>
        <v/>
      </c>
      <c r="X1401" s="12">
        <f>VLOOKUP(H1401,Dim_Promotion!$A$2:$G$11,2,FALSE)</f>
        <v/>
      </c>
    </row>
    <row r="1402">
      <c r="A1402" s="4" t="inlineStr">
        <is>
          <t>SL1401</t>
        </is>
      </c>
      <c r="B1402" t="inlineStr">
        <is>
          <t>O010701</t>
        </is>
      </c>
      <c r="C1402" t="n">
        <v>20250115</v>
      </c>
      <c r="D1402" s="4" t="inlineStr">
        <is>
          <t>C074</t>
        </is>
      </c>
      <c r="E1402" s="4" t="inlineStr">
        <is>
          <t>P036</t>
        </is>
      </c>
      <c r="F1402" t="inlineStr">
        <is>
          <t>L</t>
        </is>
      </c>
      <c r="G1402" s="4" t="inlineStr">
        <is>
          <t>CH02</t>
        </is>
      </c>
      <c r="H1402" s="4" t="inlineStr">
        <is>
          <t>PR00</t>
        </is>
      </c>
      <c r="I1402" s="8" t="n">
        <v>88</v>
      </c>
      <c r="J1402" s="9" t="n">
        <v>0</v>
      </c>
      <c r="K1402" s="10">
        <f>I1402*(1-J1402)</f>
        <v/>
      </c>
      <c r="L1402" s="11" t="n">
        <v>1</v>
      </c>
      <c r="M1402" s="10">
        <f>K1402*L1402</f>
        <v/>
      </c>
      <c r="N1402" s="8" t="n">
        <v>42.42</v>
      </c>
      <c r="O1402" s="10">
        <f>N1402*L1402</f>
        <v/>
      </c>
      <c r="P1402" s="10">
        <f>M1402-O1402</f>
        <v/>
      </c>
      <c r="Q1402" s="11" t="inlineStr">
        <is>
          <t>No</t>
        </is>
      </c>
      <c r="R1402" s="11" t="n">
        <v>0</v>
      </c>
      <c r="S1402" s="10">
        <f>M1402-(R1402*K1402)</f>
        <v/>
      </c>
      <c r="T1402" s="12">
        <f>VLOOKUP(E1402,Dim_Product!$A$2:$Q$61,3,FALSE)</f>
        <v/>
      </c>
      <c r="U1402" s="12">
        <f>VLOOKUP(E1402,Dim_Product!$A$2:$Q$61,4,FALSE)</f>
        <v/>
      </c>
      <c r="V1402" s="12">
        <f>VLOOKUP(D1402,Dim_Customer!$A$2:$I$121,6,FALSE)</f>
        <v/>
      </c>
      <c r="W1402" s="12">
        <f>VLOOKUP(G1402,Dim_Channel!$A$2:$B$5,2,FALSE)</f>
        <v/>
      </c>
      <c r="X1402" s="12">
        <f>VLOOKUP(H1402,Dim_Promotion!$A$2:$G$11,2,FALSE)</f>
        <v/>
      </c>
    </row>
    <row r="1403">
      <c r="A1403" s="4" t="inlineStr">
        <is>
          <t>SL1402</t>
        </is>
      </c>
      <c r="B1403" t="inlineStr">
        <is>
          <t>O010701</t>
        </is>
      </c>
      <c r="C1403" t="n">
        <v>20250928</v>
      </c>
      <c r="D1403" s="4" t="inlineStr">
        <is>
          <t>C074</t>
        </is>
      </c>
      <c r="E1403" s="4" t="inlineStr">
        <is>
          <t>P016</t>
        </is>
      </c>
      <c r="F1403" t="inlineStr">
        <is>
          <t>XL</t>
        </is>
      </c>
      <c r="G1403" s="4" t="inlineStr">
        <is>
          <t>CH01</t>
        </is>
      </c>
      <c r="H1403" s="4" t="inlineStr">
        <is>
          <t>PR00</t>
        </is>
      </c>
      <c r="I1403" s="8" t="n">
        <v>58</v>
      </c>
      <c r="J1403" s="9" t="n">
        <v>0</v>
      </c>
      <c r="K1403" s="10">
        <f>I1403*(1-J1403)</f>
        <v/>
      </c>
      <c r="L1403" s="11" t="n">
        <v>1</v>
      </c>
      <c r="M1403" s="10">
        <f>K1403*L1403</f>
        <v/>
      </c>
      <c r="N1403" s="8" t="n">
        <v>27.21</v>
      </c>
      <c r="O1403" s="10">
        <f>N1403*L1403</f>
        <v/>
      </c>
      <c r="P1403" s="10">
        <f>M1403-O1403</f>
        <v/>
      </c>
      <c r="Q1403" s="11" t="inlineStr">
        <is>
          <t>No</t>
        </is>
      </c>
      <c r="R1403" s="11" t="n">
        <v>0</v>
      </c>
      <c r="S1403" s="10">
        <f>M1403-(R1403*K1403)</f>
        <v/>
      </c>
      <c r="T1403" s="12">
        <f>VLOOKUP(E1403,Dim_Product!$A$2:$Q$61,3,FALSE)</f>
        <v/>
      </c>
      <c r="U1403" s="12">
        <f>VLOOKUP(E1403,Dim_Product!$A$2:$Q$61,4,FALSE)</f>
        <v/>
      </c>
      <c r="V1403" s="12">
        <f>VLOOKUP(D1403,Dim_Customer!$A$2:$I$121,6,FALSE)</f>
        <v/>
      </c>
      <c r="W1403" s="12">
        <f>VLOOKUP(G1403,Dim_Channel!$A$2:$B$5,2,FALSE)</f>
        <v/>
      </c>
      <c r="X1403" s="12">
        <f>VLOOKUP(H1403,Dim_Promotion!$A$2:$G$11,2,FALSE)</f>
        <v/>
      </c>
    </row>
    <row r="1404">
      <c r="A1404" s="4" t="inlineStr">
        <is>
          <t>SL1403</t>
        </is>
      </c>
      <c r="B1404" t="inlineStr">
        <is>
          <t>O010702</t>
        </is>
      </c>
      <c r="C1404" t="n">
        <v>20250721</v>
      </c>
      <c r="D1404" s="4" t="inlineStr">
        <is>
          <t>C044</t>
        </is>
      </c>
      <c r="E1404" s="4" t="inlineStr">
        <is>
          <t>P011</t>
        </is>
      </c>
      <c r="F1404" t="inlineStr">
        <is>
          <t>L</t>
        </is>
      </c>
      <c r="G1404" s="4" t="inlineStr">
        <is>
          <t>CH02</t>
        </is>
      </c>
      <c r="H1404" s="4" t="inlineStr">
        <is>
          <t>PR00</t>
        </is>
      </c>
      <c r="I1404" s="8" t="n">
        <v>46</v>
      </c>
      <c r="J1404" s="9" t="n">
        <v>0</v>
      </c>
      <c r="K1404" s="10">
        <f>I1404*(1-J1404)</f>
        <v/>
      </c>
      <c r="L1404" s="11" t="n">
        <v>2</v>
      </c>
      <c r="M1404" s="10">
        <f>K1404*L1404</f>
        <v/>
      </c>
      <c r="N1404" s="8" t="n">
        <v>20.24</v>
      </c>
      <c r="O1404" s="10">
        <f>N1404*L1404</f>
        <v/>
      </c>
      <c r="P1404" s="10">
        <f>M1404-O1404</f>
        <v/>
      </c>
      <c r="Q1404" s="11" t="inlineStr">
        <is>
          <t>No</t>
        </is>
      </c>
      <c r="R1404" s="11" t="n">
        <v>0</v>
      </c>
      <c r="S1404" s="10">
        <f>M1404-(R1404*K1404)</f>
        <v/>
      </c>
      <c r="T1404" s="12">
        <f>VLOOKUP(E1404,Dim_Product!$A$2:$Q$61,3,FALSE)</f>
        <v/>
      </c>
      <c r="U1404" s="12">
        <f>VLOOKUP(E1404,Dim_Product!$A$2:$Q$61,4,FALSE)</f>
        <v/>
      </c>
      <c r="V1404" s="12">
        <f>VLOOKUP(D1404,Dim_Customer!$A$2:$I$121,6,FALSE)</f>
        <v/>
      </c>
      <c r="W1404" s="12">
        <f>VLOOKUP(G1404,Dim_Channel!$A$2:$B$5,2,FALSE)</f>
        <v/>
      </c>
      <c r="X1404" s="12">
        <f>VLOOKUP(H1404,Dim_Promotion!$A$2:$G$11,2,FALSE)</f>
        <v/>
      </c>
    </row>
    <row r="1405">
      <c r="A1405" s="4" t="inlineStr">
        <is>
          <t>SL1404</t>
        </is>
      </c>
      <c r="B1405" t="inlineStr">
        <is>
          <t>O010702</t>
        </is>
      </c>
      <c r="C1405" t="n">
        <v>20250526</v>
      </c>
      <c r="D1405" s="4" t="inlineStr">
        <is>
          <t>C078</t>
        </is>
      </c>
      <c r="E1405" s="4" t="inlineStr">
        <is>
          <t>P009</t>
        </is>
      </c>
      <c r="F1405" t="inlineStr">
        <is>
          <t>L</t>
        </is>
      </c>
      <c r="G1405" s="4" t="inlineStr">
        <is>
          <t>CH04</t>
        </is>
      </c>
      <c r="H1405" s="4" t="inlineStr">
        <is>
          <t>PR00</t>
        </is>
      </c>
      <c r="I1405" s="8" t="n">
        <v>46</v>
      </c>
      <c r="J1405" s="9" t="n">
        <v>0</v>
      </c>
      <c r="K1405" s="10">
        <f>I1405*(1-J1405)</f>
        <v/>
      </c>
      <c r="L1405" s="11" t="n">
        <v>1</v>
      </c>
      <c r="M1405" s="10">
        <f>K1405*L1405</f>
        <v/>
      </c>
      <c r="N1405" s="8" t="n">
        <v>18.78</v>
      </c>
      <c r="O1405" s="10">
        <f>N1405*L1405</f>
        <v/>
      </c>
      <c r="P1405" s="10">
        <f>M1405-O1405</f>
        <v/>
      </c>
      <c r="Q1405" s="11" t="inlineStr">
        <is>
          <t>No</t>
        </is>
      </c>
      <c r="R1405" s="11" t="n">
        <v>0</v>
      </c>
      <c r="S1405" s="10">
        <f>M1405-(R1405*K1405)</f>
        <v/>
      </c>
      <c r="T1405" s="12">
        <f>VLOOKUP(E1405,Dim_Product!$A$2:$Q$61,3,FALSE)</f>
        <v/>
      </c>
      <c r="U1405" s="12">
        <f>VLOOKUP(E1405,Dim_Product!$A$2:$Q$61,4,FALSE)</f>
        <v/>
      </c>
      <c r="V1405" s="12">
        <f>VLOOKUP(D1405,Dim_Customer!$A$2:$I$121,6,FALSE)</f>
        <v/>
      </c>
      <c r="W1405" s="12">
        <f>VLOOKUP(G1405,Dim_Channel!$A$2:$B$5,2,FALSE)</f>
        <v/>
      </c>
      <c r="X1405" s="12">
        <f>VLOOKUP(H1405,Dim_Promotion!$A$2:$G$11,2,FALSE)</f>
        <v/>
      </c>
    </row>
    <row r="1406">
      <c r="A1406" s="4" t="inlineStr">
        <is>
          <t>SL1405</t>
        </is>
      </c>
      <c r="B1406" t="inlineStr">
        <is>
          <t>O010703</t>
        </is>
      </c>
      <c r="C1406" t="n">
        <v>20250610</v>
      </c>
      <c r="D1406" s="4" t="inlineStr">
        <is>
          <t>C071</t>
        </is>
      </c>
      <c r="E1406" s="4" t="inlineStr">
        <is>
          <t>P035</t>
        </is>
      </c>
      <c r="F1406" t="inlineStr">
        <is>
          <t>XL</t>
        </is>
      </c>
      <c r="G1406" s="4" t="inlineStr">
        <is>
          <t>CH02</t>
        </is>
      </c>
      <c r="H1406" s="4" t="inlineStr">
        <is>
          <t>PR00</t>
        </is>
      </c>
      <c r="I1406" s="8" t="n">
        <v>88</v>
      </c>
      <c r="J1406" s="9" t="n">
        <v>0</v>
      </c>
      <c r="K1406" s="10">
        <f>I1406*(1-J1406)</f>
        <v/>
      </c>
      <c r="L1406" s="11" t="n">
        <v>1</v>
      </c>
      <c r="M1406" s="10">
        <f>K1406*L1406</f>
        <v/>
      </c>
      <c r="N1406" s="8" t="n">
        <v>42.41</v>
      </c>
      <c r="O1406" s="10">
        <f>N1406*L1406</f>
        <v/>
      </c>
      <c r="P1406" s="10">
        <f>M1406-O1406</f>
        <v/>
      </c>
      <c r="Q1406" s="11" t="inlineStr">
        <is>
          <t>No</t>
        </is>
      </c>
      <c r="R1406" s="11" t="n">
        <v>0</v>
      </c>
      <c r="S1406" s="10">
        <f>M1406-(R1406*K1406)</f>
        <v/>
      </c>
      <c r="T1406" s="12">
        <f>VLOOKUP(E1406,Dim_Product!$A$2:$Q$61,3,FALSE)</f>
        <v/>
      </c>
      <c r="U1406" s="12">
        <f>VLOOKUP(E1406,Dim_Product!$A$2:$Q$61,4,FALSE)</f>
        <v/>
      </c>
      <c r="V1406" s="12">
        <f>VLOOKUP(D1406,Dim_Customer!$A$2:$I$121,6,FALSE)</f>
        <v/>
      </c>
      <c r="W1406" s="12">
        <f>VLOOKUP(G1406,Dim_Channel!$A$2:$B$5,2,FALSE)</f>
        <v/>
      </c>
      <c r="X1406" s="12">
        <f>VLOOKUP(H1406,Dim_Promotion!$A$2:$G$11,2,FALSE)</f>
        <v/>
      </c>
    </row>
    <row r="1407">
      <c r="A1407" s="4" t="inlineStr">
        <is>
          <t>SL1406</t>
        </is>
      </c>
      <c r="B1407" t="inlineStr">
        <is>
          <t>O010703</t>
        </is>
      </c>
      <c r="C1407" t="n">
        <v>20250818</v>
      </c>
      <c r="D1407" s="4" t="inlineStr">
        <is>
          <t>C074</t>
        </is>
      </c>
      <c r="E1407" s="4" t="inlineStr">
        <is>
          <t>P047</t>
        </is>
      </c>
      <c r="F1407" t="inlineStr">
        <is>
          <t>S</t>
        </is>
      </c>
      <c r="G1407" s="4" t="inlineStr">
        <is>
          <t>CH03</t>
        </is>
      </c>
      <c r="H1407" s="4" t="inlineStr">
        <is>
          <t>PR00</t>
        </is>
      </c>
      <c r="I1407" s="8" t="n">
        <v>74</v>
      </c>
      <c r="J1407" s="9" t="n">
        <v>0</v>
      </c>
      <c r="K1407" s="10">
        <f>I1407*(1-J1407)</f>
        <v/>
      </c>
      <c r="L1407" s="11" t="n">
        <v>1</v>
      </c>
      <c r="M1407" s="10">
        <f>K1407*L1407</f>
        <v/>
      </c>
      <c r="N1407" s="8" t="n">
        <v>31.26</v>
      </c>
      <c r="O1407" s="10">
        <f>N1407*L1407</f>
        <v/>
      </c>
      <c r="P1407" s="10">
        <f>M1407-O1407</f>
        <v/>
      </c>
      <c r="Q1407" s="11" t="inlineStr">
        <is>
          <t>No</t>
        </is>
      </c>
      <c r="R1407" s="11" t="n">
        <v>0</v>
      </c>
      <c r="S1407" s="10">
        <f>M1407-(R1407*K1407)</f>
        <v/>
      </c>
      <c r="T1407" s="12">
        <f>VLOOKUP(E1407,Dim_Product!$A$2:$Q$61,3,FALSE)</f>
        <v/>
      </c>
      <c r="U1407" s="12">
        <f>VLOOKUP(E1407,Dim_Product!$A$2:$Q$61,4,FALSE)</f>
        <v/>
      </c>
      <c r="V1407" s="12">
        <f>VLOOKUP(D1407,Dim_Customer!$A$2:$I$121,6,FALSE)</f>
        <v/>
      </c>
      <c r="W1407" s="12">
        <f>VLOOKUP(G1407,Dim_Channel!$A$2:$B$5,2,FALSE)</f>
        <v/>
      </c>
      <c r="X1407" s="12">
        <f>VLOOKUP(H1407,Dim_Promotion!$A$2:$G$11,2,FALSE)</f>
        <v/>
      </c>
    </row>
    <row r="1408">
      <c r="A1408" s="4" t="inlineStr">
        <is>
          <t>SL1407</t>
        </is>
      </c>
      <c r="B1408" t="inlineStr">
        <is>
          <t>O010704</t>
        </is>
      </c>
      <c r="C1408" t="n">
        <v>20251004</v>
      </c>
      <c r="D1408" s="4" t="inlineStr">
        <is>
          <t>C071</t>
        </is>
      </c>
      <c r="E1408" s="4" t="inlineStr">
        <is>
          <t>P013</t>
        </is>
      </c>
      <c r="F1408" t="inlineStr">
        <is>
          <t>XL</t>
        </is>
      </c>
      <c r="G1408" s="4" t="inlineStr">
        <is>
          <t>CH04</t>
        </is>
      </c>
      <c r="H1408" s="4" t="inlineStr">
        <is>
          <t>PR00</t>
        </is>
      </c>
      <c r="I1408" s="8" t="n">
        <v>58</v>
      </c>
      <c r="J1408" s="9" t="n">
        <v>0.05</v>
      </c>
      <c r="K1408" s="10">
        <f>I1408*(1-J1408)</f>
        <v/>
      </c>
      <c r="L1408" s="11" t="n">
        <v>1</v>
      </c>
      <c r="M1408" s="10">
        <f>K1408*L1408</f>
        <v/>
      </c>
      <c r="N1408" s="8" t="n">
        <v>26.6</v>
      </c>
      <c r="O1408" s="10">
        <f>N1408*L1408</f>
        <v/>
      </c>
      <c r="P1408" s="10">
        <f>M1408-O1408</f>
        <v/>
      </c>
      <c r="Q1408" s="11" t="inlineStr">
        <is>
          <t>No</t>
        </is>
      </c>
      <c r="R1408" s="11" t="n">
        <v>0</v>
      </c>
      <c r="S1408" s="10">
        <f>M1408-(R1408*K1408)</f>
        <v/>
      </c>
      <c r="T1408" s="12">
        <f>VLOOKUP(E1408,Dim_Product!$A$2:$Q$61,3,FALSE)</f>
        <v/>
      </c>
      <c r="U1408" s="12">
        <f>VLOOKUP(E1408,Dim_Product!$A$2:$Q$61,4,FALSE)</f>
        <v/>
      </c>
      <c r="V1408" s="12">
        <f>VLOOKUP(D1408,Dim_Customer!$A$2:$I$121,6,FALSE)</f>
        <v/>
      </c>
      <c r="W1408" s="12">
        <f>VLOOKUP(G1408,Dim_Channel!$A$2:$B$5,2,FALSE)</f>
        <v/>
      </c>
      <c r="X1408" s="12">
        <f>VLOOKUP(H1408,Dim_Promotion!$A$2:$G$11,2,FALSE)</f>
        <v/>
      </c>
    </row>
    <row r="1409">
      <c r="A1409" s="4" t="inlineStr">
        <is>
          <t>SL1408</t>
        </is>
      </c>
      <c r="B1409" t="inlineStr">
        <is>
          <t>O010704</t>
        </is>
      </c>
      <c r="C1409" t="n">
        <v>20250619</v>
      </c>
      <c r="D1409" s="4" t="inlineStr">
        <is>
          <t>C114</t>
        </is>
      </c>
      <c r="E1409" s="4" t="inlineStr">
        <is>
          <t>P038</t>
        </is>
      </c>
      <c r="F1409" t="inlineStr">
        <is>
          <t>XL</t>
        </is>
      </c>
      <c r="G1409" s="4" t="inlineStr">
        <is>
          <t>CH02</t>
        </is>
      </c>
      <c r="H1409" s="4" t="inlineStr">
        <is>
          <t>PR00</t>
        </is>
      </c>
      <c r="I1409" s="8" t="n">
        <v>76</v>
      </c>
      <c r="J1409" s="9" t="n">
        <v>0</v>
      </c>
      <c r="K1409" s="10">
        <f>I1409*(1-J1409)</f>
        <v/>
      </c>
      <c r="L1409" s="11" t="n">
        <v>1</v>
      </c>
      <c r="M1409" s="10">
        <f>K1409*L1409</f>
        <v/>
      </c>
      <c r="N1409" s="8" t="n">
        <v>33.46</v>
      </c>
      <c r="O1409" s="10">
        <f>N1409*L1409</f>
        <v/>
      </c>
      <c r="P1409" s="10">
        <f>M1409-O1409</f>
        <v/>
      </c>
      <c r="Q1409" s="11" t="inlineStr">
        <is>
          <t>No</t>
        </is>
      </c>
      <c r="R1409" s="11" t="n">
        <v>0</v>
      </c>
      <c r="S1409" s="10">
        <f>M1409-(R1409*K1409)</f>
        <v/>
      </c>
      <c r="T1409" s="12">
        <f>VLOOKUP(E1409,Dim_Product!$A$2:$Q$61,3,FALSE)</f>
        <v/>
      </c>
      <c r="U1409" s="12">
        <f>VLOOKUP(E1409,Dim_Product!$A$2:$Q$61,4,FALSE)</f>
        <v/>
      </c>
      <c r="V1409" s="12">
        <f>VLOOKUP(D1409,Dim_Customer!$A$2:$I$121,6,FALSE)</f>
        <v/>
      </c>
      <c r="W1409" s="12">
        <f>VLOOKUP(G1409,Dim_Channel!$A$2:$B$5,2,FALSE)</f>
        <v/>
      </c>
      <c r="X1409" s="12">
        <f>VLOOKUP(H1409,Dim_Promotion!$A$2:$G$11,2,FALSE)</f>
        <v/>
      </c>
    </row>
    <row r="1410">
      <c r="A1410" s="4" t="inlineStr">
        <is>
          <t>SL1409</t>
        </is>
      </c>
      <c r="B1410" t="inlineStr">
        <is>
          <t>O010705</t>
        </is>
      </c>
      <c r="C1410" t="n">
        <v>20251222</v>
      </c>
      <c r="D1410" s="4" t="inlineStr">
        <is>
          <t>C109</t>
        </is>
      </c>
      <c r="E1410" s="4" t="inlineStr">
        <is>
          <t>P053</t>
        </is>
      </c>
      <c r="F1410" t="inlineStr">
        <is>
          <t>S</t>
        </is>
      </c>
      <c r="G1410" s="4" t="inlineStr">
        <is>
          <t>CH01</t>
        </is>
      </c>
      <c r="H1410" s="4" t="inlineStr">
        <is>
          <t>PR09</t>
        </is>
      </c>
      <c r="I1410" s="8" t="n">
        <v>72</v>
      </c>
      <c r="J1410" s="9" t="n">
        <v>0.15</v>
      </c>
      <c r="K1410" s="10">
        <f>I1410*(1-J1410)</f>
        <v/>
      </c>
      <c r="L1410" s="11" t="n">
        <v>1</v>
      </c>
      <c r="M1410" s="10">
        <f>K1410*L1410</f>
        <v/>
      </c>
      <c r="N1410" s="8" t="n">
        <v>34.4</v>
      </c>
      <c r="O1410" s="10">
        <f>N1410*L1410</f>
        <v/>
      </c>
      <c r="P1410" s="10">
        <f>M1410-O1410</f>
        <v/>
      </c>
      <c r="Q1410" s="11" t="inlineStr">
        <is>
          <t>No</t>
        </is>
      </c>
      <c r="R1410" s="11" t="n">
        <v>0</v>
      </c>
      <c r="S1410" s="10">
        <f>M1410-(R1410*K1410)</f>
        <v/>
      </c>
      <c r="T1410" s="12">
        <f>VLOOKUP(E1410,Dim_Product!$A$2:$Q$61,3,FALSE)</f>
        <v/>
      </c>
      <c r="U1410" s="12">
        <f>VLOOKUP(E1410,Dim_Product!$A$2:$Q$61,4,FALSE)</f>
        <v/>
      </c>
      <c r="V1410" s="12">
        <f>VLOOKUP(D1410,Dim_Customer!$A$2:$I$121,6,FALSE)</f>
        <v/>
      </c>
      <c r="W1410" s="12">
        <f>VLOOKUP(G1410,Dim_Channel!$A$2:$B$5,2,FALSE)</f>
        <v/>
      </c>
      <c r="X1410" s="12">
        <f>VLOOKUP(H1410,Dim_Promotion!$A$2:$G$11,2,FALSE)</f>
        <v/>
      </c>
    </row>
    <row r="1411">
      <c r="A1411" s="4" t="inlineStr">
        <is>
          <t>SL1410</t>
        </is>
      </c>
      <c r="B1411" t="inlineStr">
        <is>
          <t>O010705</t>
        </is>
      </c>
      <c r="C1411" t="n">
        <v>20251126</v>
      </c>
      <c r="D1411" s="4" t="inlineStr">
        <is>
          <t>C005</t>
        </is>
      </c>
      <c r="E1411" s="4" t="inlineStr">
        <is>
          <t>P002</t>
        </is>
      </c>
      <c r="F1411" t="inlineStr">
        <is>
          <t>M</t>
        </is>
      </c>
      <c r="G1411" s="4" t="inlineStr">
        <is>
          <t>CH02</t>
        </is>
      </c>
      <c r="H1411" s="4" t="inlineStr">
        <is>
          <t>PR08</t>
        </is>
      </c>
      <c r="I1411" s="8" t="n">
        <v>38</v>
      </c>
      <c r="J1411" s="9" t="n">
        <v>0.25</v>
      </c>
      <c r="K1411" s="10">
        <f>I1411*(1-J1411)</f>
        <v/>
      </c>
      <c r="L1411" s="11" t="n">
        <v>1</v>
      </c>
      <c r="M1411" s="10">
        <f>K1411*L1411</f>
        <v/>
      </c>
      <c r="N1411" s="8" t="n">
        <v>17.6</v>
      </c>
      <c r="O1411" s="10">
        <f>N1411*L1411</f>
        <v/>
      </c>
      <c r="P1411" s="10">
        <f>M1411-O1411</f>
        <v/>
      </c>
      <c r="Q1411" s="11" t="inlineStr">
        <is>
          <t>No</t>
        </is>
      </c>
      <c r="R1411" s="11" t="n">
        <v>0</v>
      </c>
      <c r="S1411" s="10">
        <f>M1411-(R1411*K1411)</f>
        <v/>
      </c>
      <c r="T1411" s="12">
        <f>VLOOKUP(E1411,Dim_Product!$A$2:$Q$61,3,FALSE)</f>
        <v/>
      </c>
      <c r="U1411" s="12">
        <f>VLOOKUP(E1411,Dim_Product!$A$2:$Q$61,4,FALSE)</f>
        <v/>
      </c>
      <c r="V1411" s="12">
        <f>VLOOKUP(D1411,Dim_Customer!$A$2:$I$121,6,FALSE)</f>
        <v/>
      </c>
      <c r="W1411" s="12">
        <f>VLOOKUP(G1411,Dim_Channel!$A$2:$B$5,2,FALSE)</f>
        <v/>
      </c>
      <c r="X1411" s="12">
        <f>VLOOKUP(H1411,Dim_Promotion!$A$2:$G$11,2,FALSE)</f>
        <v/>
      </c>
    </row>
    <row r="1412">
      <c r="A1412" s="4" t="inlineStr">
        <is>
          <t>SL1411</t>
        </is>
      </c>
      <c r="B1412" t="inlineStr">
        <is>
          <t>O010706</t>
        </is>
      </c>
      <c r="C1412" t="n">
        <v>20251205</v>
      </c>
      <c r="D1412" s="4" t="inlineStr">
        <is>
          <t>C077</t>
        </is>
      </c>
      <c r="E1412" s="4" t="inlineStr">
        <is>
          <t>P035</t>
        </is>
      </c>
      <c r="F1412" t="inlineStr">
        <is>
          <t>L</t>
        </is>
      </c>
      <c r="G1412" s="4" t="inlineStr">
        <is>
          <t>CH02</t>
        </is>
      </c>
      <c r="H1412" s="4" t="inlineStr">
        <is>
          <t>PR00</t>
        </is>
      </c>
      <c r="I1412" s="8" t="n">
        <v>90</v>
      </c>
      <c r="J1412" s="9" t="n">
        <v>0</v>
      </c>
      <c r="K1412" s="10">
        <f>I1412*(1-J1412)</f>
        <v/>
      </c>
      <c r="L1412" s="11" t="n">
        <v>2</v>
      </c>
      <c r="M1412" s="10">
        <f>K1412*L1412</f>
        <v/>
      </c>
      <c r="N1412" s="8" t="n">
        <v>43.17</v>
      </c>
      <c r="O1412" s="10">
        <f>N1412*L1412</f>
        <v/>
      </c>
      <c r="P1412" s="10">
        <f>M1412-O1412</f>
        <v/>
      </c>
      <c r="Q1412" s="11" t="inlineStr">
        <is>
          <t>No</t>
        </is>
      </c>
      <c r="R1412" s="11" t="n">
        <v>0</v>
      </c>
      <c r="S1412" s="10">
        <f>M1412-(R1412*K1412)</f>
        <v/>
      </c>
      <c r="T1412" s="12">
        <f>VLOOKUP(E1412,Dim_Product!$A$2:$Q$61,3,FALSE)</f>
        <v/>
      </c>
      <c r="U1412" s="12">
        <f>VLOOKUP(E1412,Dim_Product!$A$2:$Q$61,4,FALSE)</f>
        <v/>
      </c>
      <c r="V1412" s="12">
        <f>VLOOKUP(D1412,Dim_Customer!$A$2:$I$121,6,FALSE)</f>
        <v/>
      </c>
      <c r="W1412" s="12">
        <f>VLOOKUP(G1412,Dim_Channel!$A$2:$B$5,2,FALSE)</f>
        <v/>
      </c>
      <c r="X1412" s="12">
        <f>VLOOKUP(H1412,Dim_Promotion!$A$2:$G$11,2,FALSE)</f>
        <v/>
      </c>
    </row>
    <row r="1413">
      <c r="A1413" s="4" t="inlineStr">
        <is>
          <t>SL1412</t>
        </is>
      </c>
      <c r="B1413" t="inlineStr">
        <is>
          <t>O010706</t>
        </is>
      </c>
      <c r="C1413" t="n">
        <v>20250302</v>
      </c>
      <c r="D1413" s="4" t="inlineStr">
        <is>
          <t>C049</t>
        </is>
      </c>
      <c r="E1413" s="4" t="inlineStr">
        <is>
          <t>P036</t>
        </is>
      </c>
      <c r="F1413" t="inlineStr">
        <is>
          <t>L</t>
        </is>
      </c>
      <c r="G1413" s="4" t="inlineStr">
        <is>
          <t>CH01</t>
        </is>
      </c>
      <c r="H1413" s="4" t="inlineStr">
        <is>
          <t>PR00</t>
        </is>
      </c>
      <c r="I1413" s="8" t="n">
        <v>88</v>
      </c>
      <c r="J1413" s="9" t="n">
        <v>0</v>
      </c>
      <c r="K1413" s="10">
        <f>I1413*(1-J1413)</f>
        <v/>
      </c>
      <c r="L1413" s="11" t="n">
        <v>1</v>
      </c>
      <c r="M1413" s="10">
        <f>K1413*L1413</f>
        <v/>
      </c>
      <c r="N1413" s="8" t="n">
        <v>41.18</v>
      </c>
      <c r="O1413" s="10">
        <f>N1413*L1413</f>
        <v/>
      </c>
      <c r="P1413" s="10">
        <f>M1413-O1413</f>
        <v/>
      </c>
      <c r="Q1413" s="11" t="inlineStr">
        <is>
          <t>No</t>
        </is>
      </c>
      <c r="R1413" s="11" t="n">
        <v>0</v>
      </c>
      <c r="S1413" s="10">
        <f>M1413-(R1413*K1413)</f>
        <v/>
      </c>
      <c r="T1413" s="12">
        <f>VLOOKUP(E1413,Dim_Product!$A$2:$Q$61,3,FALSE)</f>
        <v/>
      </c>
      <c r="U1413" s="12">
        <f>VLOOKUP(E1413,Dim_Product!$A$2:$Q$61,4,FALSE)</f>
        <v/>
      </c>
      <c r="V1413" s="12">
        <f>VLOOKUP(D1413,Dim_Customer!$A$2:$I$121,6,FALSE)</f>
        <v/>
      </c>
      <c r="W1413" s="12">
        <f>VLOOKUP(G1413,Dim_Channel!$A$2:$B$5,2,FALSE)</f>
        <v/>
      </c>
      <c r="X1413" s="12">
        <f>VLOOKUP(H1413,Dim_Promotion!$A$2:$G$11,2,FALSE)</f>
        <v/>
      </c>
    </row>
    <row r="1414">
      <c r="A1414" s="4" t="inlineStr">
        <is>
          <t>SL1413</t>
        </is>
      </c>
      <c r="B1414" t="inlineStr">
        <is>
          <t>O010707</t>
        </is>
      </c>
      <c r="C1414" t="n">
        <v>20251221</v>
      </c>
      <c r="D1414" s="4" t="inlineStr">
        <is>
          <t>C085</t>
        </is>
      </c>
      <c r="E1414" s="4" t="inlineStr">
        <is>
          <t>P014</t>
        </is>
      </c>
      <c r="F1414" t="inlineStr">
        <is>
          <t>XL</t>
        </is>
      </c>
      <c r="G1414" s="4" t="inlineStr">
        <is>
          <t>CH02</t>
        </is>
      </c>
      <c r="H1414" s="4" t="inlineStr">
        <is>
          <t>PR00</t>
        </is>
      </c>
      <c r="I1414" s="8" t="n">
        <v>60</v>
      </c>
      <c r="J1414" s="9" t="n">
        <v>0</v>
      </c>
      <c r="K1414" s="10">
        <f>I1414*(1-J1414)</f>
        <v/>
      </c>
      <c r="L1414" s="11" t="n">
        <v>1</v>
      </c>
      <c r="M1414" s="10">
        <f>K1414*L1414</f>
        <v/>
      </c>
      <c r="N1414" s="8" t="n">
        <v>26.82</v>
      </c>
      <c r="O1414" s="10">
        <f>N1414*L1414</f>
        <v/>
      </c>
      <c r="P1414" s="10">
        <f>M1414-O1414</f>
        <v/>
      </c>
      <c r="Q1414" s="11" t="inlineStr">
        <is>
          <t>No</t>
        </is>
      </c>
      <c r="R1414" s="11" t="n">
        <v>0</v>
      </c>
      <c r="S1414" s="10">
        <f>M1414-(R1414*K1414)</f>
        <v/>
      </c>
      <c r="T1414" s="12">
        <f>VLOOKUP(E1414,Dim_Product!$A$2:$Q$61,3,FALSE)</f>
        <v/>
      </c>
      <c r="U1414" s="12">
        <f>VLOOKUP(E1414,Dim_Product!$A$2:$Q$61,4,FALSE)</f>
        <v/>
      </c>
      <c r="V1414" s="12">
        <f>VLOOKUP(D1414,Dim_Customer!$A$2:$I$121,6,FALSE)</f>
        <v/>
      </c>
      <c r="W1414" s="12">
        <f>VLOOKUP(G1414,Dim_Channel!$A$2:$B$5,2,FALSE)</f>
        <v/>
      </c>
      <c r="X1414" s="12">
        <f>VLOOKUP(H1414,Dim_Promotion!$A$2:$G$11,2,FALSE)</f>
        <v/>
      </c>
    </row>
    <row r="1415">
      <c r="A1415" s="4" t="inlineStr">
        <is>
          <t>SL1414</t>
        </is>
      </c>
      <c r="B1415" t="inlineStr">
        <is>
          <t>O010707</t>
        </is>
      </c>
      <c r="C1415" t="n">
        <v>20250328</v>
      </c>
      <c r="D1415" s="4" t="inlineStr">
        <is>
          <t>C106</t>
        </is>
      </c>
      <c r="E1415" s="4" t="inlineStr">
        <is>
          <t>P048</t>
        </is>
      </c>
      <c r="F1415" t="inlineStr">
        <is>
          <t>S</t>
        </is>
      </c>
      <c r="G1415" s="4" t="inlineStr">
        <is>
          <t>CH04</t>
        </is>
      </c>
      <c r="H1415" s="4" t="inlineStr">
        <is>
          <t>PR00</t>
        </is>
      </c>
      <c r="I1415" s="8" t="n">
        <v>68</v>
      </c>
      <c r="J1415" s="9" t="n">
        <v>0</v>
      </c>
      <c r="K1415" s="10">
        <f>I1415*(1-J1415)</f>
        <v/>
      </c>
      <c r="L1415" s="11" t="n">
        <v>2</v>
      </c>
      <c r="M1415" s="10">
        <f>K1415*L1415</f>
        <v/>
      </c>
      <c r="N1415" s="8" t="n">
        <v>32.77</v>
      </c>
      <c r="O1415" s="10">
        <f>N1415*L1415</f>
        <v/>
      </c>
      <c r="P1415" s="10">
        <f>M1415-O1415</f>
        <v/>
      </c>
      <c r="Q1415" s="11" t="inlineStr">
        <is>
          <t>No</t>
        </is>
      </c>
      <c r="R1415" s="11" t="n">
        <v>0</v>
      </c>
      <c r="S1415" s="10">
        <f>M1415-(R1415*K1415)</f>
        <v/>
      </c>
      <c r="T1415" s="12">
        <f>VLOOKUP(E1415,Dim_Product!$A$2:$Q$61,3,FALSE)</f>
        <v/>
      </c>
      <c r="U1415" s="12">
        <f>VLOOKUP(E1415,Dim_Product!$A$2:$Q$61,4,FALSE)</f>
        <v/>
      </c>
      <c r="V1415" s="12">
        <f>VLOOKUP(D1415,Dim_Customer!$A$2:$I$121,6,FALSE)</f>
        <v/>
      </c>
      <c r="W1415" s="12">
        <f>VLOOKUP(G1415,Dim_Channel!$A$2:$B$5,2,FALSE)</f>
        <v/>
      </c>
      <c r="X1415" s="12">
        <f>VLOOKUP(H1415,Dim_Promotion!$A$2:$G$11,2,FALSE)</f>
        <v/>
      </c>
    </row>
    <row r="1416">
      <c r="A1416" s="4" t="inlineStr">
        <is>
          <t>SL1415</t>
        </is>
      </c>
      <c r="B1416" t="inlineStr">
        <is>
          <t>O010708</t>
        </is>
      </c>
      <c r="C1416" t="n">
        <v>20251129</v>
      </c>
      <c r="D1416" s="4" t="inlineStr">
        <is>
          <t>C077</t>
        </is>
      </c>
      <c r="E1416" s="4" t="inlineStr">
        <is>
          <t>P022</t>
        </is>
      </c>
      <c r="F1416" t="inlineStr">
        <is>
          <t>XXL</t>
        </is>
      </c>
      <c r="G1416" s="4" t="inlineStr">
        <is>
          <t>CH04</t>
        </is>
      </c>
      <c r="H1416" s="4" t="inlineStr">
        <is>
          <t>PR00</t>
        </is>
      </c>
      <c r="I1416" s="8" t="n">
        <v>61</v>
      </c>
      <c r="J1416" s="9" t="n">
        <v>0</v>
      </c>
      <c r="K1416" s="10">
        <f>I1416*(1-J1416)</f>
        <v/>
      </c>
      <c r="L1416" s="11" t="n">
        <v>1</v>
      </c>
      <c r="M1416" s="10">
        <f>K1416*L1416</f>
        <v/>
      </c>
      <c r="N1416" s="8" t="n">
        <v>26.69</v>
      </c>
      <c r="O1416" s="10">
        <f>N1416*L1416</f>
        <v/>
      </c>
      <c r="P1416" s="10">
        <f>M1416-O1416</f>
        <v/>
      </c>
      <c r="Q1416" s="11" t="inlineStr">
        <is>
          <t>No</t>
        </is>
      </c>
      <c r="R1416" s="11" t="n">
        <v>0</v>
      </c>
      <c r="S1416" s="10">
        <f>M1416-(R1416*K1416)</f>
        <v/>
      </c>
      <c r="T1416" s="12">
        <f>VLOOKUP(E1416,Dim_Product!$A$2:$Q$61,3,FALSE)</f>
        <v/>
      </c>
      <c r="U1416" s="12">
        <f>VLOOKUP(E1416,Dim_Product!$A$2:$Q$61,4,FALSE)</f>
        <v/>
      </c>
      <c r="V1416" s="12">
        <f>VLOOKUP(D1416,Dim_Customer!$A$2:$I$121,6,FALSE)</f>
        <v/>
      </c>
      <c r="W1416" s="12">
        <f>VLOOKUP(G1416,Dim_Channel!$A$2:$B$5,2,FALSE)</f>
        <v/>
      </c>
      <c r="X1416" s="12">
        <f>VLOOKUP(H1416,Dim_Promotion!$A$2:$G$11,2,FALSE)</f>
        <v/>
      </c>
    </row>
    <row r="1417">
      <c r="A1417" s="4" t="inlineStr">
        <is>
          <t>SL1416</t>
        </is>
      </c>
      <c r="B1417" t="inlineStr">
        <is>
          <t>O010708</t>
        </is>
      </c>
      <c r="C1417" t="n">
        <v>20251216</v>
      </c>
      <c r="D1417" s="4" t="inlineStr">
        <is>
          <t>C021</t>
        </is>
      </c>
      <c r="E1417" s="4" t="inlineStr">
        <is>
          <t>P024</t>
        </is>
      </c>
      <c r="F1417" t="inlineStr">
        <is>
          <t>L</t>
        </is>
      </c>
      <c r="G1417" s="4" t="inlineStr">
        <is>
          <t>CH03</t>
        </is>
      </c>
      <c r="H1417" s="4" t="inlineStr">
        <is>
          <t>PR00</t>
        </is>
      </c>
      <c r="I1417" s="8" t="n">
        <v>62</v>
      </c>
      <c r="J1417" s="9" t="n">
        <v>0</v>
      </c>
      <c r="K1417" s="10">
        <f>I1417*(1-J1417)</f>
        <v/>
      </c>
      <c r="L1417" s="11" t="n">
        <v>1</v>
      </c>
      <c r="M1417" s="10">
        <f>K1417*L1417</f>
        <v/>
      </c>
      <c r="N1417" s="8" t="n">
        <v>27.55</v>
      </c>
      <c r="O1417" s="10">
        <f>N1417*L1417</f>
        <v/>
      </c>
      <c r="P1417" s="10">
        <f>M1417-O1417</f>
        <v/>
      </c>
      <c r="Q1417" s="11" t="inlineStr">
        <is>
          <t>No</t>
        </is>
      </c>
      <c r="R1417" s="11" t="n">
        <v>0</v>
      </c>
      <c r="S1417" s="10">
        <f>M1417-(R1417*K1417)</f>
        <v/>
      </c>
      <c r="T1417" s="12">
        <f>VLOOKUP(E1417,Dim_Product!$A$2:$Q$61,3,FALSE)</f>
        <v/>
      </c>
      <c r="U1417" s="12">
        <f>VLOOKUP(E1417,Dim_Product!$A$2:$Q$61,4,FALSE)</f>
        <v/>
      </c>
      <c r="V1417" s="12">
        <f>VLOOKUP(D1417,Dim_Customer!$A$2:$I$121,6,FALSE)</f>
        <v/>
      </c>
      <c r="W1417" s="12">
        <f>VLOOKUP(G1417,Dim_Channel!$A$2:$B$5,2,FALSE)</f>
        <v/>
      </c>
      <c r="X1417" s="12">
        <f>VLOOKUP(H1417,Dim_Promotion!$A$2:$G$11,2,FALSE)</f>
        <v/>
      </c>
    </row>
    <row r="1418">
      <c r="A1418" s="4" t="inlineStr">
        <is>
          <t>SL1417</t>
        </is>
      </c>
      <c r="B1418" t="inlineStr">
        <is>
          <t>O010709</t>
        </is>
      </c>
      <c r="C1418" t="n">
        <v>20250319</v>
      </c>
      <c r="D1418" s="4" t="inlineStr">
        <is>
          <t>C086</t>
        </is>
      </c>
      <c r="E1418" s="4" t="inlineStr">
        <is>
          <t>P017</t>
        </is>
      </c>
      <c r="F1418" t="inlineStr">
        <is>
          <t>S</t>
        </is>
      </c>
      <c r="G1418" s="4" t="inlineStr">
        <is>
          <t>CH03</t>
        </is>
      </c>
      <c r="H1418" s="4" t="inlineStr">
        <is>
          <t>PR00</t>
        </is>
      </c>
      <c r="I1418" s="8" t="n">
        <v>69</v>
      </c>
      <c r="J1418" s="9" t="n">
        <v>0</v>
      </c>
      <c r="K1418" s="10">
        <f>I1418*(1-J1418)</f>
        <v/>
      </c>
      <c r="L1418" s="11" t="n">
        <v>1</v>
      </c>
      <c r="M1418" s="10">
        <f>K1418*L1418</f>
        <v/>
      </c>
      <c r="N1418" s="8" t="n">
        <v>32.32</v>
      </c>
      <c r="O1418" s="10">
        <f>N1418*L1418</f>
        <v/>
      </c>
      <c r="P1418" s="10">
        <f>M1418-O1418</f>
        <v/>
      </c>
      <c r="Q1418" s="11" t="inlineStr">
        <is>
          <t>No</t>
        </is>
      </c>
      <c r="R1418" s="11" t="n">
        <v>0</v>
      </c>
      <c r="S1418" s="10">
        <f>M1418-(R1418*K1418)</f>
        <v/>
      </c>
      <c r="T1418" s="12">
        <f>VLOOKUP(E1418,Dim_Product!$A$2:$Q$61,3,FALSE)</f>
        <v/>
      </c>
      <c r="U1418" s="12">
        <f>VLOOKUP(E1418,Dim_Product!$A$2:$Q$61,4,FALSE)</f>
        <v/>
      </c>
      <c r="V1418" s="12">
        <f>VLOOKUP(D1418,Dim_Customer!$A$2:$I$121,6,FALSE)</f>
        <v/>
      </c>
      <c r="W1418" s="12">
        <f>VLOOKUP(G1418,Dim_Channel!$A$2:$B$5,2,FALSE)</f>
        <v/>
      </c>
      <c r="X1418" s="12">
        <f>VLOOKUP(H1418,Dim_Promotion!$A$2:$G$11,2,FALSE)</f>
        <v/>
      </c>
    </row>
    <row r="1419">
      <c r="A1419" s="4" t="inlineStr">
        <is>
          <t>SL1418</t>
        </is>
      </c>
      <c r="B1419" t="inlineStr">
        <is>
          <t>O010709</t>
        </is>
      </c>
      <c r="C1419" t="n">
        <v>20250815</v>
      </c>
      <c r="D1419" s="4" t="inlineStr">
        <is>
          <t>C009</t>
        </is>
      </c>
      <c r="E1419" s="4" t="inlineStr">
        <is>
          <t>P031</t>
        </is>
      </c>
      <c r="F1419" t="inlineStr">
        <is>
          <t>S</t>
        </is>
      </c>
      <c r="G1419" s="4" t="inlineStr">
        <is>
          <t>CH02</t>
        </is>
      </c>
      <c r="H1419" s="4" t="inlineStr">
        <is>
          <t>PR00</t>
        </is>
      </c>
      <c r="I1419" s="8" t="n">
        <v>113</v>
      </c>
      <c r="J1419" s="9" t="n">
        <v>0</v>
      </c>
      <c r="K1419" s="10">
        <f>I1419*(1-J1419)</f>
        <v/>
      </c>
      <c r="L1419" s="11" t="n">
        <v>1</v>
      </c>
      <c r="M1419" s="10">
        <f>K1419*L1419</f>
        <v/>
      </c>
      <c r="N1419" s="8" t="n">
        <v>55.46</v>
      </c>
      <c r="O1419" s="10">
        <f>N1419*L1419</f>
        <v/>
      </c>
      <c r="P1419" s="10">
        <f>M1419-O1419</f>
        <v/>
      </c>
      <c r="Q1419" s="11" t="inlineStr">
        <is>
          <t>No</t>
        </is>
      </c>
      <c r="R1419" s="11" t="n">
        <v>0</v>
      </c>
      <c r="S1419" s="10">
        <f>M1419-(R1419*K1419)</f>
        <v/>
      </c>
      <c r="T1419" s="12">
        <f>VLOOKUP(E1419,Dim_Product!$A$2:$Q$61,3,FALSE)</f>
        <v/>
      </c>
      <c r="U1419" s="12">
        <f>VLOOKUP(E1419,Dim_Product!$A$2:$Q$61,4,FALSE)</f>
        <v/>
      </c>
      <c r="V1419" s="12">
        <f>VLOOKUP(D1419,Dim_Customer!$A$2:$I$121,6,FALSE)</f>
        <v/>
      </c>
      <c r="W1419" s="12">
        <f>VLOOKUP(G1419,Dim_Channel!$A$2:$B$5,2,FALSE)</f>
        <v/>
      </c>
      <c r="X1419" s="12">
        <f>VLOOKUP(H1419,Dim_Promotion!$A$2:$G$11,2,FALSE)</f>
        <v/>
      </c>
    </row>
    <row r="1420">
      <c r="A1420" s="4" t="inlineStr">
        <is>
          <t>SL1419</t>
        </is>
      </c>
      <c r="B1420" t="inlineStr">
        <is>
          <t>O010710</t>
        </is>
      </c>
      <c r="C1420" t="n">
        <v>20250912</v>
      </c>
      <c r="D1420" s="4" t="inlineStr">
        <is>
          <t>C099</t>
        </is>
      </c>
      <c r="E1420" s="4" t="inlineStr">
        <is>
          <t>P008</t>
        </is>
      </c>
      <c r="F1420" t="inlineStr">
        <is>
          <t>L</t>
        </is>
      </c>
      <c r="G1420" s="4" t="inlineStr">
        <is>
          <t>CH03</t>
        </is>
      </c>
      <c r="H1420" s="4" t="inlineStr">
        <is>
          <t>PR00</t>
        </is>
      </c>
      <c r="I1420" s="8" t="n">
        <v>50</v>
      </c>
      <c r="J1420" s="9" t="n">
        <v>0</v>
      </c>
      <c r="K1420" s="10">
        <f>I1420*(1-J1420)</f>
        <v/>
      </c>
      <c r="L1420" s="11" t="n">
        <v>2</v>
      </c>
      <c r="M1420" s="10">
        <f>K1420*L1420</f>
        <v/>
      </c>
      <c r="N1420" s="8" t="n">
        <v>23.7</v>
      </c>
      <c r="O1420" s="10">
        <f>N1420*L1420</f>
        <v/>
      </c>
      <c r="P1420" s="10">
        <f>M1420-O1420</f>
        <v/>
      </c>
      <c r="Q1420" s="11" t="inlineStr">
        <is>
          <t>No</t>
        </is>
      </c>
      <c r="R1420" s="11" t="n">
        <v>0</v>
      </c>
      <c r="S1420" s="10">
        <f>M1420-(R1420*K1420)</f>
        <v/>
      </c>
      <c r="T1420" s="12">
        <f>VLOOKUP(E1420,Dim_Product!$A$2:$Q$61,3,FALSE)</f>
        <v/>
      </c>
      <c r="U1420" s="12">
        <f>VLOOKUP(E1420,Dim_Product!$A$2:$Q$61,4,FALSE)</f>
        <v/>
      </c>
      <c r="V1420" s="12">
        <f>VLOOKUP(D1420,Dim_Customer!$A$2:$I$121,6,FALSE)</f>
        <v/>
      </c>
      <c r="W1420" s="12">
        <f>VLOOKUP(G1420,Dim_Channel!$A$2:$B$5,2,FALSE)</f>
        <v/>
      </c>
      <c r="X1420" s="12">
        <f>VLOOKUP(H1420,Dim_Promotion!$A$2:$G$11,2,FALSE)</f>
        <v/>
      </c>
    </row>
    <row r="1421">
      <c r="A1421" s="4" t="inlineStr">
        <is>
          <t>SL1420</t>
        </is>
      </c>
      <c r="B1421" t="inlineStr">
        <is>
          <t>O010710</t>
        </is>
      </c>
      <c r="C1421" t="n">
        <v>20250823</v>
      </c>
      <c r="D1421" s="4" t="inlineStr">
        <is>
          <t>C104</t>
        </is>
      </c>
      <c r="E1421" s="4" t="inlineStr">
        <is>
          <t>P059</t>
        </is>
      </c>
      <c r="F1421" t="inlineStr">
        <is>
          <t>M</t>
        </is>
      </c>
      <c r="G1421" s="4" t="inlineStr">
        <is>
          <t>CH04</t>
        </is>
      </c>
      <c r="H1421" s="4" t="inlineStr">
        <is>
          <t>PR00</t>
        </is>
      </c>
      <c r="I1421" s="8" t="n">
        <v>75</v>
      </c>
      <c r="J1421" s="9" t="n">
        <v>0.05</v>
      </c>
      <c r="K1421" s="10">
        <f>I1421*(1-J1421)</f>
        <v/>
      </c>
      <c r="L1421" s="11" t="n">
        <v>1</v>
      </c>
      <c r="M1421" s="10">
        <f>K1421*L1421</f>
        <v/>
      </c>
      <c r="N1421" s="8" t="n">
        <v>33.38</v>
      </c>
      <c r="O1421" s="10">
        <f>N1421*L1421</f>
        <v/>
      </c>
      <c r="P1421" s="10">
        <f>M1421-O1421</f>
        <v/>
      </c>
      <c r="Q1421" s="11" t="inlineStr">
        <is>
          <t>No</t>
        </is>
      </c>
      <c r="R1421" s="11" t="n">
        <v>0</v>
      </c>
      <c r="S1421" s="10">
        <f>M1421-(R1421*K1421)</f>
        <v/>
      </c>
      <c r="T1421" s="12">
        <f>VLOOKUP(E1421,Dim_Product!$A$2:$Q$61,3,FALSE)</f>
        <v/>
      </c>
      <c r="U1421" s="12">
        <f>VLOOKUP(E1421,Dim_Product!$A$2:$Q$61,4,FALSE)</f>
        <v/>
      </c>
      <c r="V1421" s="12">
        <f>VLOOKUP(D1421,Dim_Customer!$A$2:$I$121,6,FALSE)</f>
        <v/>
      </c>
      <c r="W1421" s="12">
        <f>VLOOKUP(G1421,Dim_Channel!$A$2:$B$5,2,FALSE)</f>
        <v/>
      </c>
      <c r="X1421" s="12">
        <f>VLOOKUP(H1421,Dim_Promotion!$A$2:$G$11,2,FALSE)</f>
        <v/>
      </c>
    </row>
    <row r="1422">
      <c r="A1422" s="4" t="inlineStr">
        <is>
          <t>SL1421</t>
        </is>
      </c>
      <c r="B1422" t="inlineStr">
        <is>
          <t>O010711</t>
        </is>
      </c>
      <c r="C1422" t="n">
        <v>20250714</v>
      </c>
      <c r="D1422" s="4" t="inlineStr">
        <is>
          <t>C011</t>
        </is>
      </c>
      <c r="E1422" s="4" t="inlineStr">
        <is>
          <t>P052</t>
        </is>
      </c>
      <c r="F1422" t="inlineStr">
        <is>
          <t>M</t>
        </is>
      </c>
      <c r="G1422" s="4" t="inlineStr">
        <is>
          <t>CH04</t>
        </is>
      </c>
      <c r="H1422" s="4" t="inlineStr">
        <is>
          <t>PR00</t>
        </is>
      </c>
      <c r="I1422" s="8" t="n">
        <v>64</v>
      </c>
      <c r="J1422" s="9" t="n">
        <v>0</v>
      </c>
      <c r="K1422" s="10">
        <f>I1422*(1-J1422)</f>
        <v/>
      </c>
      <c r="L1422" s="11" t="n">
        <v>1</v>
      </c>
      <c r="M1422" s="10">
        <f>K1422*L1422</f>
        <v/>
      </c>
      <c r="N1422" s="8" t="n">
        <v>30.45</v>
      </c>
      <c r="O1422" s="10">
        <f>N1422*L1422</f>
        <v/>
      </c>
      <c r="P1422" s="10">
        <f>M1422-O1422</f>
        <v/>
      </c>
      <c r="Q1422" s="11" t="inlineStr">
        <is>
          <t>No</t>
        </is>
      </c>
      <c r="R1422" s="11" t="n">
        <v>0</v>
      </c>
      <c r="S1422" s="10">
        <f>M1422-(R1422*K1422)</f>
        <v/>
      </c>
      <c r="T1422" s="12">
        <f>VLOOKUP(E1422,Dim_Product!$A$2:$Q$61,3,FALSE)</f>
        <v/>
      </c>
      <c r="U1422" s="12">
        <f>VLOOKUP(E1422,Dim_Product!$A$2:$Q$61,4,FALSE)</f>
        <v/>
      </c>
      <c r="V1422" s="12">
        <f>VLOOKUP(D1422,Dim_Customer!$A$2:$I$121,6,FALSE)</f>
        <v/>
      </c>
      <c r="W1422" s="12">
        <f>VLOOKUP(G1422,Dim_Channel!$A$2:$B$5,2,FALSE)</f>
        <v/>
      </c>
      <c r="X1422" s="12">
        <f>VLOOKUP(H1422,Dim_Promotion!$A$2:$G$11,2,FALSE)</f>
        <v/>
      </c>
    </row>
    <row r="1423">
      <c r="A1423" s="4" t="inlineStr">
        <is>
          <t>SL1422</t>
        </is>
      </c>
      <c r="B1423" t="inlineStr">
        <is>
          <t>O010711</t>
        </is>
      </c>
      <c r="C1423" t="n">
        <v>20250706</v>
      </c>
      <c r="D1423" s="4" t="inlineStr">
        <is>
          <t>C104</t>
        </is>
      </c>
      <c r="E1423" s="4" t="inlineStr">
        <is>
          <t>P054</t>
        </is>
      </c>
      <c r="F1423" t="inlineStr">
        <is>
          <t>L</t>
        </is>
      </c>
      <c r="G1423" s="4" t="inlineStr">
        <is>
          <t>CH02</t>
        </is>
      </c>
      <c r="H1423" s="4" t="inlineStr">
        <is>
          <t>PR00</t>
        </is>
      </c>
      <c r="I1423" s="8" t="n">
        <v>72</v>
      </c>
      <c r="J1423" s="9" t="n">
        <v>0</v>
      </c>
      <c r="K1423" s="10">
        <f>I1423*(1-J1423)</f>
        <v/>
      </c>
      <c r="L1423" s="11" t="n">
        <v>1</v>
      </c>
      <c r="M1423" s="10">
        <f>K1423*L1423</f>
        <v/>
      </c>
      <c r="N1423" s="8" t="n">
        <v>31.41</v>
      </c>
      <c r="O1423" s="10">
        <f>N1423*L1423</f>
        <v/>
      </c>
      <c r="P1423" s="10">
        <f>M1423-O1423</f>
        <v/>
      </c>
      <c r="Q1423" s="11" t="inlineStr">
        <is>
          <t>No</t>
        </is>
      </c>
      <c r="R1423" s="11" t="n">
        <v>0</v>
      </c>
      <c r="S1423" s="10">
        <f>M1423-(R1423*K1423)</f>
        <v/>
      </c>
      <c r="T1423" s="12">
        <f>VLOOKUP(E1423,Dim_Product!$A$2:$Q$61,3,FALSE)</f>
        <v/>
      </c>
      <c r="U1423" s="12">
        <f>VLOOKUP(E1423,Dim_Product!$A$2:$Q$61,4,FALSE)</f>
        <v/>
      </c>
      <c r="V1423" s="12">
        <f>VLOOKUP(D1423,Dim_Customer!$A$2:$I$121,6,FALSE)</f>
        <v/>
      </c>
      <c r="W1423" s="12">
        <f>VLOOKUP(G1423,Dim_Channel!$A$2:$B$5,2,FALSE)</f>
        <v/>
      </c>
      <c r="X1423" s="12">
        <f>VLOOKUP(H1423,Dim_Promotion!$A$2:$G$11,2,FALSE)</f>
        <v/>
      </c>
    </row>
    <row r="1424">
      <c r="A1424" s="4" t="inlineStr">
        <is>
          <t>SL1423</t>
        </is>
      </c>
      <c r="B1424" t="inlineStr">
        <is>
          <t>O010712</t>
        </is>
      </c>
      <c r="C1424" t="n">
        <v>20250911</v>
      </c>
      <c r="D1424" s="4" t="inlineStr">
        <is>
          <t>C024</t>
        </is>
      </c>
      <c r="E1424" s="4" t="inlineStr">
        <is>
          <t>P007</t>
        </is>
      </c>
      <c r="F1424" t="inlineStr">
        <is>
          <t>M</t>
        </is>
      </c>
      <c r="G1424" s="4" t="inlineStr">
        <is>
          <t>CH03</t>
        </is>
      </c>
      <c r="H1424" s="4" t="inlineStr">
        <is>
          <t>PR00</t>
        </is>
      </c>
      <c r="I1424" s="8" t="n">
        <v>50</v>
      </c>
      <c r="J1424" s="9" t="n">
        <v>0</v>
      </c>
      <c r="K1424" s="10">
        <f>I1424*(1-J1424)</f>
        <v/>
      </c>
      <c r="L1424" s="11" t="n">
        <v>2</v>
      </c>
      <c r="M1424" s="10">
        <f>K1424*L1424</f>
        <v/>
      </c>
      <c r="N1424" s="8" t="n">
        <v>22.2</v>
      </c>
      <c r="O1424" s="10">
        <f>N1424*L1424</f>
        <v/>
      </c>
      <c r="P1424" s="10">
        <f>M1424-O1424</f>
        <v/>
      </c>
      <c r="Q1424" s="11" t="inlineStr">
        <is>
          <t>No</t>
        </is>
      </c>
      <c r="R1424" s="11" t="n">
        <v>0</v>
      </c>
      <c r="S1424" s="10">
        <f>M1424-(R1424*K1424)</f>
        <v/>
      </c>
      <c r="T1424" s="12">
        <f>VLOOKUP(E1424,Dim_Product!$A$2:$Q$61,3,FALSE)</f>
        <v/>
      </c>
      <c r="U1424" s="12">
        <f>VLOOKUP(E1424,Dim_Product!$A$2:$Q$61,4,FALSE)</f>
        <v/>
      </c>
      <c r="V1424" s="12">
        <f>VLOOKUP(D1424,Dim_Customer!$A$2:$I$121,6,FALSE)</f>
        <v/>
      </c>
      <c r="W1424" s="12">
        <f>VLOOKUP(G1424,Dim_Channel!$A$2:$B$5,2,FALSE)</f>
        <v/>
      </c>
      <c r="X1424" s="12">
        <f>VLOOKUP(H1424,Dim_Promotion!$A$2:$G$11,2,FALSE)</f>
        <v/>
      </c>
    </row>
    <row r="1425">
      <c r="A1425" s="4" t="inlineStr">
        <is>
          <t>SL1424</t>
        </is>
      </c>
      <c r="B1425" t="inlineStr">
        <is>
          <t>O010712</t>
        </is>
      </c>
      <c r="C1425" t="n">
        <v>20250704</v>
      </c>
      <c r="D1425" s="4" t="inlineStr">
        <is>
          <t>C066</t>
        </is>
      </c>
      <c r="E1425" s="4" t="inlineStr">
        <is>
          <t>P033</t>
        </is>
      </c>
      <c r="F1425" t="inlineStr">
        <is>
          <t>M</t>
        </is>
      </c>
      <c r="G1425" s="4" t="inlineStr">
        <is>
          <t>CH01</t>
        </is>
      </c>
      <c r="H1425" s="4" t="inlineStr">
        <is>
          <t>PR00</t>
        </is>
      </c>
      <c r="I1425" s="8" t="n">
        <v>87</v>
      </c>
      <c r="J1425" s="9" t="n">
        <v>0</v>
      </c>
      <c r="K1425" s="10">
        <f>I1425*(1-J1425)</f>
        <v/>
      </c>
      <c r="L1425" s="11" t="n">
        <v>1</v>
      </c>
      <c r="M1425" s="10">
        <f>K1425*L1425</f>
        <v/>
      </c>
      <c r="N1425" s="8" t="n">
        <v>43.03</v>
      </c>
      <c r="O1425" s="10">
        <f>N1425*L1425</f>
        <v/>
      </c>
      <c r="P1425" s="10">
        <f>M1425-O1425</f>
        <v/>
      </c>
      <c r="Q1425" s="11" t="inlineStr">
        <is>
          <t>No</t>
        </is>
      </c>
      <c r="R1425" s="11" t="n">
        <v>0</v>
      </c>
      <c r="S1425" s="10">
        <f>M1425-(R1425*K1425)</f>
        <v/>
      </c>
      <c r="T1425" s="12">
        <f>VLOOKUP(E1425,Dim_Product!$A$2:$Q$61,3,FALSE)</f>
        <v/>
      </c>
      <c r="U1425" s="12">
        <f>VLOOKUP(E1425,Dim_Product!$A$2:$Q$61,4,FALSE)</f>
        <v/>
      </c>
      <c r="V1425" s="12">
        <f>VLOOKUP(D1425,Dim_Customer!$A$2:$I$121,6,FALSE)</f>
        <v/>
      </c>
      <c r="W1425" s="12">
        <f>VLOOKUP(G1425,Dim_Channel!$A$2:$B$5,2,FALSE)</f>
        <v/>
      </c>
      <c r="X1425" s="12">
        <f>VLOOKUP(H1425,Dim_Promotion!$A$2:$G$11,2,FALSE)</f>
        <v/>
      </c>
    </row>
    <row r="1426">
      <c r="A1426" s="4" t="inlineStr">
        <is>
          <t>SL1425</t>
        </is>
      </c>
      <c r="B1426" t="inlineStr">
        <is>
          <t>O010713</t>
        </is>
      </c>
      <c r="C1426" t="n">
        <v>20250813</v>
      </c>
      <c r="D1426" s="4" t="inlineStr">
        <is>
          <t>C076</t>
        </is>
      </c>
      <c r="E1426" s="4" t="inlineStr">
        <is>
          <t>P007</t>
        </is>
      </c>
      <c r="F1426" t="inlineStr">
        <is>
          <t>M</t>
        </is>
      </c>
      <c r="G1426" s="4" t="inlineStr">
        <is>
          <t>CH01</t>
        </is>
      </c>
      <c r="H1426" s="4" t="inlineStr">
        <is>
          <t>PR00</t>
        </is>
      </c>
      <c r="I1426" s="8" t="n">
        <v>50</v>
      </c>
      <c r="J1426" s="9" t="n">
        <v>0</v>
      </c>
      <c r="K1426" s="10">
        <f>I1426*(1-J1426)</f>
        <v/>
      </c>
      <c r="L1426" s="11" t="n">
        <v>1</v>
      </c>
      <c r="M1426" s="10">
        <f>K1426*L1426</f>
        <v/>
      </c>
      <c r="N1426" s="8" t="n">
        <v>22.34</v>
      </c>
      <c r="O1426" s="10">
        <f>N1426*L1426</f>
        <v/>
      </c>
      <c r="P1426" s="10">
        <f>M1426-O1426</f>
        <v/>
      </c>
      <c r="Q1426" s="11" t="inlineStr">
        <is>
          <t>No</t>
        </is>
      </c>
      <c r="R1426" s="11" t="n">
        <v>0</v>
      </c>
      <c r="S1426" s="10">
        <f>M1426-(R1426*K1426)</f>
        <v/>
      </c>
      <c r="T1426" s="12">
        <f>VLOOKUP(E1426,Dim_Product!$A$2:$Q$61,3,FALSE)</f>
        <v/>
      </c>
      <c r="U1426" s="12">
        <f>VLOOKUP(E1426,Dim_Product!$A$2:$Q$61,4,FALSE)</f>
        <v/>
      </c>
      <c r="V1426" s="12">
        <f>VLOOKUP(D1426,Dim_Customer!$A$2:$I$121,6,FALSE)</f>
        <v/>
      </c>
      <c r="W1426" s="12">
        <f>VLOOKUP(G1426,Dim_Channel!$A$2:$B$5,2,FALSE)</f>
        <v/>
      </c>
      <c r="X1426" s="12">
        <f>VLOOKUP(H1426,Dim_Promotion!$A$2:$G$11,2,FALSE)</f>
        <v/>
      </c>
    </row>
    <row r="1427">
      <c r="A1427" s="4" t="inlineStr">
        <is>
          <t>SL1426</t>
        </is>
      </c>
      <c r="B1427" t="inlineStr">
        <is>
          <t>O010713</t>
        </is>
      </c>
      <c r="C1427" t="n">
        <v>20250102</v>
      </c>
      <c r="D1427" s="4" t="inlineStr">
        <is>
          <t>C015</t>
        </is>
      </c>
      <c r="E1427" s="4" t="inlineStr">
        <is>
          <t>P003</t>
        </is>
      </c>
      <c r="F1427" t="inlineStr">
        <is>
          <t>M</t>
        </is>
      </c>
      <c r="G1427" s="4" t="inlineStr">
        <is>
          <t>CH01</t>
        </is>
      </c>
      <c r="H1427" s="4" t="inlineStr">
        <is>
          <t>PR00</t>
        </is>
      </c>
      <c r="I1427" s="8" t="n">
        <v>42</v>
      </c>
      <c r="J1427" s="9" t="n">
        <v>0</v>
      </c>
      <c r="K1427" s="10">
        <f>I1427*(1-J1427)</f>
        <v/>
      </c>
      <c r="L1427" s="11" t="n">
        <v>1</v>
      </c>
      <c r="M1427" s="10">
        <f>K1427*L1427</f>
        <v/>
      </c>
      <c r="N1427" s="8" t="n">
        <v>20.45</v>
      </c>
      <c r="O1427" s="10">
        <f>N1427*L1427</f>
        <v/>
      </c>
      <c r="P1427" s="10">
        <f>M1427-O1427</f>
        <v/>
      </c>
      <c r="Q1427" s="11" t="inlineStr">
        <is>
          <t>No</t>
        </is>
      </c>
      <c r="R1427" s="11" t="n">
        <v>0</v>
      </c>
      <c r="S1427" s="10">
        <f>M1427-(R1427*K1427)</f>
        <v/>
      </c>
      <c r="T1427" s="12">
        <f>VLOOKUP(E1427,Dim_Product!$A$2:$Q$61,3,FALSE)</f>
        <v/>
      </c>
      <c r="U1427" s="12">
        <f>VLOOKUP(E1427,Dim_Product!$A$2:$Q$61,4,FALSE)</f>
        <v/>
      </c>
      <c r="V1427" s="12">
        <f>VLOOKUP(D1427,Dim_Customer!$A$2:$I$121,6,FALSE)</f>
        <v/>
      </c>
      <c r="W1427" s="12">
        <f>VLOOKUP(G1427,Dim_Channel!$A$2:$B$5,2,FALSE)</f>
        <v/>
      </c>
      <c r="X1427" s="12">
        <f>VLOOKUP(H1427,Dim_Promotion!$A$2:$G$11,2,FALSE)</f>
        <v/>
      </c>
    </row>
    <row r="1428">
      <c r="A1428" s="4" t="inlineStr">
        <is>
          <t>SL1427</t>
        </is>
      </c>
      <c r="B1428" t="inlineStr">
        <is>
          <t>O010714</t>
        </is>
      </c>
      <c r="C1428" t="n">
        <v>20250617</v>
      </c>
      <c r="D1428" s="4" t="inlineStr">
        <is>
          <t>C038</t>
        </is>
      </c>
      <c r="E1428" s="4" t="inlineStr">
        <is>
          <t>P054</t>
        </is>
      </c>
      <c r="F1428" t="inlineStr">
        <is>
          <t>S</t>
        </is>
      </c>
      <c r="G1428" s="4" t="inlineStr">
        <is>
          <t>CH02</t>
        </is>
      </c>
      <c r="H1428" s="4" t="inlineStr">
        <is>
          <t>PR00</t>
        </is>
      </c>
      <c r="I1428" s="8" t="n">
        <v>76</v>
      </c>
      <c r="J1428" s="9" t="n">
        <v>0</v>
      </c>
      <c r="K1428" s="10">
        <f>I1428*(1-J1428)</f>
        <v/>
      </c>
      <c r="L1428" s="11" t="n">
        <v>1</v>
      </c>
      <c r="M1428" s="10">
        <f>K1428*L1428</f>
        <v/>
      </c>
      <c r="N1428" s="8" t="n">
        <v>31.78</v>
      </c>
      <c r="O1428" s="10">
        <f>N1428*L1428</f>
        <v/>
      </c>
      <c r="P1428" s="10">
        <f>M1428-O1428</f>
        <v/>
      </c>
      <c r="Q1428" s="11" t="inlineStr">
        <is>
          <t>No</t>
        </is>
      </c>
      <c r="R1428" s="11" t="n">
        <v>0</v>
      </c>
      <c r="S1428" s="10">
        <f>M1428-(R1428*K1428)</f>
        <v/>
      </c>
      <c r="T1428" s="12">
        <f>VLOOKUP(E1428,Dim_Product!$A$2:$Q$61,3,FALSE)</f>
        <v/>
      </c>
      <c r="U1428" s="12">
        <f>VLOOKUP(E1428,Dim_Product!$A$2:$Q$61,4,FALSE)</f>
        <v/>
      </c>
      <c r="V1428" s="12">
        <f>VLOOKUP(D1428,Dim_Customer!$A$2:$I$121,6,FALSE)</f>
        <v/>
      </c>
      <c r="W1428" s="12">
        <f>VLOOKUP(G1428,Dim_Channel!$A$2:$B$5,2,FALSE)</f>
        <v/>
      </c>
      <c r="X1428" s="12">
        <f>VLOOKUP(H1428,Dim_Promotion!$A$2:$G$11,2,FALSE)</f>
        <v/>
      </c>
    </row>
    <row r="1429">
      <c r="A1429" s="4" t="inlineStr">
        <is>
          <t>SL1428</t>
        </is>
      </c>
      <c r="B1429" t="inlineStr">
        <is>
          <t>O010714</t>
        </is>
      </c>
      <c r="C1429" t="n">
        <v>20250924</v>
      </c>
      <c r="D1429" s="4" t="inlineStr">
        <is>
          <t>C059</t>
        </is>
      </c>
      <c r="E1429" s="4" t="inlineStr">
        <is>
          <t>P034</t>
        </is>
      </c>
      <c r="F1429" t="inlineStr">
        <is>
          <t>L</t>
        </is>
      </c>
      <c r="G1429" s="4" t="inlineStr">
        <is>
          <t>CH04</t>
        </is>
      </c>
      <c r="H1429" s="4" t="inlineStr">
        <is>
          <t>PR07</t>
        </is>
      </c>
      <c r="I1429" s="8" t="n">
        <v>91</v>
      </c>
      <c r="J1429" s="9" t="n">
        <v>0.12</v>
      </c>
      <c r="K1429" s="10">
        <f>I1429*(1-J1429)</f>
        <v/>
      </c>
      <c r="L1429" s="11" t="n">
        <v>1</v>
      </c>
      <c r="M1429" s="10">
        <f>K1429*L1429</f>
        <v/>
      </c>
      <c r="N1429" s="8" t="n">
        <v>44.04</v>
      </c>
      <c r="O1429" s="10">
        <f>N1429*L1429</f>
        <v/>
      </c>
      <c r="P1429" s="10">
        <f>M1429-O1429</f>
        <v/>
      </c>
      <c r="Q1429" s="11" t="inlineStr">
        <is>
          <t>No</t>
        </is>
      </c>
      <c r="R1429" s="11" t="n">
        <v>0</v>
      </c>
      <c r="S1429" s="10">
        <f>M1429-(R1429*K1429)</f>
        <v/>
      </c>
      <c r="T1429" s="12">
        <f>VLOOKUP(E1429,Dim_Product!$A$2:$Q$61,3,FALSE)</f>
        <v/>
      </c>
      <c r="U1429" s="12">
        <f>VLOOKUP(E1429,Dim_Product!$A$2:$Q$61,4,FALSE)</f>
        <v/>
      </c>
      <c r="V1429" s="12">
        <f>VLOOKUP(D1429,Dim_Customer!$A$2:$I$121,6,FALSE)</f>
        <v/>
      </c>
      <c r="W1429" s="12">
        <f>VLOOKUP(G1429,Dim_Channel!$A$2:$B$5,2,FALSE)</f>
        <v/>
      </c>
      <c r="X1429" s="12">
        <f>VLOOKUP(H1429,Dim_Promotion!$A$2:$G$11,2,FALSE)</f>
        <v/>
      </c>
    </row>
    <row r="1430">
      <c r="A1430" s="4" t="inlineStr">
        <is>
          <t>SL1429</t>
        </is>
      </c>
      <c r="B1430" t="inlineStr">
        <is>
          <t>O010715</t>
        </is>
      </c>
      <c r="C1430" t="n">
        <v>20251224</v>
      </c>
      <c r="D1430" s="4" t="inlineStr">
        <is>
          <t>C015</t>
        </is>
      </c>
      <c r="E1430" s="4" t="inlineStr">
        <is>
          <t>P050</t>
        </is>
      </c>
      <c r="F1430" t="inlineStr">
        <is>
          <t>S</t>
        </is>
      </c>
      <c r="G1430" s="4" t="inlineStr">
        <is>
          <t>CH01</t>
        </is>
      </c>
      <c r="H1430" s="4" t="inlineStr">
        <is>
          <t>PR09</t>
        </is>
      </c>
      <c r="I1430" s="8" t="n">
        <v>68</v>
      </c>
      <c r="J1430" s="9" t="n">
        <v>0.15</v>
      </c>
      <c r="K1430" s="10">
        <f>I1430*(1-J1430)</f>
        <v/>
      </c>
      <c r="L1430" s="11" t="n">
        <v>1</v>
      </c>
      <c r="M1430" s="10">
        <f>K1430*L1430</f>
        <v/>
      </c>
      <c r="N1430" s="8" t="n">
        <v>31.01</v>
      </c>
      <c r="O1430" s="10">
        <f>N1430*L1430</f>
        <v/>
      </c>
      <c r="P1430" s="10">
        <f>M1430-O1430</f>
        <v/>
      </c>
      <c r="Q1430" s="11" t="inlineStr">
        <is>
          <t>No</t>
        </is>
      </c>
      <c r="R1430" s="11" t="n">
        <v>0</v>
      </c>
      <c r="S1430" s="10">
        <f>M1430-(R1430*K1430)</f>
        <v/>
      </c>
      <c r="T1430" s="12">
        <f>VLOOKUP(E1430,Dim_Product!$A$2:$Q$61,3,FALSE)</f>
        <v/>
      </c>
      <c r="U1430" s="12">
        <f>VLOOKUP(E1430,Dim_Product!$A$2:$Q$61,4,FALSE)</f>
        <v/>
      </c>
      <c r="V1430" s="12">
        <f>VLOOKUP(D1430,Dim_Customer!$A$2:$I$121,6,FALSE)</f>
        <v/>
      </c>
      <c r="W1430" s="12">
        <f>VLOOKUP(G1430,Dim_Channel!$A$2:$B$5,2,FALSE)</f>
        <v/>
      </c>
      <c r="X1430" s="12">
        <f>VLOOKUP(H1430,Dim_Promotion!$A$2:$G$11,2,FALSE)</f>
        <v/>
      </c>
    </row>
    <row r="1431">
      <c r="A1431" s="4" t="inlineStr">
        <is>
          <t>SL1430</t>
        </is>
      </c>
      <c r="B1431" t="inlineStr">
        <is>
          <t>O010715</t>
        </is>
      </c>
      <c r="C1431" t="n">
        <v>20251127</v>
      </c>
      <c r="D1431" s="4" t="inlineStr">
        <is>
          <t>C018</t>
        </is>
      </c>
      <c r="E1431" s="4" t="inlineStr">
        <is>
          <t>P017</t>
        </is>
      </c>
      <c r="F1431" t="inlineStr">
        <is>
          <t>M</t>
        </is>
      </c>
      <c r="G1431" s="4" t="inlineStr">
        <is>
          <t>CH04</t>
        </is>
      </c>
      <c r="H1431" s="4" t="inlineStr">
        <is>
          <t>PR00</t>
        </is>
      </c>
      <c r="I1431" s="8" t="n">
        <v>68</v>
      </c>
      <c r="J1431" s="9" t="n">
        <v>0.05</v>
      </c>
      <c r="K1431" s="10">
        <f>I1431*(1-J1431)</f>
        <v/>
      </c>
      <c r="L1431" s="11" t="n">
        <v>2</v>
      </c>
      <c r="M1431" s="10">
        <f>K1431*L1431</f>
        <v/>
      </c>
      <c r="N1431" s="8" t="n">
        <v>32.38</v>
      </c>
      <c r="O1431" s="10">
        <f>N1431*L1431</f>
        <v/>
      </c>
      <c r="P1431" s="10">
        <f>M1431-O1431</f>
        <v/>
      </c>
      <c r="Q1431" s="11" t="inlineStr">
        <is>
          <t>No</t>
        </is>
      </c>
      <c r="R1431" s="11" t="n">
        <v>0</v>
      </c>
      <c r="S1431" s="10">
        <f>M1431-(R1431*K1431)</f>
        <v/>
      </c>
      <c r="T1431" s="12">
        <f>VLOOKUP(E1431,Dim_Product!$A$2:$Q$61,3,FALSE)</f>
        <v/>
      </c>
      <c r="U1431" s="12">
        <f>VLOOKUP(E1431,Dim_Product!$A$2:$Q$61,4,FALSE)</f>
        <v/>
      </c>
      <c r="V1431" s="12">
        <f>VLOOKUP(D1431,Dim_Customer!$A$2:$I$121,6,FALSE)</f>
        <v/>
      </c>
      <c r="W1431" s="12">
        <f>VLOOKUP(G1431,Dim_Channel!$A$2:$B$5,2,FALSE)</f>
        <v/>
      </c>
      <c r="X1431" s="12">
        <f>VLOOKUP(H1431,Dim_Promotion!$A$2:$G$11,2,FALSE)</f>
        <v/>
      </c>
    </row>
    <row r="1432">
      <c r="A1432" s="4" t="inlineStr">
        <is>
          <t>SL1431</t>
        </is>
      </c>
      <c r="B1432" t="inlineStr">
        <is>
          <t>O010716</t>
        </is>
      </c>
      <c r="C1432" t="n">
        <v>20250411</v>
      </c>
      <c r="D1432" s="4" t="inlineStr">
        <is>
          <t>C104</t>
        </is>
      </c>
      <c r="E1432" s="4" t="inlineStr">
        <is>
          <t>P006</t>
        </is>
      </c>
      <c r="F1432" t="inlineStr">
        <is>
          <t>XL</t>
        </is>
      </c>
      <c r="G1432" s="4" t="inlineStr">
        <is>
          <t>CH02</t>
        </is>
      </c>
      <c r="H1432" s="4" t="inlineStr">
        <is>
          <t>PR03</t>
        </is>
      </c>
      <c r="I1432" s="8" t="n">
        <v>46</v>
      </c>
      <c r="J1432" s="9" t="n">
        <v>0.08</v>
      </c>
      <c r="K1432" s="10">
        <f>I1432*(1-J1432)</f>
        <v/>
      </c>
      <c r="L1432" s="11" t="n">
        <v>1</v>
      </c>
      <c r="M1432" s="10">
        <f>K1432*L1432</f>
        <v/>
      </c>
      <c r="N1432" s="8" t="n">
        <v>21.07</v>
      </c>
      <c r="O1432" s="10">
        <f>N1432*L1432</f>
        <v/>
      </c>
      <c r="P1432" s="10">
        <f>M1432-O1432</f>
        <v/>
      </c>
      <c r="Q1432" s="11" t="inlineStr">
        <is>
          <t>No</t>
        </is>
      </c>
      <c r="R1432" s="11" t="n">
        <v>0</v>
      </c>
      <c r="S1432" s="10">
        <f>M1432-(R1432*K1432)</f>
        <v/>
      </c>
      <c r="T1432" s="12">
        <f>VLOOKUP(E1432,Dim_Product!$A$2:$Q$61,3,FALSE)</f>
        <v/>
      </c>
      <c r="U1432" s="12">
        <f>VLOOKUP(E1432,Dim_Product!$A$2:$Q$61,4,FALSE)</f>
        <v/>
      </c>
      <c r="V1432" s="12">
        <f>VLOOKUP(D1432,Dim_Customer!$A$2:$I$121,6,FALSE)</f>
        <v/>
      </c>
      <c r="W1432" s="12">
        <f>VLOOKUP(G1432,Dim_Channel!$A$2:$B$5,2,FALSE)</f>
        <v/>
      </c>
      <c r="X1432" s="12">
        <f>VLOOKUP(H1432,Dim_Promotion!$A$2:$G$11,2,FALSE)</f>
        <v/>
      </c>
    </row>
    <row r="1433">
      <c r="A1433" s="4" t="inlineStr">
        <is>
          <t>SL1432</t>
        </is>
      </c>
      <c r="B1433" t="inlineStr">
        <is>
          <t>O010716</t>
        </is>
      </c>
      <c r="C1433" t="n">
        <v>20250224</v>
      </c>
      <c r="D1433" s="4" t="inlineStr">
        <is>
          <t>C028</t>
        </is>
      </c>
      <c r="E1433" s="4" t="inlineStr">
        <is>
          <t>P037</t>
        </is>
      </c>
      <c r="F1433" t="inlineStr">
        <is>
          <t>M</t>
        </is>
      </c>
      <c r="G1433" s="4" t="inlineStr">
        <is>
          <t>CH03</t>
        </is>
      </c>
      <c r="H1433" s="4" t="inlineStr">
        <is>
          <t>PR00</t>
        </is>
      </c>
      <c r="I1433" s="8" t="n">
        <v>70</v>
      </c>
      <c r="J1433" s="9" t="n">
        <v>0</v>
      </c>
      <c r="K1433" s="10">
        <f>I1433*(1-J1433)</f>
        <v/>
      </c>
      <c r="L1433" s="11" t="n">
        <v>2</v>
      </c>
      <c r="M1433" s="10">
        <f>K1433*L1433</f>
        <v/>
      </c>
      <c r="N1433" s="8" t="n">
        <v>33.48</v>
      </c>
      <c r="O1433" s="10">
        <f>N1433*L1433</f>
        <v/>
      </c>
      <c r="P1433" s="10">
        <f>M1433-O1433</f>
        <v/>
      </c>
      <c r="Q1433" s="11" t="inlineStr">
        <is>
          <t>No</t>
        </is>
      </c>
      <c r="R1433" s="11" t="n">
        <v>0</v>
      </c>
      <c r="S1433" s="10">
        <f>M1433-(R1433*K1433)</f>
        <v/>
      </c>
      <c r="T1433" s="12">
        <f>VLOOKUP(E1433,Dim_Product!$A$2:$Q$61,3,FALSE)</f>
        <v/>
      </c>
      <c r="U1433" s="12">
        <f>VLOOKUP(E1433,Dim_Product!$A$2:$Q$61,4,FALSE)</f>
        <v/>
      </c>
      <c r="V1433" s="12">
        <f>VLOOKUP(D1433,Dim_Customer!$A$2:$I$121,6,FALSE)</f>
        <v/>
      </c>
      <c r="W1433" s="12">
        <f>VLOOKUP(G1433,Dim_Channel!$A$2:$B$5,2,FALSE)</f>
        <v/>
      </c>
      <c r="X1433" s="12">
        <f>VLOOKUP(H1433,Dim_Promotion!$A$2:$G$11,2,FALSE)</f>
        <v/>
      </c>
    </row>
    <row r="1434">
      <c r="A1434" s="4" t="inlineStr">
        <is>
          <t>SL1433</t>
        </is>
      </c>
      <c r="B1434" t="inlineStr">
        <is>
          <t>O010717</t>
        </is>
      </c>
      <c r="C1434" t="n">
        <v>20251227</v>
      </c>
      <c r="D1434" s="4" t="inlineStr">
        <is>
          <t>C069</t>
        </is>
      </c>
      <c r="E1434" s="4" t="inlineStr">
        <is>
          <t>P019</t>
        </is>
      </c>
      <c r="F1434" t="inlineStr">
        <is>
          <t>L</t>
        </is>
      </c>
      <c r="G1434" s="4" t="inlineStr">
        <is>
          <t>CH03</t>
        </is>
      </c>
      <c r="H1434" s="4" t="inlineStr">
        <is>
          <t>PR00</t>
        </is>
      </c>
      <c r="I1434" s="8" t="n">
        <v>66</v>
      </c>
      <c r="J1434" s="9" t="n">
        <v>0</v>
      </c>
      <c r="K1434" s="10">
        <f>I1434*(1-J1434)</f>
        <v/>
      </c>
      <c r="L1434" s="11" t="n">
        <v>1</v>
      </c>
      <c r="M1434" s="10">
        <f>K1434*L1434</f>
        <v/>
      </c>
      <c r="N1434" s="8" t="n">
        <v>31.68</v>
      </c>
      <c r="O1434" s="10">
        <f>N1434*L1434</f>
        <v/>
      </c>
      <c r="P1434" s="10">
        <f>M1434-O1434</f>
        <v/>
      </c>
      <c r="Q1434" s="11" t="inlineStr">
        <is>
          <t>No</t>
        </is>
      </c>
      <c r="R1434" s="11" t="n">
        <v>0</v>
      </c>
      <c r="S1434" s="10">
        <f>M1434-(R1434*K1434)</f>
        <v/>
      </c>
      <c r="T1434" s="12">
        <f>VLOOKUP(E1434,Dim_Product!$A$2:$Q$61,3,FALSE)</f>
        <v/>
      </c>
      <c r="U1434" s="12">
        <f>VLOOKUP(E1434,Dim_Product!$A$2:$Q$61,4,FALSE)</f>
        <v/>
      </c>
      <c r="V1434" s="12">
        <f>VLOOKUP(D1434,Dim_Customer!$A$2:$I$121,6,FALSE)</f>
        <v/>
      </c>
      <c r="W1434" s="12">
        <f>VLOOKUP(G1434,Dim_Channel!$A$2:$B$5,2,FALSE)</f>
        <v/>
      </c>
      <c r="X1434" s="12">
        <f>VLOOKUP(H1434,Dim_Promotion!$A$2:$G$11,2,FALSE)</f>
        <v/>
      </c>
    </row>
    <row r="1435">
      <c r="A1435" s="4" t="inlineStr">
        <is>
          <t>SL1434</t>
        </is>
      </c>
      <c r="B1435" t="inlineStr">
        <is>
          <t>O010717</t>
        </is>
      </c>
      <c r="C1435" t="n">
        <v>20250702</v>
      </c>
      <c r="D1435" s="4" t="inlineStr">
        <is>
          <t>C048</t>
        </is>
      </c>
      <c r="E1435" s="4" t="inlineStr">
        <is>
          <t>P024</t>
        </is>
      </c>
      <c r="F1435" t="inlineStr">
        <is>
          <t>M</t>
        </is>
      </c>
      <c r="G1435" s="4" t="inlineStr">
        <is>
          <t>CH04</t>
        </is>
      </c>
      <c r="H1435" s="4" t="inlineStr">
        <is>
          <t>PR00</t>
        </is>
      </c>
      <c r="I1435" s="8" t="n">
        <v>60</v>
      </c>
      <c r="J1435" s="9" t="n">
        <v>0</v>
      </c>
      <c r="K1435" s="10">
        <f>I1435*(1-J1435)</f>
        <v/>
      </c>
      <c r="L1435" s="11" t="n">
        <v>2</v>
      </c>
      <c r="M1435" s="10">
        <f>K1435*L1435</f>
        <v/>
      </c>
      <c r="N1435" s="8" t="n">
        <v>27.33</v>
      </c>
      <c r="O1435" s="10">
        <f>N1435*L1435</f>
        <v/>
      </c>
      <c r="P1435" s="10">
        <f>M1435-O1435</f>
        <v/>
      </c>
      <c r="Q1435" s="11" t="inlineStr">
        <is>
          <t>Yes</t>
        </is>
      </c>
      <c r="R1435" s="11" t="n">
        <v>2</v>
      </c>
      <c r="S1435" s="10">
        <f>M1435-(R1435*K1435)</f>
        <v/>
      </c>
      <c r="T1435" s="12">
        <f>VLOOKUP(E1435,Dim_Product!$A$2:$Q$61,3,FALSE)</f>
        <v/>
      </c>
      <c r="U1435" s="12">
        <f>VLOOKUP(E1435,Dim_Product!$A$2:$Q$61,4,FALSE)</f>
        <v/>
      </c>
      <c r="V1435" s="12">
        <f>VLOOKUP(D1435,Dim_Customer!$A$2:$I$121,6,FALSE)</f>
        <v/>
      </c>
      <c r="W1435" s="12">
        <f>VLOOKUP(G1435,Dim_Channel!$A$2:$B$5,2,FALSE)</f>
        <v/>
      </c>
      <c r="X1435" s="12">
        <f>VLOOKUP(H1435,Dim_Promotion!$A$2:$G$11,2,FALSE)</f>
        <v/>
      </c>
    </row>
    <row r="1436">
      <c r="A1436" s="4" t="inlineStr">
        <is>
          <t>SL1435</t>
        </is>
      </c>
      <c r="B1436" t="inlineStr">
        <is>
          <t>O010718</t>
        </is>
      </c>
      <c r="C1436" t="n">
        <v>20251201</v>
      </c>
      <c r="D1436" s="4" t="inlineStr">
        <is>
          <t>C099</t>
        </is>
      </c>
      <c r="E1436" s="4" t="inlineStr">
        <is>
          <t>P049</t>
        </is>
      </c>
      <c r="F1436" t="inlineStr">
        <is>
          <t>S</t>
        </is>
      </c>
      <c r="G1436" s="4" t="inlineStr">
        <is>
          <t>CH01</t>
        </is>
      </c>
      <c r="H1436" s="4" t="inlineStr">
        <is>
          <t>PR09</t>
        </is>
      </c>
      <c r="I1436" s="8" t="n">
        <v>68</v>
      </c>
      <c r="J1436" s="9" t="n">
        <v>0.15</v>
      </c>
      <c r="K1436" s="10">
        <f>I1436*(1-J1436)</f>
        <v/>
      </c>
      <c r="L1436" s="11" t="n">
        <v>1</v>
      </c>
      <c r="M1436" s="10">
        <f>K1436*L1436</f>
        <v/>
      </c>
      <c r="N1436" s="8" t="n">
        <v>28.84</v>
      </c>
      <c r="O1436" s="10">
        <f>N1436*L1436</f>
        <v/>
      </c>
      <c r="P1436" s="10">
        <f>M1436-O1436</f>
        <v/>
      </c>
      <c r="Q1436" s="11" t="inlineStr">
        <is>
          <t>No</t>
        </is>
      </c>
      <c r="R1436" s="11" t="n">
        <v>0</v>
      </c>
      <c r="S1436" s="10">
        <f>M1436-(R1436*K1436)</f>
        <v/>
      </c>
      <c r="T1436" s="12">
        <f>VLOOKUP(E1436,Dim_Product!$A$2:$Q$61,3,FALSE)</f>
        <v/>
      </c>
      <c r="U1436" s="12">
        <f>VLOOKUP(E1436,Dim_Product!$A$2:$Q$61,4,FALSE)</f>
        <v/>
      </c>
      <c r="V1436" s="12">
        <f>VLOOKUP(D1436,Dim_Customer!$A$2:$I$121,6,FALSE)</f>
        <v/>
      </c>
      <c r="W1436" s="12">
        <f>VLOOKUP(G1436,Dim_Channel!$A$2:$B$5,2,FALSE)</f>
        <v/>
      </c>
      <c r="X1436" s="12">
        <f>VLOOKUP(H1436,Dim_Promotion!$A$2:$G$11,2,FALSE)</f>
        <v/>
      </c>
    </row>
    <row r="1437">
      <c r="A1437" s="4" t="inlineStr">
        <is>
          <t>SL1436</t>
        </is>
      </c>
      <c r="B1437" t="inlineStr">
        <is>
          <t>O010718</t>
        </is>
      </c>
      <c r="C1437" t="n">
        <v>20250128</v>
      </c>
      <c r="D1437" s="4" t="inlineStr">
        <is>
          <t>C069</t>
        </is>
      </c>
      <c r="E1437" s="4" t="inlineStr">
        <is>
          <t>P027</t>
        </is>
      </c>
      <c r="F1437" t="inlineStr">
        <is>
          <t>XL</t>
        </is>
      </c>
      <c r="G1437" s="4" t="inlineStr">
        <is>
          <t>CH01</t>
        </is>
      </c>
      <c r="H1437" s="4" t="inlineStr">
        <is>
          <t>PR00</t>
        </is>
      </c>
      <c r="I1437" s="8" t="n">
        <v>95</v>
      </c>
      <c r="J1437" s="9" t="n">
        <v>0</v>
      </c>
      <c r="K1437" s="10">
        <f>I1437*(1-J1437)</f>
        <v/>
      </c>
      <c r="L1437" s="11" t="n">
        <v>1</v>
      </c>
      <c r="M1437" s="10">
        <f>K1437*L1437</f>
        <v/>
      </c>
      <c r="N1437" s="8" t="n">
        <v>45.53</v>
      </c>
      <c r="O1437" s="10">
        <f>N1437*L1437</f>
        <v/>
      </c>
      <c r="P1437" s="10">
        <f>M1437-O1437</f>
        <v/>
      </c>
      <c r="Q1437" s="11" t="inlineStr">
        <is>
          <t>No</t>
        </is>
      </c>
      <c r="R1437" s="11" t="n">
        <v>0</v>
      </c>
      <c r="S1437" s="10">
        <f>M1437-(R1437*K1437)</f>
        <v/>
      </c>
      <c r="T1437" s="12">
        <f>VLOOKUP(E1437,Dim_Product!$A$2:$Q$61,3,FALSE)</f>
        <v/>
      </c>
      <c r="U1437" s="12">
        <f>VLOOKUP(E1437,Dim_Product!$A$2:$Q$61,4,FALSE)</f>
        <v/>
      </c>
      <c r="V1437" s="12">
        <f>VLOOKUP(D1437,Dim_Customer!$A$2:$I$121,6,FALSE)</f>
        <v/>
      </c>
      <c r="W1437" s="12">
        <f>VLOOKUP(G1437,Dim_Channel!$A$2:$B$5,2,FALSE)</f>
        <v/>
      </c>
      <c r="X1437" s="12">
        <f>VLOOKUP(H1437,Dim_Promotion!$A$2:$G$11,2,FALSE)</f>
        <v/>
      </c>
    </row>
    <row r="1438">
      <c r="A1438" s="4" t="inlineStr">
        <is>
          <t>SL1437</t>
        </is>
      </c>
      <c r="B1438" t="inlineStr">
        <is>
          <t>O010719</t>
        </is>
      </c>
      <c r="C1438" t="n">
        <v>20251128</v>
      </c>
      <c r="D1438" s="4" t="inlineStr">
        <is>
          <t>C065</t>
        </is>
      </c>
      <c r="E1438" s="4" t="inlineStr">
        <is>
          <t>P042</t>
        </is>
      </c>
      <c r="F1438" t="inlineStr">
        <is>
          <t>S</t>
        </is>
      </c>
      <c r="G1438" s="4" t="inlineStr">
        <is>
          <t>CH04</t>
        </is>
      </c>
      <c r="H1438" s="4" t="inlineStr">
        <is>
          <t>PR00</t>
        </is>
      </c>
      <c r="I1438" s="8" t="n">
        <v>76</v>
      </c>
      <c r="J1438" s="9" t="n">
        <v>0</v>
      </c>
      <c r="K1438" s="10">
        <f>I1438*(1-J1438)</f>
        <v/>
      </c>
      <c r="L1438" s="11" t="n">
        <v>1</v>
      </c>
      <c r="M1438" s="10">
        <f>K1438*L1438</f>
        <v/>
      </c>
      <c r="N1438" s="8" t="n">
        <v>38.27</v>
      </c>
      <c r="O1438" s="10">
        <f>N1438*L1438</f>
        <v/>
      </c>
      <c r="P1438" s="10">
        <f>M1438-O1438</f>
        <v/>
      </c>
      <c r="Q1438" s="11" t="inlineStr">
        <is>
          <t>No</t>
        </is>
      </c>
      <c r="R1438" s="11" t="n">
        <v>0</v>
      </c>
      <c r="S1438" s="10">
        <f>M1438-(R1438*K1438)</f>
        <v/>
      </c>
      <c r="T1438" s="12">
        <f>VLOOKUP(E1438,Dim_Product!$A$2:$Q$61,3,FALSE)</f>
        <v/>
      </c>
      <c r="U1438" s="12">
        <f>VLOOKUP(E1438,Dim_Product!$A$2:$Q$61,4,FALSE)</f>
        <v/>
      </c>
      <c r="V1438" s="12">
        <f>VLOOKUP(D1438,Dim_Customer!$A$2:$I$121,6,FALSE)</f>
        <v/>
      </c>
      <c r="W1438" s="12">
        <f>VLOOKUP(G1438,Dim_Channel!$A$2:$B$5,2,FALSE)</f>
        <v/>
      </c>
      <c r="X1438" s="12">
        <f>VLOOKUP(H1438,Dim_Promotion!$A$2:$G$11,2,FALSE)</f>
        <v/>
      </c>
    </row>
    <row r="1439">
      <c r="A1439" s="4" t="inlineStr">
        <is>
          <t>SL1438</t>
        </is>
      </c>
      <c r="B1439" t="inlineStr">
        <is>
          <t>O010719</t>
        </is>
      </c>
      <c r="C1439" t="n">
        <v>20251117</v>
      </c>
      <c r="D1439" s="4" t="inlineStr">
        <is>
          <t>C064</t>
        </is>
      </c>
      <c r="E1439" s="4" t="inlineStr">
        <is>
          <t>P008</t>
        </is>
      </c>
      <c r="F1439" t="inlineStr">
        <is>
          <t>M</t>
        </is>
      </c>
      <c r="G1439" s="4" t="inlineStr">
        <is>
          <t>CH02</t>
        </is>
      </c>
      <c r="H1439" s="4" t="inlineStr">
        <is>
          <t>PR00</t>
        </is>
      </c>
      <c r="I1439" s="8" t="n">
        <v>53</v>
      </c>
      <c r="J1439" s="9" t="n">
        <v>0</v>
      </c>
      <c r="K1439" s="10">
        <f>I1439*(1-J1439)</f>
        <v/>
      </c>
      <c r="L1439" s="11" t="n">
        <v>1</v>
      </c>
      <c r="M1439" s="10">
        <f>K1439*L1439</f>
        <v/>
      </c>
      <c r="N1439" s="8" t="n">
        <v>22.83</v>
      </c>
      <c r="O1439" s="10">
        <f>N1439*L1439</f>
        <v/>
      </c>
      <c r="P1439" s="10">
        <f>M1439-O1439</f>
        <v/>
      </c>
      <c r="Q1439" s="11" t="inlineStr">
        <is>
          <t>No</t>
        </is>
      </c>
      <c r="R1439" s="11" t="n">
        <v>0</v>
      </c>
      <c r="S1439" s="10">
        <f>M1439-(R1439*K1439)</f>
        <v/>
      </c>
      <c r="T1439" s="12">
        <f>VLOOKUP(E1439,Dim_Product!$A$2:$Q$61,3,FALSE)</f>
        <v/>
      </c>
      <c r="U1439" s="12">
        <f>VLOOKUP(E1439,Dim_Product!$A$2:$Q$61,4,FALSE)</f>
        <v/>
      </c>
      <c r="V1439" s="12">
        <f>VLOOKUP(D1439,Dim_Customer!$A$2:$I$121,6,FALSE)</f>
        <v/>
      </c>
      <c r="W1439" s="12">
        <f>VLOOKUP(G1439,Dim_Channel!$A$2:$B$5,2,FALSE)</f>
        <v/>
      </c>
      <c r="X1439" s="12">
        <f>VLOOKUP(H1439,Dim_Promotion!$A$2:$G$11,2,FALSE)</f>
        <v/>
      </c>
    </row>
    <row r="1440">
      <c r="A1440" s="4" t="inlineStr">
        <is>
          <t>SL1439</t>
        </is>
      </c>
      <c r="B1440" t="inlineStr">
        <is>
          <t>O010720</t>
        </is>
      </c>
      <c r="C1440" t="n">
        <v>20250823</v>
      </c>
      <c r="D1440" s="4" t="inlineStr">
        <is>
          <t>C001</t>
        </is>
      </c>
      <c r="E1440" s="4" t="inlineStr">
        <is>
          <t>P037</t>
        </is>
      </c>
      <c r="F1440" t="inlineStr">
        <is>
          <t>XL</t>
        </is>
      </c>
      <c r="G1440" s="4" t="inlineStr">
        <is>
          <t>CH04</t>
        </is>
      </c>
      <c r="H1440" s="4" t="inlineStr">
        <is>
          <t>PR00</t>
        </is>
      </c>
      <c r="I1440" s="8" t="n">
        <v>72</v>
      </c>
      <c r="J1440" s="9" t="n">
        <v>0</v>
      </c>
      <c r="K1440" s="10">
        <f>I1440*(1-J1440)</f>
        <v/>
      </c>
      <c r="L1440" s="11" t="n">
        <v>1</v>
      </c>
      <c r="M1440" s="10">
        <f>K1440*L1440</f>
        <v/>
      </c>
      <c r="N1440" s="8" t="n">
        <v>32.92</v>
      </c>
      <c r="O1440" s="10">
        <f>N1440*L1440</f>
        <v/>
      </c>
      <c r="P1440" s="10">
        <f>M1440-O1440</f>
        <v/>
      </c>
      <c r="Q1440" s="11" t="inlineStr">
        <is>
          <t>No</t>
        </is>
      </c>
      <c r="R1440" s="11" t="n">
        <v>0</v>
      </c>
      <c r="S1440" s="10">
        <f>M1440-(R1440*K1440)</f>
        <v/>
      </c>
      <c r="T1440" s="12">
        <f>VLOOKUP(E1440,Dim_Product!$A$2:$Q$61,3,FALSE)</f>
        <v/>
      </c>
      <c r="U1440" s="12">
        <f>VLOOKUP(E1440,Dim_Product!$A$2:$Q$61,4,FALSE)</f>
        <v/>
      </c>
      <c r="V1440" s="12">
        <f>VLOOKUP(D1440,Dim_Customer!$A$2:$I$121,6,FALSE)</f>
        <v/>
      </c>
      <c r="W1440" s="12">
        <f>VLOOKUP(G1440,Dim_Channel!$A$2:$B$5,2,FALSE)</f>
        <v/>
      </c>
      <c r="X1440" s="12">
        <f>VLOOKUP(H1440,Dim_Promotion!$A$2:$G$11,2,FALSE)</f>
        <v/>
      </c>
    </row>
    <row r="1441">
      <c r="A1441" s="4" t="inlineStr">
        <is>
          <t>SL1440</t>
        </is>
      </c>
      <c r="B1441" t="inlineStr">
        <is>
          <t>O010720</t>
        </is>
      </c>
      <c r="C1441" t="n">
        <v>20250211</v>
      </c>
      <c r="D1441" s="4" t="inlineStr">
        <is>
          <t>C111</t>
        </is>
      </c>
      <c r="E1441" s="4" t="inlineStr">
        <is>
          <t>P022</t>
        </is>
      </c>
      <c r="F1441" t="inlineStr">
        <is>
          <t>L</t>
        </is>
      </c>
      <c r="G1441" s="4" t="inlineStr">
        <is>
          <t>CH02</t>
        </is>
      </c>
      <c r="H1441" s="4" t="inlineStr">
        <is>
          <t>PR00</t>
        </is>
      </c>
      <c r="I1441" s="8" t="n">
        <v>58</v>
      </c>
      <c r="J1441" s="9" t="n">
        <v>0</v>
      </c>
      <c r="K1441" s="10">
        <f>I1441*(1-J1441)</f>
        <v/>
      </c>
      <c r="L1441" s="11" t="n">
        <v>1</v>
      </c>
      <c r="M1441" s="10">
        <f>K1441*L1441</f>
        <v/>
      </c>
      <c r="N1441" s="8" t="n">
        <v>25.93</v>
      </c>
      <c r="O1441" s="10">
        <f>N1441*L1441</f>
        <v/>
      </c>
      <c r="P1441" s="10">
        <f>M1441-O1441</f>
        <v/>
      </c>
      <c r="Q1441" s="11" t="inlineStr">
        <is>
          <t>No</t>
        </is>
      </c>
      <c r="R1441" s="11" t="n">
        <v>0</v>
      </c>
      <c r="S1441" s="10">
        <f>M1441-(R1441*K1441)</f>
        <v/>
      </c>
      <c r="T1441" s="12">
        <f>VLOOKUP(E1441,Dim_Product!$A$2:$Q$61,3,FALSE)</f>
        <v/>
      </c>
      <c r="U1441" s="12">
        <f>VLOOKUP(E1441,Dim_Product!$A$2:$Q$61,4,FALSE)</f>
        <v/>
      </c>
      <c r="V1441" s="12">
        <f>VLOOKUP(D1441,Dim_Customer!$A$2:$I$121,6,FALSE)</f>
        <v/>
      </c>
      <c r="W1441" s="12">
        <f>VLOOKUP(G1441,Dim_Channel!$A$2:$B$5,2,FALSE)</f>
        <v/>
      </c>
      <c r="X1441" s="12">
        <f>VLOOKUP(H1441,Dim_Promotion!$A$2:$G$11,2,FALSE)</f>
        <v/>
      </c>
    </row>
    <row r="1442">
      <c r="A1442" s="4" t="inlineStr">
        <is>
          <t>SL1441</t>
        </is>
      </c>
      <c r="B1442" t="inlineStr">
        <is>
          <t>O010721</t>
        </is>
      </c>
      <c r="C1442" t="n">
        <v>20250902</v>
      </c>
      <c r="D1442" s="4" t="inlineStr">
        <is>
          <t>C085</t>
        </is>
      </c>
      <c r="E1442" s="4" t="inlineStr">
        <is>
          <t>P007</t>
        </is>
      </c>
      <c r="F1442" t="inlineStr">
        <is>
          <t>M</t>
        </is>
      </c>
      <c r="G1442" s="4" t="inlineStr">
        <is>
          <t>CH03</t>
        </is>
      </c>
      <c r="H1442" s="4" t="inlineStr">
        <is>
          <t>PR00</t>
        </is>
      </c>
      <c r="I1442" s="8" t="n">
        <v>50</v>
      </c>
      <c r="J1442" s="9" t="n">
        <v>0</v>
      </c>
      <c r="K1442" s="10">
        <f>I1442*(1-J1442)</f>
        <v/>
      </c>
      <c r="L1442" s="11" t="n">
        <v>1</v>
      </c>
      <c r="M1442" s="10">
        <f>K1442*L1442</f>
        <v/>
      </c>
      <c r="N1442" s="8" t="n">
        <v>22.12</v>
      </c>
      <c r="O1442" s="10">
        <f>N1442*L1442</f>
        <v/>
      </c>
      <c r="P1442" s="10">
        <f>M1442-O1442</f>
        <v/>
      </c>
      <c r="Q1442" s="11" t="inlineStr">
        <is>
          <t>No</t>
        </is>
      </c>
      <c r="R1442" s="11" t="n">
        <v>0</v>
      </c>
      <c r="S1442" s="10">
        <f>M1442-(R1442*K1442)</f>
        <v/>
      </c>
      <c r="T1442" s="12">
        <f>VLOOKUP(E1442,Dim_Product!$A$2:$Q$61,3,FALSE)</f>
        <v/>
      </c>
      <c r="U1442" s="12">
        <f>VLOOKUP(E1442,Dim_Product!$A$2:$Q$61,4,FALSE)</f>
        <v/>
      </c>
      <c r="V1442" s="12">
        <f>VLOOKUP(D1442,Dim_Customer!$A$2:$I$121,6,FALSE)</f>
        <v/>
      </c>
      <c r="W1442" s="12">
        <f>VLOOKUP(G1442,Dim_Channel!$A$2:$B$5,2,FALSE)</f>
        <v/>
      </c>
      <c r="X1442" s="12">
        <f>VLOOKUP(H1442,Dim_Promotion!$A$2:$G$11,2,FALSE)</f>
        <v/>
      </c>
    </row>
    <row r="1443">
      <c r="A1443" s="4" t="inlineStr">
        <is>
          <t>SL1442</t>
        </is>
      </c>
      <c r="B1443" t="inlineStr">
        <is>
          <t>O010721</t>
        </is>
      </c>
      <c r="C1443" t="n">
        <v>20250601</v>
      </c>
      <c r="D1443" s="4" t="inlineStr">
        <is>
          <t>C044</t>
        </is>
      </c>
      <c r="E1443" s="4" t="inlineStr">
        <is>
          <t>P055</t>
        </is>
      </c>
      <c r="F1443" t="inlineStr">
        <is>
          <t>M</t>
        </is>
      </c>
      <c r="G1443" s="4" t="inlineStr">
        <is>
          <t>CH02</t>
        </is>
      </c>
      <c r="H1443" s="4" t="inlineStr">
        <is>
          <t>PR00</t>
        </is>
      </c>
      <c r="I1443" s="8" t="n">
        <v>68</v>
      </c>
      <c r="J1443" s="9" t="n">
        <v>0</v>
      </c>
      <c r="K1443" s="10">
        <f>I1443*(1-J1443)</f>
        <v/>
      </c>
      <c r="L1443" s="11" t="n">
        <v>2</v>
      </c>
      <c r="M1443" s="10">
        <f>K1443*L1443</f>
        <v/>
      </c>
      <c r="N1443" s="8" t="n">
        <v>34.71</v>
      </c>
      <c r="O1443" s="10">
        <f>N1443*L1443</f>
        <v/>
      </c>
      <c r="P1443" s="10">
        <f>M1443-O1443</f>
        <v/>
      </c>
      <c r="Q1443" s="11" t="inlineStr">
        <is>
          <t>No</t>
        </is>
      </c>
      <c r="R1443" s="11" t="n">
        <v>0</v>
      </c>
      <c r="S1443" s="10">
        <f>M1443-(R1443*K1443)</f>
        <v/>
      </c>
      <c r="T1443" s="12">
        <f>VLOOKUP(E1443,Dim_Product!$A$2:$Q$61,3,FALSE)</f>
        <v/>
      </c>
      <c r="U1443" s="12">
        <f>VLOOKUP(E1443,Dim_Product!$A$2:$Q$61,4,FALSE)</f>
        <v/>
      </c>
      <c r="V1443" s="12">
        <f>VLOOKUP(D1443,Dim_Customer!$A$2:$I$121,6,FALSE)</f>
        <v/>
      </c>
      <c r="W1443" s="12">
        <f>VLOOKUP(G1443,Dim_Channel!$A$2:$B$5,2,FALSE)</f>
        <v/>
      </c>
      <c r="X1443" s="12">
        <f>VLOOKUP(H1443,Dim_Promotion!$A$2:$G$11,2,FALSE)</f>
        <v/>
      </c>
    </row>
    <row r="1444">
      <c r="A1444" s="4" t="inlineStr">
        <is>
          <t>SL1443</t>
        </is>
      </c>
      <c r="B1444" t="inlineStr">
        <is>
          <t>O010722</t>
        </is>
      </c>
      <c r="C1444" t="n">
        <v>20251220</v>
      </c>
      <c r="D1444" s="4" t="inlineStr">
        <is>
          <t>C090</t>
        </is>
      </c>
      <c r="E1444" s="4" t="inlineStr">
        <is>
          <t>P026</t>
        </is>
      </c>
      <c r="F1444" t="inlineStr">
        <is>
          <t>L</t>
        </is>
      </c>
      <c r="G1444" s="4" t="inlineStr">
        <is>
          <t>CH02</t>
        </is>
      </c>
      <c r="H1444" s="4" t="inlineStr">
        <is>
          <t>PR00</t>
        </is>
      </c>
      <c r="I1444" s="8" t="n">
        <v>93</v>
      </c>
      <c r="J1444" s="9" t="n">
        <v>0</v>
      </c>
      <c r="K1444" s="10">
        <f>I1444*(1-J1444)</f>
        <v/>
      </c>
      <c r="L1444" s="11" t="n">
        <v>1</v>
      </c>
      <c r="M1444" s="10">
        <f>K1444*L1444</f>
        <v/>
      </c>
      <c r="N1444" s="8" t="n">
        <v>44.82</v>
      </c>
      <c r="O1444" s="10">
        <f>N1444*L1444</f>
        <v/>
      </c>
      <c r="P1444" s="10">
        <f>M1444-O1444</f>
        <v/>
      </c>
      <c r="Q1444" s="11" t="inlineStr">
        <is>
          <t>No</t>
        </is>
      </c>
      <c r="R1444" s="11" t="n">
        <v>0</v>
      </c>
      <c r="S1444" s="10">
        <f>M1444-(R1444*K1444)</f>
        <v/>
      </c>
      <c r="T1444" s="12">
        <f>VLOOKUP(E1444,Dim_Product!$A$2:$Q$61,3,FALSE)</f>
        <v/>
      </c>
      <c r="U1444" s="12">
        <f>VLOOKUP(E1444,Dim_Product!$A$2:$Q$61,4,FALSE)</f>
        <v/>
      </c>
      <c r="V1444" s="12">
        <f>VLOOKUP(D1444,Dim_Customer!$A$2:$I$121,6,FALSE)</f>
        <v/>
      </c>
      <c r="W1444" s="12">
        <f>VLOOKUP(G1444,Dim_Channel!$A$2:$B$5,2,FALSE)</f>
        <v/>
      </c>
      <c r="X1444" s="12">
        <f>VLOOKUP(H1444,Dim_Promotion!$A$2:$G$11,2,FALSE)</f>
        <v/>
      </c>
    </row>
    <row r="1445">
      <c r="A1445" s="4" t="inlineStr">
        <is>
          <t>SL1444</t>
        </is>
      </c>
      <c r="B1445" t="inlineStr">
        <is>
          <t>O010722</t>
        </is>
      </c>
      <c r="C1445" t="n">
        <v>20251202</v>
      </c>
      <c r="D1445" s="4" t="inlineStr">
        <is>
          <t>C025</t>
        </is>
      </c>
      <c r="E1445" s="4" t="inlineStr">
        <is>
          <t>P001</t>
        </is>
      </c>
      <c r="F1445" t="inlineStr">
        <is>
          <t>M</t>
        </is>
      </c>
      <c r="G1445" s="4" t="inlineStr">
        <is>
          <t>CH01</t>
        </is>
      </c>
      <c r="H1445" s="4" t="inlineStr">
        <is>
          <t>PR00</t>
        </is>
      </c>
      <c r="I1445" s="8" t="n">
        <v>38</v>
      </c>
      <c r="J1445" s="9" t="n">
        <v>0</v>
      </c>
      <c r="K1445" s="10">
        <f>I1445*(1-J1445)</f>
        <v/>
      </c>
      <c r="L1445" s="11" t="n">
        <v>1</v>
      </c>
      <c r="M1445" s="10">
        <f>K1445*L1445</f>
        <v/>
      </c>
      <c r="N1445" s="8" t="n">
        <v>16.92</v>
      </c>
      <c r="O1445" s="10">
        <f>N1445*L1445</f>
        <v/>
      </c>
      <c r="P1445" s="10">
        <f>M1445-O1445</f>
        <v/>
      </c>
      <c r="Q1445" s="11" t="inlineStr">
        <is>
          <t>No</t>
        </is>
      </c>
      <c r="R1445" s="11" t="n">
        <v>0</v>
      </c>
      <c r="S1445" s="10">
        <f>M1445-(R1445*K1445)</f>
        <v/>
      </c>
      <c r="T1445" s="12">
        <f>VLOOKUP(E1445,Dim_Product!$A$2:$Q$61,3,FALSE)</f>
        <v/>
      </c>
      <c r="U1445" s="12">
        <f>VLOOKUP(E1445,Dim_Product!$A$2:$Q$61,4,FALSE)</f>
        <v/>
      </c>
      <c r="V1445" s="12">
        <f>VLOOKUP(D1445,Dim_Customer!$A$2:$I$121,6,FALSE)</f>
        <v/>
      </c>
      <c r="W1445" s="12">
        <f>VLOOKUP(G1445,Dim_Channel!$A$2:$B$5,2,FALSE)</f>
        <v/>
      </c>
      <c r="X1445" s="12">
        <f>VLOOKUP(H1445,Dim_Promotion!$A$2:$G$11,2,FALSE)</f>
        <v/>
      </c>
    </row>
    <row r="1446">
      <c r="A1446" s="4" t="inlineStr">
        <is>
          <t>SL1445</t>
        </is>
      </c>
      <c r="B1446" t="inlineStr">
        <is>
          <t>O010723</t>
        </is>
      </c>
      <c r="C1446" t="n">
        <v>20250225</v>
      </c>
      <c r="D1446" s="4" t="inlineStr">
        <is>
          <t>C075</t>
        </is>
      </c>
      <c r="E1446" s="4" t="inlineStr">
        <is>
          <t>P013</t>
        </is>
      </c>
      <c r="F1446" t="inlineStr">
        <is>
          <t>M</t>
        </is>
      </c>
      <c r="G1446" s="4" t="inlineStr">
        <is>
          <t>CH01</t>
        </is>
      </c>
      <c r="H1446" s="4" t="inlineStr">
        <is>
          <t>PR00</t>
        </is>
      </c>
      <c r="I1446" s="8" t="n">
        <v>61</v>
      </c>
      <c r="J1446" s="9" t="n">
        <v>0</v>
      </c>
      <c r="K1446" s="10">
        <f>I1446*(1-J1446)</f>
        <v/>
      </c>
      <c r="L1446" s="11" t="n">
        <v>1</v>
      </c>
      <c r="M1446" s="10">
        <f>K1446*L1446</f>
        <v/>
      </c>
      <c r="N1446" s="8" t="n">
        <v>25.89</v>
      </c>
      <c r="O1446" s="10">
        <f>N1446*L1446</f>
        <v/>
      </c>
      <c r="P1446" s="10">
        <f>M1446-O1446</f>
        <v/>
      </c>
      <c r="Q1446" s="11" t="inlineStr">
        <is>
          <t>No</t>
        </is>
      </c>
      <c r="R1446" s="11" t="n">
        <v>0</v>
      </c>
      <c r="S1446" s="10">
        <f>M1446-(R1446*K1446)</f>
        <v/>
      </c>
      <c r="T1446" s="12">
        <f>VLOOKUP(E1446,Dim_Product!$A$2:$Q$61,3,FALSE)</f>
        <v/>
      </c>
      <c r="U1446" s="12">
        <f>VLOOKUP(E1446,Dim_Product!$A$2:$Q$61,4,FALSE)</f>
        <v/>
      </c>
      <c r="V1446" s="12">
        <f>VLOOKUP(D1446,Dim_Customer!$A$2:$I$121,6,FALSE)</f>
        <v/>
      </c>
      <c r="W1446" s="12">
        <f>VLOOKUP(G1446,Dim_Channel!$A$2:$B$5,2,FALSE)</f>
        <v/>
      </c>
      <c r="X1446" s="12">
        <f>VLOOKUP(H1446,Dim_Promotion!$A$2:$G$11,2,FALSE)</f>
        <v/>
      </c>
    </row>
    <row r="1447">
      <c r="A1447" s="4" t="inlineStr">
        <is>
          <t>SL1446</t>
        </is>
      </c>
      <c r="B1447" t="inlineStr">
        <is>
          <t>O010723</t>
        </is>
      </c>
      <c r="C1447" t="n">
        <v>20251228</v>
      </c>
      <c r="D1447" s="4" t="inlineStr">
        <is>
          <t>C078</t>
        </is>
      </c>
      <c r="E1447" s="4" t="inlineStr">
        <is>
          <t>P001</t>
        </is>
      </c>
      <c r="F1447" t="inlineStr">
        <is>
          <t>L</t>
        </is>
      </c>
      <c r="G1447" s="4" t="inlineStr">
        <is>
          <t>CH03</t>
        </is>
      </c>
      <c r="H1447" s="4" t="inlineStr">
        <is>
          <t>PR00</t>
        </is>
      </c>
      <c r="I1447" s="8" t="n">
        <v>42</v>
      </c>
      <c r="J1447" s="9" t="n">
        <v>0</v>
      </c>
      <c r="K1447" s="10">
        <f>I1447*(1-J1447)</f>
        <v/>
      </c>
      <c r="L1447" s="11" t="n">
        <v>1</v>
      </c>
      <c r="M1447" s="10">
        <f>K1447*L1447</f>
        <v/>
      </c>
      <c r="N1447" s="8" t="n">
        <v>17.44</v>
      </c>
      <c r="O1447" s="10">
        <f>N1447*L1447</f>
        <v/>
      </c>
      <c r="P1447" s="10">
        <f>M1447-O1447</f>
        <v/>
      </c>
      <c r="Q1447" s="11" t="inlineStr">
        <is>
          <t>No</t>
        </is>
      </c>
      <c r="R1447" s="11" t="n">
        <v>0</v>
      </c>
      <c r="S1447" s="10">
        <f>M1447-(R1447*K1447)</f>
        <v/>
      </c>
      <c r="T1447" s="12">
        <f>VLOOKUP(E1447,Dim_Product!$A$2:$Q$61,3,FALSE)</f>
        <v/>
      </c>
      <c r="U1447" s="12">
        <f>VLOOKUP(E1447,Dim_Product!$A$2:$Q$61,4,FALSE)</f>
        <v/>
      </c>
      <c r="V1447" s="12">
        <f>VLOOKUP(D1447,Dim_Customer!$A$2:$I$121,6,FALSE)</f>
        <v/>
      </c>
      <c r="W1447" s="12">
        <f>VLOOKUP(G1447,Dim_Channel!$A$2:$B$5,2,FALSE)</f>
        <v/>
      </c>
      <c r="X1447" s="12">
        <f>VLOOKUP(H1447,Dim_Promotion!$A$2:$G$11,2,FALSE)</f>
        <v/>
      </c>
    </row>
    <row r="1448">
      <c r="A1448" s="4" t="inlineStr">
        <is>
          <t>SL1447</t>
        </is>
      </c>
      <c r="B1448" t="inlineStr">
        <is>
          <t>O010724</t>
        </is>
      </c>
      <c r="C1448" t="n">
        <v>20251012</v>
      </c>
      <c r="D1448" s="4" t="inlineStr">
        <is>
          <t>C015</t>
        </is>
      </c>
      <c r="E1448" s="4" t="inlineStr">
        <is>
          <t>P051</t>
        </is>
      </c>
      <c r="F1448" t="inlineStr">
        <is>
          <t>XL</t>
        </is>
      </c>
      <c r="G1448" s="4" t="inlineStr">
        <is>
          <t>CH01</t>
        </is>
      </c>
      <c r="H1448" s="4" t="inlineStr">
        <is>
          <t>PR00</t>
        </is>
      </c>
      <c r="I1448" s="8" t="n">
        <v>71</v>
      </c>
      <c r="J1448" s="9" t="n">
        <v>0</v>
      </c>
      <c r="K1448" s="10">
        <f>I1448*(1-J1448)</f>
        <v/>
      </c>
      <c r="L1448" s="11" t="n">
        <v>1</v>
      </c>
      <c r="M1448" s="10">
        <f>K1448*L1448</f>
        <v/>
      </c>
      <c r="N1448" s="8" t="n">
        <v>28.88</v>
      </c>
      <c r="O1448" s="10">
        <f>N1448*L1448</f>
        <v/>
      </c>
      <c r="P1448" s="10">
        <f>M1448-O1448</f>
        <v/>
      </c>
      <c r="Q1448" s="11" t="inlineStr">
        <is>
          <t>No</t>
        </is>
      </c>
      <c r="R1448" s="11" t="n">
        <v>0</v>
      </c>
      <c r="S1448" s="10">
        <f>M1448-(R1448*K1448)</f>
        <v/>
      </c>
      <c r="T1448" s="12">
        <f>VLOOKUP(E1448,Dim_Product!$A$2:$Q$61,3,FALSE)</f>
        <v/>
      </c>
      <c r="U1448" s="12">
        <f>VLOOKUP(E1448,Dim_Product!$A$2:$Q$61,4,FALSE)</f>
        <v/>
      </c>
      <c r="V1448" s="12">
        <f>VLOOKUP(D1448,Dim_Customer!$A$2:$I$121,6,FALSE)</f>
        <v/>
      </c>
      <c r="W1448" s="12">
        <f>VLOOKUP(G1448,Dim_Channel!$A$2:$B$5,2,FALSE)</f>
        <v/>
      </c>
      <c r="X1448" s="12">
        <f>VLOOKUP(H1448,Dim_Promotion!$A$2:$G$11,2,FALSE)</f>
        <v/>
      </c>
    </row>
    <row r="1449">
      <c r="A1449" s="4" t="inlineStr">
        <is>
          <t>SL1448</t>
        </is>
      </c>
      <c r="B1449" t="inlineStr">
        <is>
          <t>O010724</t>
        </is>
      </c>
      <c r="C1449" t="n">
        <v>20250914</v>
      </c>
      <c r="D1449" s="4" t="inlineStr">
        <is>
          <t>C104</t>
        </is>
      </c>
      <c r="E1449" s="4" t="inlineStr">
        <is>
          <t>P032</t>
        </is>
      </c>
      <c r="F1449" t="inlineStr">
        <is>
          <t>XS</t>
        </is>
      </c>
      <c r="G1449" s="4" t="inlineStr">
        <is>
          <t>CH01</t>
        </is>
      </c>
      <c r="H1449" s="4" t="inlineStr">
        <is>
          <t>PR00</t>
        </is>
      </c>
      <c r="I1449" s="8" t="n">
        <v>114</v>
      </c>
      <c r="J1449" s="9" t="n">
        <v>0</v>
      </c>
      <c r="K1449" s="10">
        <f>I1449*(1-J1449)</f>
        <v/>
      </c>
      <c r="L1449" s="11" t="n">
        <v>2</v>
      </c>
      <c r="M1449" s="10">
        <f>K1449*L1449</f>
        <v/>
      </c>
      <c r="N1449" s="8" t="n">
        <v>57.45</v>
      </c>
      <c r="O1449" s="10">
        <f>N1449*L1449</f>
        <v/>
      </c>
      <c r="P1449" s="10">
        <f>M1449-O1449</f>
        <v/>
      </c>
      <c r="Q1449" s="11" t="inlineStr">
        <is>
          <t>Yes</t>
        </is>
      </c>
      <c r="R1449" s="11" t="n">
        <v>2</v>
      </c>
      <c r="S1449" s="10">
        <f>M1449-(R1449*K1449)</f>
        <v/>
      </c>
      <c r="T1449" s="12">
        <f>VLOOKUP(E1449,Dim_Product!$A$2:$Q$61,3,FALSE)</f>
        <v/>
      </c>
      <c r="U1449" s="12">
        <f>VLOOKUP(E1449,Dim_Product!$A$2:$Q$61,4,FALSE)</f>
        <v/>
      </c>
      <c r="V1449" s="12">
        <f>VLOOKUP(D1449,Dim_Customer!$A$2:$I$121,6,FALSE)</f>
        <v/>
      </c>
      <c r="W1449" s="12">
        <f>VLOOKUP(G1449,Dim_Channel!$A$2:$B$5,2,FALSE)</f>
        <v/>
      </c>
      <c r="X1449" s="12">
        <f>VLOOKUP(H1449,Dim_Promotion!$A$2:$G$11,2,FALSE)</f>
        <v/>
      </c>
    </row>
    <row r="1450">
      <c r="A1450" s="4" t="inlineStr">
        <is>
          <t>SL1449</t>
        </is>
      </c>
      <c r="B1450" t="inlineStr">
        <is>
          <t>O010725</t>
        </is>
      </c>
      <c r="C1450" t="n">
        <v>20251219</v>
      </c>
      <c r="D1450" s="4" t="inlineStr">
        <is>
          <t>C065</t>
        </is>
      </c>
      <c r="E1450" s="4" t="inlineStr">
        <is>
          <t>P029</t>
        </is>
      </c>
      <c r="F1450" t="inlineStr">
        <is>
          <t>M</t>
        </is>
      </c>
      <c r="G1450" s="4" t="inlineStr">
        <is>
          <t>CH02</t>
        </is>
      </c>
      <c r="H1450" s="4" t="inlineStr">
        <is>
          <t>PR00</t>
        </is>
      </c>
      <c r="I1450" s="8" t="n">
        <v>112</v>
      </c>
      <c r="J1450" s="9" t="n">
        <v>0</v>
      </c>
      <c r="K1450" s="10">
        <f>I1450*(1-J1450)</f>
        <v/>
      </c>
      <c r="L1450" s="11" t="n">
        <v>1</v>
      </c>
      <c r="M1450" s="10">
        <f>K1450*L1450</f>
        <v/>
      </c>
      <c r="N1450" s="8" t="n">
        <v>56.24</v>
      </c>
      <c r="O1450" s="10">
        <f>N1450*L1450</f>
        <v/>
      </c>
      <c r="P1450" s="10">
        <f>M1450-O1450</f>
        <v/>
      </c>
      <c r="Q1450" s="11" t="inlineStr">
        <is>
          <t>No</t>
        </is>
      </c>
      <c r="R1450" s="11" t="n">
        <v>0</v>
      </c>
      <c r="S1450" s="10">
        <f>M1450-(R1450*K1450)</f>
        <v/>
      </c>
      <c r="T1450" s="12">
        <f>VLOOKUP(E1450,Dim_Product!$A$2:$Q$61,3,FALSE)</f>
        <v/>
      </c>
      <c r="U1450" s="12">
        <f>VLOOKUP(E1450,Dim_Product!$A$2:$Q$61,4,FALSE)</f>
        <v/>
      </c>
      <c r="V1450" s="12">
        <f>VLOOKUP(D1450,Dim_Customer!$A$2:$I$121,6,FALSE)</f>
        <v/>
      </c>
      <c r="W1450" s="12">
        <f>VLOOKUP(G1450,Dim_Channel!$A$2:$B$5,2,FALSE)</f>
        <v/>
      </c>
      <c r="X1450" s="12">
        <f>VLOOKUP(H1450,Dim_Promotion!$A$2:$G$11,2,FALSE)</f>
        <v/>
      </c>
    </row>
    <row r="1451">
      <c r="A1451" s="4" t="inlineStr">
        <is>
          <t>SL1450</t>
        </is>
      </c>
      <c r="B1451" t="inlineStr">
        <is>
          <t>O010725</t>
        </is>
      </c>
      <c r="C1451" t="n">
        <v>20250627</v>
      </c>
      <c r="D1451" s="4" t="inlineStr">
        <is>
          <t>C033</t>
        </is>
      </c>
      <c r="E1451" s="4" t="inlineStr">
        <is>
          <t>P005</t>
        </is>
      </c>
      <c r="F1451" t="inlineStr">
        <is>
          <t>L</t>
        </is>
      </c>
      <c r="G1451" s="4" t="inlineStr">
        <is>
          <t>CH02</t>
        </is>
      </c>
      <c r="H1451" s="4" t="inlineStr">
        <is>
          <t>PR00</t>
        </is>
      </c>
      <c r="I1451" s="8" t="n">
        <v>52</v>
      </c>
      <c r="J1451" s="9" t="n">
        <v>0</v>
      </c>
      <c r="K1451" s="10">
        <f>I1451*(1-J1451)</f>
        <v/>
      </c>
      <c r="L1451" s="11" t="n">
        <v>1</v>
      </c>
      <c r="M1451" s="10">
        <f>K1451*L1451</f>
        <v/>
      </c>
      <c r="N1451" s="8" t="n">
        <v>20.59</v>
      </c>
      <c r="O1451" s="10">
        <f>N1451*L1451</f>
        <v/>
      </c>
      <c r="P1451" s="10">
        <f>M1451-O1451</f>
        <v/>
      </c>
      <c r="Q1451" s="11" t="inlineStr">
        <is>
          <t>No</t>
        </is>
      </c>
      <c r="R1451" s="11" t="n">
        <v>0</v>
      </c>
      <c r="S1451" s="10">
        <f>M1451-(R1451*K1451)</f>
        <v/>
      </c>
      <c r="T1451" s="12">
        <f>VLOOKUP(E1451,Dim_Product!$A$2:$Q$61,3,FALSE)</f>
        <v/>
      </c>
      <c r="U1451" s="12">
        <f>VLOOKUP(E1451,Dim_Product!$A$2:$Q$61,4,FALSE)</f>
        <v/>
      </c>
      <c r="V1451" s="12">
        <f>VLOOKUP(D1451,Dim_Customer!$A$2:$I$121,6,FALSE)</f>
        <v/>
      </c>
      <c r="W1451" s="12">
        <f>VLOOKUP(G1451,Dim_Channel!$A$2:$B$5,2,FALSE)</f>
        <v/>
      </c>
      <c r="X1451" s="12">
        <f>VLOOKUP(H1451,Dim_Promotion!$A$2:$G$11,2,FALSE)</f>
        <v/>
      </c>
    </row>
    <row r="1452">
      <c r="A1452" s="4" t="inlineStr">
        <is>
          <t>SL1451</t>
        </is>
      </c>
      <c r="B1452" t="inlineStr">
        <is>
          <t>O010726</t>
        </is>
      </c>
      <c r="C1452" t="n">
        <v>20251206</v>
      </c>
      <c r="D1452" s="4" t="inlineStr">
        <is>
          <t>C070</t>
        </is>
      </c>
      <c r="E1452" s="4" t="inlineStr">
        <is>
          <t>P007</t>
        </is>
      </c>
      <c r="F1452" t="inlineStr">
        <is>
          <t>M</t>
        </is>
      </c>
      <c r="G1452" s="4" t="inlineStr">
        <is>
          <t>CH02</t>
        </is>
      </c>
      <c r="H1452" s="4" t="inlineStr">
        <is>
          <t>PR00</t>
        </is>
      </c>
      <c r="I1452" s="8" t="n">
        <v>50</v>
      </c>
      <c r="J1452" s="9" t="n">
        <v>0</v>
      </c>
      <c r="K1452" s="10">
        <f>I1452*(1-J1452)</f>
        <v/>
      </c>
      <c r="L1452" s="11" t="n">
        <v>1</v>
      </c>
      <c r="M1452" s="10">
        <f>K1452*L1452</f>
        <v/>
      </c>
      <c r="N1452" s="8" t="n">
        <v>22.68</v>
      </c>
      <c r="O1452" s="10">
        <f>N1452*L1452</f>
        <v/>
      </c>
      <c r="P1452" s="10">
        <f>M1452-O1452</f>
        <v/>
      </c>
      <c r="Q1452" s="11" t="inlineStr">
        <is>
          <t>No</t>
        </is>
      </c>
      <c r="R1452" s="11" t="n">
        <v>0</v>
      </c>
      <c r="S1452" s="10">
        <f>M1452-(R1452*K1452)</f>
        <v/>
      </c>
      <c r="T1452" s="12">
        <f>VLOOKUP(E1452,Dim_Product!$A$2:$Q$61,3,FALSE)</f>
        <v/>
      </c>
      <c r="U1452" s="12">
        <f>VLOOKUP(E1452,Dim_Product!$A$2:$Q$61,4,FALSE)</f>
        <v/>
      </c>
      <c r="V1452" s="12">
        <f>VLOOKUP(D1452,Dim_Customer!$A$2:$I$121,6,FALSE)</f>
        <v/>
      </c>
      <c r="W1452" s="12">
        <f>VLOOKUP(G1452,Dim_Channel!$A$2:$B$5,2,FALSE)</f>
        <v/>
      </c>
      <c r="X1452" s="12">
        <f>VLOOKUP(H1452,Dim_Promotion!$A$2:$G$11,2,FALSE)</f>
        <v/>
      </c>
    </row>
    <row r="1453">
      <c r="A1453" s="4" t="inlineStr">
        <is>
          <t>SL1452</t>
        </is>
      </c>
      <c r="B1453" t="inlineStr">
        <is>
          <t>O010726</t>
        </is>
      </c>
      <c r="C1453" t="n">
        <v>20250403</v>
      </c>
      <c r="D1453" s="4" t="inlineStr">
        <is>
          <t>C079</t>
        </is>
      </c>
      <c r="E1453" s="4" t="inlineStr">
        <is>
          <t>P003</t>
        </is>
      </c>
      <c r="F1453" t="inlineStr">
        <is>
          <t>M</t>
        </is>
      </c>
      <c r="G1453" s="4" t="inlineStr">
        <is>
          <t>CH01</t>
        </is>
      </c>
      <c r="H1453" s="4" t="inlineStr">
        <is>
          <t>PR00</t>
        </is>
      </c>
      <c r="I1453" s="8" t="n">
        <v>40</v>
      </c>
      <c r="J1453" s="9" t="n">
        <v>0</v>
      </c>
      <c r="K1453" s="10">
        <f>I1453*(1-J1453)</f>
        <v/>
      </c>
      <c r="L1453" s="11" t="n">
        <v>1</v>
      </c>
      <c r="M1453" s="10">
        <f>K1453*L1453</f>
        <v/>
      </c>
      <c r="N1453" s="8" t="n">
        <v>20.43</v>
      </c>
      <c r="O1453" s="10">
        <f>N1453*L1453</f>
        <v/>
      </c>
      <c r="P1453" s="10">
        <f>M1453-O1453</f>
        <v/>
      </c>
      <c r="Q1453" s="11" t="inlineStr">
        <is>
          <t>No</t>
        </is>
      </c>
      <c r="R1453" s="11" t="n">
        <v>0</v>
      </c>
      <c r="S1453" s="10">
        <f>M1453-(R1453*K1453)</f>
        <v/>
      </c>
      <c r="T1453" s="12">
        <f>VLOOKUP(E1453,Dim_Product!$A$2:$Q$61,3,FALSE)</f>
        <v/>
      </c>
      <c r="U1453" s="12">
        <f>VLOOKUP(E1453,Dim_Product!$A$2:$Q$61,4,FALSE)</f>
        <v/>
      </c>
      <c r="V1453" s="12">
        <f>VLOOKUP(D1453,Dim_Customer!$A$2:$I$121,6,FALSE)</f>
        <v/>
      </c>
      <c r="W1453" s="12">
        <f>VLOOKUP(G1453,Dim_Channel!$A$2:$B$5,2,FALSE)</f>
        <v/>
      </c>
      <c r="X1453" s="12">
        <f>VLOOKUP(H1453,Dim_Promotion!$A$2:$G$11,2,FALSE)</f>
        <v/>
      </c>
    </row>
    <row r="1454">
      <c r="A1454" s="4" t="inlineStr">
        <is>
          <t>SL1453</t>
        </is>
      </c>
      <c r="B1454" t="inlineStr">
        <is>
          <t>O010727</t>
        </is>
      </c>
      <c r="C1454" t="n">
        <v>20251109</v>
      </c>
      <c r="D1454" s="4" t="inlineStr">
        <is>
          <t>C013</t>
        </is>
      </c>
      <c r="E1454" s="4" t="inlineStr">
        <is>
          <t>P033</t>
        </is>
      </c>
      <c r="F1454" t="inlineStr">
        <is>
          <t>M</t>
        </is>
      </c>
      <c r="G1454" s="4" t="inlineStr">
        <is>
          <t>CH03</t>
        </is>
      </c>
      <c r="H1454" s="4" t="inlineStr">
        <is>
          <t>PR00</t>
        </is>
      </c>
      <c r="I1454" s="8" t="n">
        <v>84</v>
      </c>
      <c r="J1454" s="9" t="n">
        <v>0</v>
      </c>
      <c r="K1454" s="10">
        <f>I1454*(1-J1454)</f>
        <v/>
      </c>
      <c r="L1454" s="11" t="n">
        <v>1</v>
      </c>
      <c r="M1454" s="10">
        <f>K1454*L1454</f>
        <v/>
      </c>
      <c r="N1454" s="8" t="n">
        <v>42.38</v>
      </c>
      <c r="O1454" s="10">
        <f>N1454*L1454</f>
        <v/>
      </c>
      <c r="P1454" s="10">
        <f>M1454-O1454</f>
        <v/>
      </c>
      <c r="Q1454" s="11" t="inlineStr">
        <is>
          <t>No</t>
        </is>
      </c>
      <c r="R1454" s="11" t="n">
        <v>0</v>
      </c>
      <c r="S1454" s="10">
        <f>M1454-(R1454*K1454)</f>
        <v/>
      </c>
      <c r="T1454" s="12">
        <f>VLOOKUP(E1454,Dim_Product!$A$2:$Q$61,3,FALSE)</f>
        <v/>
      </c>
      <c r="U1454" s="12">
        <f>VLOOKUP(E1454,Dim_Product!$A$2:$Q$61,4,FALSE)</f>
        <v/>
      </c>
      <c r="V1454" s="12">
        <f>VLOOKUP(D1454,Dim_Customer!$A$2:$I$121,6,FALSE)</f>
        <v/>
      </c>
      <c r="W1454" s="12">
        <f>VLOOKUP(G1454,Dim_Channel!$A$2:$B$5,2,FALSE)</f>
        <v/>
      </c>
      <c r="X1454" s="12">
        <f>VLOOKUP(H1454,Dim_Promotion!$A$2:$G$11,2,FALSE)</f>
        <v/>
      </c>
    </row>
    <row r="1455">
      <c r="A1455" s="4" t="inlineStr">
        <is>
          <t>SL1454</t>
        </is>
      </c>
      <c r="B1455" t="inlineStr">
        <is>
          <t>O010727</t>
        </is>
      </c>
      <c r="C1455" t="n">
        <v>20250221</v>
      </c>
      <c r="D1455" s="4" t="inlineStr">
        <is>
          <t>C119</t>
        </is>
      </c>
      <c r="E1455" s="4" t="inlineStr">
        <is>
          <t>P032</t>
        </is>
      </c>
      <c r="F1455" t="inlineStr">
        <is>
          <t>M</t>
        </is>
      </c>
      <c r="G1455" s="4" t="inlineStr">
        <is>
          <t>CH04</t>
        </is>
      </c>
      <c r="H1455" s="4" t="inlineStr">
        <is>
          <t>PR00</t>
        </is>
      </c>
      <c r="I1455" s="8" t="n">
        <v>114</v>
      </c>
      <c r="J1455" s="9" t="n">
        <v>0</v>
      </c>
      <c r="K1455" s="10">
        <f>I1455*(1-J1455)</f>
        <v/>
      </c>
      <c r="L1455" s="11" t="n">
        <v>2</v>
      </c>
      <c r="M1455" s="10">
        <f>K1455*L1455</f>
        <v/>
      </c>
      <c r="N1455" s="8" t="n">
        <v>55.57</v>
      </c>
      <c r="O1455" s="10">
        <f>N1455*L1455</f>
        <v/>
      </c>
      <c r="P1455" s="10">
        <f>M1455-O1455</f>
        <v/>
      </c>
      <c r="Q1455" s="11" t="inlineStr">
        <is>
          <t>No</t>
        </is>
      </c>
      <c r="R1455" s="11" t="n">
        <v>0</v>
      </c>
      <c r="S1455" s="10">
        <f>M1455-(R1455*K1455)</f>
        <v/>
      </c>
      <c r="T1455" s="12">
        <f>VLOOKUP(E1455,Dim_Product!$A$2:$Q$61,3,FALSE)</f>
        <v/>
      </c>
      <c r="U1455" s="12">
        <f>VLOOKUP(E1455,Dim_Product!$A$2:$Q$61,4,FALSE)</f>
        <v/>
      </c>
      <c r="V1455" s="12">
        <f>VLOOKUP(D1455,Dim_Customer!$A$2:$I$121,6,FALSE)</f>
        <v/>
      </c>
      <c r="W1455" s="12">
        <f>VLOOKUP(G1455,Dim_Channel!$A$2:$B$5,2,FALSE)</f>
        <v/>
      </c>
      <c r="X1455" s="12">
        <f>VLOOKUP(H1455,Dim_Promotion!$A$2:$G$11,2,FALSE)</f>
        <v/>
      </c>
    </row>
    <row r="1456">
      <c r="A1456" s="4" t="inlineStr">
        <is>
          <t>SL1455</t>
        </is>
      </c>
      <c r="B1456" t="inlineStr">
        <is>
          <t>O010728</t>
        </is>
      </c>
      <c r="C1456" t="n">
        <v>20250216</v>
      </c>
      <c r="D1456" s="4" t="inlineStr">
        <is>
          <t>C108</t>
        </is>
      </c>
      <c r="E1456" s="4" t="inlineStr">
        <is>
          <t>P017</t>
        </is>
      </c>
      <c r="F1456" t="inlineStr">
        <is>
          <t>S</t>
        </is>
      </c>
      <c r="G1456" s="4" t="inlineStr">
        <is>
          <t>CH01</t>
        </is>
      </c>
      <c r="H1456" s="4" t="inlineStr">
        <is>
          <t>PR00</t>
        </is>
      </c>
      <c r="I1456" s="8" t="n">
        <v>68</v>
      </c>
      <c r="J1456" s="9" t="n">
        <v>0</v>
      </c>
      <c r="K1456" s="10">
        <f>I1456*(1-J1456)</f>
        <v/>
      </c>
      <c r="L1456" s="11" t="n">
        <v>1</v>
      </c>
      <c r="M1456" s="10">
        <f>K1456*L1456</f>
        <v/>
      </c>
      <c r="N1456" s="8" t="n">
        <v>31.55</v>
      </c>
      <c r="O1456" s="10">
        <f>N1456*L1456</f>
        <v/>
      </c>
      <c r="P1456" s="10">
        <f>M1456-O1456</f>
        <v/>
      </c>
      <c r="Q1456" s="11" t="inlineStr">
        <is>
          <t>No</t>
        </is>
      </c>
      <c r="R1456" s="11" t="n">
        <v>0</v>
      </c>
      <c r="S1456" s="10">
        <f>M1456-(R1456*K1456)</f>
        <v/>
      </c>
      <c r="T1456" s="12">
        <f>VLOOKUP(E1456,Dim_Product!$A$2:$Q$61,3,FALSE)</f>
        <v/>
      </c>
      <c r="U1456" s="12">
        <f>VLOOKUP(E1456,Dim_Product!$A$2:$Q$61,4,FALSE)</f>
        <v/>
      </c>
      <c r="V1456" s="12">
        <f>VLOOKUP(D1456,Dim_Customer!$A$2:$I$121,6,FALSE)</f>
        <v/>
      </c>
      <c r="W1456" s="12">
        <f>VLOOKUP(G1456,Dim_Channel!$A$2:$B$5,2,FALSE)</f>
        <v/>
      </c>
      <c r="X1456" s="12">
        <f>VLOOKUP(H1456,Dim_Promotion!$A$2:$G$11,2,FALSE)</f>
        <v/>
      </c>
    </row>
    <row r="1457">
      <c r="A1457" s="4" t="inlineStr">
        <is>
          <t>SL1456</t>
        </is>
      </c>
      <c r="B1457" t="inlineStr">
        <is>
          <t>O010728</t>
        </is>
      </c>
      <c r="C1457" t="n">
        <v>20250902</v>
      </c>
      <c r="D1457" s="4" t="inlineStr">
        <is>
          <t>C025</t>
        </is>
      </c>
      <c r="E1457" s="4" t="inlineStr">
        <is>
          <t>P017</t>
        </is>
      </c>
      <c r="F1457" t="inlineStr">
        <is>
          <t>XS</t>
        </is>
      </c>
      <c r="G1457" s="4" t="inlineStr">
        <is>
          <t>CH01</t>
        </is>
      </c>
      <c r="H1457" s="4" t="inlineStr">
        <is>
          <t>PR00</t>
        </is>
      </c>
      <c r="I1457" s="8" t="n">
        <v>69</v>
      </c>
      <c r="J1457" s="9" t="n">
        <v>0.08</v>
      </c>
      <c r="K1457" s="10">
        <f>I1457*(1-J1457)</f>
        <v/>
      </c>
      <c r="L1457" s="11" t="n">
        <v>1</v>
      </c>
      <c r="M1457" s="10">
        <f>K1457*L1457</f>
        <v/>
      </c>
      <c r="N1457" s="8" t="n">
        <v>31.69</v>
      </c>
      <c r="O1457" s="10">
        <f>N1457*L1457</f>
        <v/>
      </c>
      <c r="P1457" s="10">
        <f>M1457-O1457</f>
        <v/>
      </c>
      <c r="Q1457" s="11" t="inlineStr">
        <is>
          <t>No</t>
        </is>
      </c>
      <c r="R1457" s="11" t="n">
        <v>0</v>
      </c>
      <c r="S1457" s="10">
        <f>M1457-(R1457*K1457)</f>
        <v/>
      </c>
      <c r="T1457" s="12">
        <f>VLOOKUP(E1457,Dim_Product!$A$2:$Q$61,3,FALSE)</f>
        <v/>
      </c>
      <c r="U1457" s="12">
        <f>VLOOKUP(E1457,Dim_Product!$A$2:$Q$61,4,FALSE)</f>
        <v/>
      </c>
      <c r="V1457" s="12">
        <f>VLOOKUP(D1457,Dim_Customer!$A$2:$I$121,6,FALSE)</f>
        <v/>
      </c>
      <c r="W1457" s="12">
        <f>VLOOKUP(G1457,Dim_Channel!$A$2:$B$5,2,FALSE)</f>
        <v/>
      </c>
      <c r="X1457" s="12">
        <f>VLOOKUP(H1457,Dim_Promotion!$A$2:$G$11,2,FALSE)</f>
        <v/>
      </c>
    </row>
    <row r="1458">
      <c r="A1458" s="4" t="inlineStr">
        <is>
          <t>SL1457</t>
        </is>
      </c>
      <c r="B1458" t="inlineStr">
        <is>
          <t>O010729</t>
        </is>
      </c>
      <c r="C1458" t="n">
        <v>20250302</v>
      </c>
      <c r="D1458" s="4" t="inlineStr">
        <is>
          <t>C005</t>
        </is>
      </c>
      <c r="E1458" s="4" t="inlineStr">
        <is>
          <t>P023</t>
        </is>
      </c>
      <c r="F1458" t="inlineStr">
        <is>
          <t>L</t>
        </is>
      </c>
      <c r="G1458" s="4" t="inlineStr">
        <is>
          <t>CH02</t>
        </is>
      </c>
      <c r="H1458" s="4" t="inlineStr">
        <is>
          <t>PR00</t>
        </is>
      </c>
      <c r="I1458" s="8" t="n">
        <v>58</v>
      </c>
      <c r="J1458" s="9" t="n">
        <v>0</v>
      </c>
      <c r="K1458" s="10">
        <f>I1458*(1-J1458)</f>
        <v/>
      </c>
      <c r="L1458" s="11" t="n">
        <v>1</v>
      </c>
      <c r="M1458" s="10">
        <f>K1458*L1458</f>
        <v/>
      </c>
      <c r="N1458" s="8" t="n">
        <v>26.01</v>
      </c>
      <c r="O1458" s="10">
        <f>N1458*L1458</f>
        <v/>
      </c>
      <c r="P1458" s="10">
        <f>M1458-O1458</f>
        <v/>
      </c>
      <c r="Q1458" s="11" t="inlineStr">
        <is>
          <t>No</t>
        </is>
      </c>
      <c r="R1458" s="11" t="n">
        <v>0</v>
      </c>
      <c r="S1458" s="10">
        <f>M1458-(R1458*K1458)</f>
        <v/>
      </c>
      <c r="T1458" s="12">
        <f>VLOOKUP(E1458,Dim_Product!$A$2:$Q$61,3,FALSE)</f>
        <v/>
      </c>
      <c r="U1458" s="12">
        <f>VLOOKUP(E1458,Dim_Product!$A$2:$Q$61,4,FALSE)</f>
        <v/>
      </c>
      <c r="V1458" s="12">
        <f>VLOOKUP(D1458,Dim_Customer!$A$2:$I$121,6,FALSE)</f>
        <v/>
      </c>
      <c r="W1458" s="12">
        <f>VLOOKUP(G1458,Dim_Channel!$A$2:$B$5,2,FALSE)</f>
        <v/>
      </c>
      <c r="X1458" s="12">
        <f>VLOOKUP(H1458,Dim_Promotion!$A$2:$G$11,2,FALSE)</f>
        <v/>
      </c>
    </row>
    <row r="1459">
      <c r="A1459" s="4" t="inlineStr">
        <is>
          <t>SL1458</t>
        </is>
      </c>
      <c r="B1459" t="inlineStr">
        <is>
          <t>O010729</t>
        </is>
      </c>
      <c r="C1459" t="n">
        <v>20250502</v>
      </c>
      <c r="D1459" s="4" t="inlineStr">
        <is>
          <t>C013</t>
        </is>
      </c>
      <c r="E1459" s="4" t="inlineStr">
        <is>
          <t>P028</t>
        </is>
      </c>
      <c r="F1459" t="inlineStr">
        <is>
          <t>XL</t>
        </is>
      </c>
      <c r="G1459" s="4" t="inlineStr">
        <is>
          <t>CH02</t>
        </is>
      </c>
      <c r="H1459" s="4" t="inlineStr">
        <is>
          <t>PR00</t>
        </is>
      </c>
      <c r="I1459" s="8" t="n">
        <v>98</v>
      </c>
      <c r="J1459" s="9" t="n">
        <v>0</v>
      </c>
      <c r="K1459" s="10">
        <f>I1459*(1-J1459)</f>
        <v/>
      </c>
      <c r="L1459" s="11" t="n">
        <v>1</v>
      </c>
      <c r="M1459" s="10">
        <f>K1459*L1459</f>
        <v/>
      </c>
      <c r="N1459" s="8" t="n">
        <v>48.37</v>
      </c>
      <c r="O1459" s="10">
        <f>N1459*L1459</f>
        <v/>
      </c>
      <c r="P1459" s="10">
        <f>M1459-O1459</f>
        <v/>
      </c>
      <c r="Q1459" s="11" t="inlineStr">
        <is>
          <t>No</t>
        </is>
      </c>
      <c r="R1459" s="11" t="n">
        <v>0</v>
      </c>
      <c r="S1459" s="10">
        <f>M1459-(R1459*K1459)</f>
        <v/>
      </c>
      <c r="T1459" s="12">
        <f>VLOOKUP(E1459,Dim_Product!$A$2:$Q$61,3,FALSE)</f>
        <v/>
      </c>
      <c r="U1459" s="12">
        <f>VLOOKUP(E1459,Dim_Product!$A$2:$Q$61,4,FALSE)</f>
        <v/>
      </c>
      <c r="V1459" s="12">
        <f>VLOOKUP(D1459,Dim_Customer!$A$2:$I$121,6,FALSE)</f>
        <v/>
      </c>
      <c r="W1459" s="12">
        <f>VLOOKUP(G1459,Dim_Channel!$A$2:$B$5,2,FALSE)</f>
        <v/>
      </c>
      <c r="X1459" s="12">
        <f>VLOOKUP(H1459,Dim_Promotion!$A$2:$G$11,2,FALSE)</f>
        <v/>
      </c>
    </row>
    <row r="1460">
      <c r="A1460" s="4" t="inlineStr">
        <is>
          <t>SL1459</t>
        </is>
      </c>
      <c r="B1460" t="inlineStr">
        <is>
          <t>O010730</t>
        </is>
      </c>
      <c r="C1460" t="n">
        <v>20251021</v>
      </c>
      <c r="D1460" s="4" t="inlineStr">
        <is>
          <t>C058</t>
        </is>
      </c>
      <c r="E1460" s="4" t="inlineStr">
        <is>
          <t>P010</t>
        </is>
      </c>
      <c r="F1460" t="inlineStr">
        <is>
          <t>M</t>
        </is>
      </c>
      <c r="G1460" s="4" t="inlineStr">
        <is>
          <t>CH03</t>
        </is>
      </c>
      <c r="H1460" s="4" t="inlineStr">
        <is>
          <t>PR00</t>
        </is>
      </c>
      <c r="I1460" s="8" t="n">
        <v>50</v>
      </c>
      <c r="J1460" s="9" t="n">
        <v>0</v>
      </c>
      <c r="K1460" s="10">
        <f>I1460*(1-J1460)</f>
        <v/>
      </c>
      <c r="L1460" s="11" t="n">
        <v>1</v>
      </c>
      <c r="M1460" s="10">
        <f>K1460*L1460</f>
        <v/>
      </c>
      <c r="N1460" s="8" t="n">
        <v>19.69</v>
      </c>
      <c r="O1460" s="10">
        <f>N1460*L1460</f>
        <v/>
      </c>
      <c r="P1460" s="10">
        <f>M1460-O1460</f>
        <v/>
      </c>
      <c r="Q1460" s="11" t="inlineStr">
        <is>
          <t>No</t>
        </is>
      </c>
      <c r="R1460" s="11" t="n">
        <v>0</v>
      </c>
      <c r="S1460" s="10">
        <f>M1460-(R1460*K1460)</f>
        <v/>
      </c>
      <c r="T1460" s="12">
        <f>VLOOKUP(E1460,Dim_Product!$A$2:$Q$61,3,FALSE)</f>
        <v/>
      </c>
      <c r="U1460" s="12">
        <f>VLOOKUP(E1460,Dim_Product!$A$2:$Q$61,4,FALSE)</f>
        <v/>
      </c>
      <c r="V1460" s="12">
        <f>VLOOKUP(D1460,Dim_Customer!$A$2:$I$121,6,FALSE)</f>
        <v/>
      </c>
      <c r="W1460" s="12">
        <f>VLOOKUP(G1460,Dim_Channel!$A$2:$B$5,2,FALSE)</f>
        <v/>
      </c>
      <c r="X1460" s="12">
        <f>VLOOKUP(H1460,Dim_Promotion!$A$2:$G$11,2,FALSE)</f>
        <v/>
      </c>
    </row>
    <row r="1461">
      <c r="A1461" s="4" t="inlineStr">
        <is>
          <t>SL1460</t>
        </is>
      </c>
      <c r="B1461" t="inlineStr">
        <is>
          <t>O010730</t>
        </is>
      </c>
      <c r="C1461" t="n">
        <v>20250304</v>
      </c>
      <c r="D1461" s="4" t="inlineStr">
        <is>
          <t>C004</t>
        </is>
      </c>
      <c r="E1461" s="4" t="inlineStr">
        <is>
          <t>P047</t>
        </is>
      </c>
      <c r="F1461" t="inlineStr">
        <is>
          <t>L</t>
        </is>
      </c>
      <c r="G1461" s="4" t="inlineStr">
        <is>
          <t>CH03</t>
        </is>
      </c>
      <c r="H1461" s="4" t="inlineStr">
        <is>
          <t>PR00</t>
        </is>
      </c>
      <c r="I1461" s="8" t="n">
        <v>73</v>
      </c>
      <c r="J1461" s="9" t="n">
        <v>0</v>
      </c>
      <c r="K1461" s="10">
        <f>I1461*(1-J1461)</f>
        <v/>
      </c>
      <c r="L1461" s="11" t="n">
        <v>2</v>
      </c>
      <c r="M1461" s="10">
        <f>K1461*L1461</f>
        <v/>
      </c>
      <c r="N1461" s="8" t="n">
        <v>32.24</v>
      </c>
      <c r="O1461" s="10">
        <f>N1461*L1461</f>
        <v/>
      </c>
      <c r="P1461" s="10">
        <f>M1461-O1461</f>
        <v/>
      </c>
      <c r="Q1461" s="11" t="inlineStr">
        <is>
          <t>No</t>
        </is>
      </c>
      <c r="R1461" s="11" t="n">
        <v>0</v>
      </c>
      <c r="S1461" s="10">
        <f>M1461-(R1461*K1461)</f>
        <v/>
      </c>
      <c r="T1461" s="12">
        <f>VLOOKUP(E1461,Dim_Product!$A$2:$Q$61,3,FALSE)</f>
        <v/>
      </c>
      <c r="U1461" s="12">
        <f>VLOOKUP(E1461,Dim_Product!$A$2:$Q$61,4,FALSE)</f>
        <v/>
      </c>
      <c r="V1461" s="12">
        <f>VLOOKUP(D1461,Dim_Customer!$A$2:$I$121,6,FALSE)</f>
        <v/>
      </c>
      <c r="W1461" s="12">
        <f>VLOOKUP(G1461,Dim_Channel!$A$2:$B$5,2,FALSE)</f>
        <v/>
      </c>
      <c r="X1461" s="12">
        <f>VLOOKUP(H1461,Dim_Promotion!$A$2:$G$11,2,FALSE)</f>
        <v/>
      </c>
    </row>
    <row r="1462">
      <c r="A1462" s="4" t="inlineStr">
        <is>
          <t>SL1461</t>
        </is>
      </c>
      <c r="B1462" t="inlineStr">
        <is>
          <t>O010731</t>
        </is>
      </c>
      <c r="C1462" t="n">
        <v>20250326</v>
      </c>
      <c r="D1462" s="4" t="inlineStr">
        <is>
          <t>C009</t>
        </is>
      </c>
      <c r="E1462" s="4" t="inlineStr">
        <is>
          <t>P027</t>
        </is>
      </c>
      <c r="F1462" t="inlineStr">
        <is>
          <t>M</t>
        </is>
      </c>
      <c r="G1462" s="4" t="inlineStr">
        <is>
          <t>CH02</t>
        </is>
      </c>
      <c r="H1462" s="4" t="inlineStr">
        <is>
          <t>PR00</t>
        </is>
      </c>
      <c r="I1462" s="8" t="n">
        <v>93</v>
      </c>
      <c r="J1462" s="9" t="n">
        <v>0</v>
      </c>
      <c r="K1462" s="10">
        <f>I1462*(1-J1462)</f>
        <v/>
      </c>
      <c r="L1462" s="11" t="n">
        <v>2</v>
      </c>
      <c r="M1462" s="10">
        <f>K1462*L1462</f>
        <v/>
      </c>
      <c r="N1462" s="8" t="n">
        <v>46.15</v>
      </c>
      <c r="O1462" s="10">
        <f>N1462*L1462</f>
        <v/>
      </c>
      <c r="P1462" s="10">
        <f>M1462-O1462</f>
        <v/>
      </c>
      <c r="Q1462" s="11" t="inlineStr">
        <is>
          <t>No</t>
        </is>
      </c>
      <c r="R1462" s="11" t="n">
        <v>0</v>
      </c>
      <c r="S1462" s="10">
        <f>M1462-(R1462*K1462)</f>
        <v/>
      </c>
      <c r="T1462" s="12">
        <f>VLOOKUP(E1462,Dim_Product!$A$2:$Q$61,3,FALSE)</f>
        <v/>
      </c>
      <c r="U1462" s="12">
        <f>VLOOKUP(E1462,Dim_Product!$A$2:$Q$61,4,FALSE)</f>
        <v/>
      </c>
      <c r="V1462" s="12">
        <f>VLOOKUP(D1462,Dim_Customer!$A$2:$I$121,6,FALSE)</f>
        <v/>
      </c>
      <c r="W1462" s="12">
        <f>VLOOKUP(G1462,Dim_Channel!$A$2:$B$5,2,FALSE)</f>
        <v/>
      </c>
      <c r="X1462" s="12">
        <f>VLOOKUP(H1462,Dim_Promotion!$A$2:$G$11,2,FALSE)</f>
        <v/>
      </c>
    </row>
    <row r="1463">
      <c r="A1463" s="4" t="inlineStr">
        <is>
          <t>SL1462</t>
        </is>
      </c>
      <c r="B1463" t="inlineStr">
        <is>
          <t>O010731</t>
        </is>
      </c>
      <c r="C1463" t="n">
        <v>20251129</v>
      </c>
      <c r="D1463" s="4" t="inlineStr">
        <is>
          <t>C017</t>
        </is>
      </c>
      <c r="E1463" s="4" t="inlineStr">
        <is>
          <t>P010</t>
        </is>
      </c>
      <c r="F1463" t="inlineStr">
        <is>
          <t>L</t>
        </is>
      </c>
      <c r="G1463" s="4" t="inlineStr">
        <is>
          <t>CH01</t>
        </is>
      </c>
      <c r="H1463" s="4" t="inlineStr">
        <is>
          <t>PR00</t>
        </is>
      </c>
      <c r="I1463" s="8" t="n">
        <v>50</v>
      </c>
      <c r="J1463" s="9" t="n">
        <v>0</v>
      </c>
      <c r="K1463" s="10">
        <f>I1463*(1-J1463)</f>
        <v/>
      </c>
      <c r="L1463" s="11" t="n">
        <v>1</v>
      </c>
      <c r="M1463" s="10">
        <f>K1463*L1463</f>
        <v/>
      </c>
      <c r="N1463" s="8" t="n">
        <v>19.7</v>
      </c>
      <c r="O1463" s="10">
        <f>N1463*L1463</f>
        <v/>
      </c>
      <c r="P1463" s="10">
        <f>M1463-O1463</f>
        <v/>
      </c>
      <c r="Q1463" s="11" t="inlineStr">
        <is>
          <t>No</t>
        </is>
      </c>
      <c r="R1463" s="11" t="n">
        <v>0</v>
      </c>
      <c r="S1463" s="10">
        <f>M1463-(R1463*K1463)</f>
        <v/>
      </c>
      <c r="T1463" s="12">
        <f>VLOOKUP(E1463,Dim_Product!$A$2:$Q$61,3,FALSE)</f>
        <v/>
      </c>
      <c r="U1463" s="12">
        <f>VLOOKUP(E1463,Dim_Product!$A$2:$Q$61,4,FALSE)</f>
        <v/>
      </c>
      <c r="V1463" s="12">
        <f>VLOOKUP(D1463,Dim_Customer!$A$2:$I$121,6,FALSE)</f>
        <v/>
      </c>
      <c r="W1463" s="12">
        <f>VLOOKUP(G1463,Dim_Channel!$A$2:$B$5,2,FALSE)</f>
        <v/>
      </c>
      <c r="X1463" s="12">
        <f>VLOOKUP(H1463,Dim_Promotion!$A$2:$G$11,2,FALSE)</f>
        <v/>
      </c>
    </row>
    <row r="1464">
      <c r="A1464" s="4" t="inlineStr">
        <is>
          <t>SL1463</t>
        </is>
      </c>
      <c r="B1464" t="inlineStr">
        <is>
          <t>O010732</t>
        </is>
      </c>
      <c r="C1464" t="n">
        <v>20251222</v>
      </c>
      <c r="D1464" s="4" t="inlineStr">
        <is>
          <t>C094</t>
        </is>
      </c>
      <c r="E1464" s="4" t="inlineStr">
        <is>
          <t>P002</t>
        </is>
      </c>
      <c r="F1464" t="inlineStr">
        <is>
          <t>L</t>
        </is>
      </c>
      <c r="G1464" s="4" t="inlineStr">
        <is>
          <t>CH01</t>
        </is>
      </c>
      <c r="H1464" s="4" t="inlineStr">
        <is>
          <t>PR00</t>
        </is>
      </c>
      <c r="I1464" s="8" t="n">
        <v>41</v>
      </c>
      <c r="J1464" s="9" t="n">
        <v>0</v>
      </c>
      <c r="K1464" s="10">
        <f>I1464*(1-J1464)</f>
        <v/>
      </c>
      <c r="L1464" s="11" t="n">
        <v>1</v>
      </c>
      <c r="M1464" s="10">
        <f>K1464*L1464</f>
        <v/>
      </c>
      <c r="N1464" s="8" t="n">
        <v>16.87</v>
      </c>
      <c r="O1464" s="10">
        <f>N1464*L1464</f>
        <v/>
      </c>
      <c r="P1464" s="10">
        <f>M1464-O1464</f>
        <v/>
      </c>
      <c r="Q1464" s="11" t="inlineStr">
        <is>
          <t>No</t>
        </is>
      </c>
      <c r="R1464" s="11" t="n">
        <v>0</v>
      </c>
      <c r="S1464" s="10">
        <f>M1464-(R1464*K1464)</f>
        <v/>
      </c>
      <c r="T1464" s="12">
        <f>VLOOKUP(E1464,Dim_Product!$A$2:$Q$61,3,FALSE)</f>
        <v/>
      </c>
      <c r="U1464" s="12">
        <f>VLOOKUP(E1464,Dim_Product!$A$2:$Q$61,4,FALSE)</f>
        <v/>
      </c>
      <c r="V1464" s="12">
        <f>VLOOKUP(D1464,Dim_Customer!$A$2:$I$121,6,FALSE)</f>
        <v/>
      </c>
      <c r="W1464" s="12">
        <f>VLOOKUP(G1464,Dim_Channel!$A$2:$B$5,2,FALSE)</f>
        <v/>
      </c>
      <c r="X1464" s="12">
        <f>VLOOKUP(H1464,Dim_Promotion!$A$2:$G$11,2,FALSE)</f>
        <v/>
      </c>
    </row>
    <row r="1465">
      <c r="A1465" s="4" t="inlineStr">
        <is>
          <t>SL1464</t>
        </is>
      </c>
      <c r="B1465" t="inlineStr">
        <is>
          <t>O010732</t>
        </is>
      </c>
      <c r="C1465" t="n">
        <v>20250912</v>
      </c>
      <c r="D1465" s="4" t="inlineStr">
        <is>
          <t>C041</t>
        </is>
      </c>
      <c r="E1465" s="4" t="inlineStr">
        <is>
          <t>P027</t>
        </is>
      </c>
      <c r="F1465" t="inlineStr">
        <is>
          <t>M</t>
        </is>
      </c>
      <c r="G1465" s="4" t="inlineStr">
        <is>
          <t>CH03</t>
        </is>
      </c>
      <c r="H1465" s="4" t="inlineStr">
        <is>
          <t>PR07</t>
        </is>
      </c>
      <c r="I1465" s="8" t="n">
        <v>91</v>
      </c>
      <c r="J1465" s="9" t="n">
        <v>0.12</v>
      </c>
      <c r="K1465" s="10">
        <f>I1465*(1-J1465)</f>
        <v/>
      </c>
      <c r="L1465" s="11" t="n">
        <v>3</v>
      </c>
      <c r="M1465" s="10">
        <f>K1465*L1465</f>
        <v/>
      </c>
      <c r="N1465" s="8" t="n">
        <v>45.93</v>
      </c>
      <c r="O1465" s="10">
        <f>N1465*L1465</f>
        <v/>
      </c>
      <c r="P1465" s="10">
        <f>M1465-O1465</f>
        <v/>
      </c>
      <c r="Q1465" s="11" t="inlineStr">
        <is>
          <t>No</t>
        </is>
      </c>
      <c r="R1465" s="11" t="n">
        <v>0</v>
      </c>
      <c r="S1465" s="10">
        <f>M1465-(R1465*K1465)</f>
        <v/>
      </c>
      <c r="T1465" s="12">
        <f>VLOOKUP(E1465,Dim_Product!$A$2:$Q$61,3,FALSE)</f>
        <v/>
      </c>
      <c r="U1465" s="12">
        <f>VLOOKUP(E1465,Dim_Product!$A$2:$Q$61,4,FALSE)</f>
        <v/>
      </c>
      <c r="V1465" s="12">
        <f>VLOOKUP(D1465,Dim_Customer!$A$2:$I$121,6,FALSE)</f>
        <v/>
      </c>
      <c r="W1465" s="12">
        <f>VLOOKUP(G1465,Dim_Channel!$A$2:$B$5,2,FALSE)</f>
        <v/>
      </c>
      <c r="X1465" s="12">
        <f>VLOOKUP(H1465,Dim_Promotion!$A$2:$G$11,2,FALSE)</f>
        <v/>
      </c>
    </row>
    <row r="1466">
      <c r="A1466" s="4" t="inlineStr">
        <is>
          <t>SL1465</t>
        </is>
      </c>
      <c r="B1466" t="inlineStr">
        <is>
          <t>O010733</t>
        </is>
      </c>
      <c r="C1466" t="n">
        <v>20250523</v>
      </c>
      <c r="D1466" s="4" t="inlineStr">
        <is>
          <t>C046</t>
        </is>
      </c>
      <c r="E1466" s="4" t="inlineStr">
        <is>
          <t>P034</t>
        </is>
      </c>
      <c r="F1466" t="inlineStr">
        <is>
          <t>M</t>
        </is>
      </c>
      <c r="G1466" s="4" t="inlineStr">
        <is>
          <t>CH01</t>
        </is>
      </c>
      <c r="H1466" s="4" t="inlineStr">
        <is>
          <t>PR00</t>
        </is>
      </c>
      <c r="I1466" s="8" t="n">
        <v>90</v>
      </c>
      <c r="J1466" s="9" t="n">
        <v>0</v>
      </c>
      <c r="K1466" s="10">
        <f>I1466*(1-J1466)</f>
        <v/>
      </c>
      <c r="L1466" s="11" t="n">
        <v>3</v>
      </c>
      <c r="M1466" s="10">
        <f>K1466*L1466</f>
        <v/>
      </c>
      <c r="N1466" s="8" t="n">
        <v>44.54</v>
      </c>
      <c r="O1466" s="10">
        <f>N1466*L1466</f>
        <v/>
      </c>
      <c r="P1466" s="10">
        <f>M1466-O1466</f>
        <v/>
      </c>
      <c r="Q1466" s="11" t="inlineStr">
        <is>
          <t>No</t>
        </is>
      </c>
      <c r="R1466" s="11" t="n">
        <v>0</v>
      </c>
      <c r="S1466" s="10">
        <f>M1466-(R1466*K1466)</f>
        <v/>
      </c>
      <c r="T1466" s="12">
        <f>VLOOKUP(E1466,Dim_Product!$A$2:$Q$61,3,FALSE)</f>
        <v/>
      </c>
      <c r="U1466" s="12">
        <f>VLOOKUP(E1466,Dim_Product!$A$2:$Q$61,4,FALSE)</f>
        <v/>
      </c>
      <c r="V1466" s="12">
        <f>VLOOKUP(D1466,Dim_Customer!$A$2:$I$121,6,FALSE)</f>
        <v/>
      </c>
      <c r="W1466" s="12">
        <f>VLOOKUP(G1466,Dim_Channel!$A$2:$B$5,2,FALSE)</f>
        <v/>
      </c>
      <c r="X1466" s="12">
        <f>VLOOKUP(H1466,Dim_Promotion!$A$2:$G$11,2,FALSE)</f>
        <v/>
      </c>
    </row>
    <row r="1467">
      <c r="A1467" s="4" t="inlineStr">
        <is>
          <t>SL1466</t>
        </is>
      </c>
      <c r="B1467" t="inlineStr">
        <is>
          <t>O010733</t>
        </is>
      </c>
      <c r="C1467" t="n">
        <v>20250226</v>
      </c>
      <c r="D1467" s="4" t="inlineStr">
        <is>
          <t>C056</t>
        </is>
      </c>
      <c r="E1467" s="4" t="inlineStr">
        <is>
          <t>P031</t>
        </is>
      </c>
      <c r="F1467" t="inlineStr">
        <is>
          <t>L</t>
        </is>
      </c>
      <c r="G1467" s="4" t="inlineStr">
        <is>
          <t>CH02</t>
        </is>
      </c>
      <c r="H1467" s="4" t="inlineStr">
        <is>
          <t>PR00</t>
        </is>
      </c>
      <c r="I1467" s="8" t="n">
        <v>114</v>
      </c>
      <c r="J1467" s="9" t="n">
        <v>0</v>
      </c>
      <c r="K1467" s="10">
        <f>I1467*(1-J1467)</f>
        <v/>
      </c>
      <c r="L1467" s="11" t="n">
        <v>2</v>
      </c>
      <c r="M1467" s="10">
        <f>K1467*L1467</f>
        <v/>
      </c>
      <c r="N1467" s="8" t="n">
        <v>54.74</v>
      </c>
      <c r="O1467" s="10">
        <f>N1467*L1467</f>
        <v/>
      </c>
      <c r="P1467" s="10">
        <f>M1467-O1467</f>
        <v/>
      </c>
      <c r="Q1467" s="11" t="inlineStr">
        <is>
          <t>No</t>
        </is>
      </c>
      <c r="R1467" s="11" t="n">
        <v>0</v>
      </c>
      <c r="S1467" s="10">
        <f>M1467-(R1467*K1467)</f>
        <v/>
      </c>
      <c r="T1467" s="12">
        <f>VLOOKUP(E1467,Dim_Product!$A$2:$Q$61,3,FALSE)</f>
        <v/>
      </c>
      <c r="U1467" s="12">
        <f>VLOOKUP(E1467,Dim_Product!$A$2:$Q$61,4,FALSE)</f>
        <v/>
      </c>
      <c r="V1467" s="12">
        <f>VLOOKUP(D1467,Dim_Customer!$A$2:$I$121,6,FALSE)</f>
        <v/>
      </c>
      <c r="W1467" s="12">
        <f>VLOOKUP(G1467,Dim_Channel!$A$2:$B$5,2,FALSE)</f>
        <v/>
      </c>
      <c r="X1467" s="12">
        <f>VLOOKUP(H1467,Dim_Promotion!$A$2:$G$11,2,FALSE)</f>
        <v/>
      </c>
    </row>
    <row r="1468">
      <c r="A1468" s="4" t="inlineStr">
        <is>
          <t>SL1467</t>
        </is>
      </c>
      <c r="B1468" t="inlineStr">
        <is>
          <t>O010734</t>
        </is>
      </c>
      <c r="C1468" t="n">
        <v>20251130</v>
      </c>
      <c r="D1468" s="4" t="inlineStr">
        <is>
          <t>C066</t>
        </is>
      </c>
      <c r="E1468" s="4" t="inlineStr">
        <is>
          <t>P040</t>
        </is>
      </c>
      <c r="F1468" t="inlineStr">
        <is>
          <t>M</t>
        </is>
      </c>
      <c r="G1468" s="4" t="inlineStr">
        <is>
          <t>CH04</t>
        </is>
      </c>
      <c r="H1468" s="4" t="inlineStr">
        <is>
          <t>PR08</t>
        </is>
      </c>
      <c r="I1468" s="8" t="n">
        <v>72</v>
      </c>
      <c r="J1468" s="9" t="n">
        <v>0.25</v>
      </c>
      <c r="K1468" s="10">
        <f>I1468*(1-J1468)</f>
        <v/>
      </c>
      <c r="L1468" s="11" t="n">
        <v>1</v>
      </c>
      <c r="M1468" s="10">
        <f>K1468*L1468</f>
        <v/>
      </c>
      <c r="N1468" s="8" t="n">
        <v>33.96</v>
      </c>
      <c r="O1468" s="10">
        <f>N1468*L1468</f>
        <v/>
      </c>
      <c r="P1468" s="10">
        <f>M1468-O1468</f>
        <v/>
      </c>
      <c r="Q1468" s="11" t="inlineStr">
        <is>
          <t>No</t>
        </is>
      </c>
      <c r="R1468" s="11" t="n">
        <v>0</v>
      </c>
      <c r="S1468" s="10">
        <f>M1468-(R1468*K1468)</f>
        <v/>
      </c>
      <c r="T1468" s="12">
        <f>VLOOKUP(E1468,Dim_Product!$A$2:$Q$61,3,FALSE)</f>
        <v/>
      </c>
      <c r="U1468" s="12">
        <f>VLOOKUP(E1468,Dim_Product!$A$2:$Q$61,4,FALSE)</f>
        <v/>
      </c>
      <c r="V1468" s="12">
        <f>VLOOKUP(D1468,Dim_Customer!$A$2:$I$121,6,FALSE)</f>
        <v/>
      </c>
      <c r="W1468" s="12">
        <f>VLOOKUP(G1468,Dim_Channel!$A$2:$B$5,2,FALSE)</f>
        <v/>
      </c>
      <c r="X1468" s="12">
        <f>VLOOKUP(H1468,Dim_Promotion!$A$2:$G$11,2,FALSE)</f>
        <v/>
      </c>
    </row>
    <row r="1469">
      <c r="A1469" s="4" t="inlineStr">
        <is>
          <t>SL1468</t>
        </is>
      </c>
      <c r="B1469" t="inlineStr">
        <is>
          <t>O010734</t>
        </is>
      </c>
      <c r="C1469" t="n">
        <v>20250708</v>
      </c>
      <c r="D1469" s="4" t="inlineStr">
        <is>
          <t>C057</t>
        </is>
      </c>
      <c r="E1469" s="4" t="inlineStr">
        <is>
          <t>P048</t>
        </is>
      </c>
      <c r="F1469" t="inlineStr">
        <is>
          <t>XS</t>
        </is>
      </c>
      <c r="G1469" s="4" t="inlineStr">
        <is>
          <t>CH04</t>
        </is>
      </c>
      <c r="H1469" s="4" t="inlineStr">
        <is>
          <t>PR00</t>
        </is>
      </c>
      <c r="I1469" s="8" t="n">
        <v>70</v>
      </c>
      <c r="J1469" s="9" t="n">
        <v>0</v>
      </c>
      <c r="K1469" s="10">
        <f>I1469*(1-J1469)</f>
        <v/>
      </c>
      <c r="L1469" s="11" t="n">
        <v>2</v>
      </c>
      <c r="M1469" s="10">
        <f>K1469*L1469</f>
        <v/>
      </c>
      <c r="N1469" s="8" t="n">
        <v>32.6</v>
      </c>
      <c r="O1469" s="10">
        <f>N1469*L1469</f>
        <v/>
      </c>
      <c r="P1469" s="10">
        <f>M1469-O1469</f>
        <v/>
      </c>
      <c r="Q1469" s="11" t="inlineStr">
        <is>
          <t>No</t>
        </is>
      </c>
      <c r="R1469" s="11" t="n">
        <v>0</v>
      </c>
      <c r="S1469" s="10">
        <f>M1469-(R1469*K1469)</f>
        <v/>
      </c>
      <c r="T1469" s="12">
        <f>VLOOKUP(E1469,Dim_Product!$A$2:$Q$61,3,FALSE)</f>
        <v/>
      </c>
      <c r="U1469" s="12">
        <f>VLOOKUP(E1469,Dim_Product!$A$2:$Q$61,4,FALSE)</f>
        <v/>
      </c>
      <c r="V1469" s="12">
        <f>VLOOKUP(D1469,Dim_Customer!$A$2:$I$121,6,FALSE)</f>
        <v/>
      </c>
      <c r="W1469" s="12">
        <f>VLOOKUP(G1469,Dim_Channel!$A$2:$B$5,2,FALSE)</f>
        <v/>
      </c>
      <c r="X1469" s="12">
        <f>VLOOKUP(H1469,Dim_Promotion!$A$2:$G$11,2,FALSE)</f>
        <v/>
      </c>
    </row>
    <row r="1470">
      <c r="A1470" s="4" t="inlineStr">
        <is>
          <t>SL1469</t>
        </is>
      </c>
      <c r="B1470" t="inlineStr">
        <is>
          <t>O010735</t>
        </is>
      </c>
      <c r="C1470" t="n">
        <v>20250113</v>
      </c>
      <c r="D1470" s="4" t="inlineStr">
        <is>
          <t>C074</t>
        </is>
      </c>
      <c r="E1470" s="4" t="inlineStr">
        <is>
          <t>P056</t>
        </is>
      </c>
      <c r="F1470" t="inlineStr">
        <is>
          <t>XL</t>
        </is>
      </c>
      <c r="G1470" s="4" t="inlineStr">
        <is>
          <t>CH01</t>
        </is>
      </c>
      <c r="H1470" s="4" t="inlineStr">
        <is>
          <t>PR00</t>
        </is>
      </c>
      <c r="I1470" s="8" t="n">
        <v>68</v>
      </c>
      <c r="J1470" s="9" t="n">
        <v>0</v>
      </c>
      <c r="K1470" s="10">
        <f>I1470*(1-J1470)</f>
        <v/>
      </c>
      <c r="L1470" s="11" t="n">
        <v>2</v>
      </c>
      <c r="M1470" s="10">
        <f>K1470*L1470</f>
        <v/>
      </c>
      <c r="N1470" s="8" t="n">
        <v>33.9</v>
      </c>
      <c r="O1470" s="10">
        <f>N1470*L1470</f>
        <v/>
      </c>
      <c r="P1470" s="10">
        <f>M1470-O1470</f>
        <v/>
      </c>
      <c r="Q1470" s="11" t="inlineStr">
        <is>
          <t>No</t>
        </is>
      </c>
      <c r="R1470" s="11" t="n">
        <v>0</v>
      </c>
      <c r="S1470" s="10">
        <f>M1470-(R1470*K1470)</f>
        <v/>
      </c>
      <c r="T1470" s="12">
        <f>VLOOKUP(E1470,Dim_Product!$A$2:$Q$61,3,FALSE)</f>
        <v/>
      </c>
      <c r="U1470" s="12">
        <f>VLOOKUP(E1470,Dim_Product!$A$2:$Q$61,4,FALSE)</f>
        <v/>
      </c>
      <c r="V1470" s="12">
        <f>VLOOKUP(D1470,Dim_Customer!$A$2:$I$121,6,FALSE)</f>
        <v/>
      </c>
      <c r="W1470" s="12">
        <f>VLOOKUP(G1470,Dim_Channel!$A$2:$B$5,2,FALSE)</f>
        <v/>
      </c>
      <c r="X1470" s="12">
        <f>VLOOKUP(H1470,Dim_Promotion!$A$2:$G$11,2,FALSE)</f>
        <v/>
      </c>
    </row>
    <row r="1471">
      <c r="A1471" s="4" t="inlineStr">
        <is>
          <t>SL1470</t>
        </is>
      </c>
      <c r="B1471" t="inlineStr">
        <is>
          <t>O010735</t>
        </is>
      </c>
      <c r="C1471" t="n">
        <v>20250509</v>
      </c>
      <c r="D1471" s="4" t="inlineStr">
        <is>
          <t>C066</t>
        </is>
      </c>
      <c r="E1471" s="4" t="inlineStr">
        <is>
          <t>P024</t>
        </is>
      </c>
      <c r="F1471" t="inlineStr">
        <is>
          <t>XXL</t>
        </is>
      </c>
      <c r="G1471" s="4" t="inlineStr">
        <is>
          <t>CH01</t>
        </is>
      </c>
      <c r="H1471" s="4" t="inlineStr">
        <is>
          <t>PR00</t>
        </is>
      </c>
      <c r="I1471" s="8" t="n">
        <v>62</v>
      </c>
      <c r="J1471" s="9" t="n">
        <v>0</v>
      </c>
      <c r="K1471" s="10">
        <f>I1471*(1-J1471)</f>
        <v/>
      </c>
      <c r="L1471" s="11" t="n">
        <v>1</v>
      </c>
      <c r="M1471" s="10">
        <f>K1471*L1471</f>
        <v/>
      </c>
      <c r="N1471" s="8" t="n">
        <v>26.9</v>
      </c>
      <c r="O1471" s="10">
        <f>N1471*L1471</f>
        <v/>
      </c>
      <c r="P1471" s="10">
        <f>M1471-O1471</f>
        <v/>
      </c>
      <c r="Q1471" s="11" t="inlineStr">
        <is>
          <t>No</t>
        </is>
      </c>
      <c r="R1471" s="11" t="n">
        <v>0</v>
      </c>
      <c r="S1471" s="10">
        <f>M1471-(R1471*K1471)</f>
        <v/>
      </c>
      <c r="T1471" s="12">
        <f>VLOOKUP(E1471,Dim_Product!$A$2:$Q$61,3,FALSE)</f>
        <v/>
      </c>
      <c r="U1471" s="12">
        <f>VLOOKUP(E1471,Dim_Product!$A$2:$Q$61,4,FALSE)</f>
        <v/>
      </c>
      <c r="V1471" s="12">
        <f>VLOOKUP(D1471,Dim_Customer!$A$2:$I$121,6,FALSE)</f>
        <v/>
      </c>
      <c r="W1471" s="12">
        <f>VLOOKUP(G1471,Dim_Channel!$A$2:$B$5,2,FALSE)</f>
        <v/>
      </c>
      <c r="X1471" s="12">
        <f>VLOOKUP(H1471,Dim_Promotion!$A$2:$G$11,2,FALSE)</f>
        <v/>
      </c>
    </row>
    <row r="1472">
      <c r="A1472" s="4" t="inlineStr">
        <is>
          <t>SL1471</t>
        </is>
      </c>
      <c r="B1472" t="inlineStr">
        <is>
          <t>O010736</t>
        </is>
      </c>
      <c r="C1472" t="n">
        <v>20251001</v>
      </c>
      <c r="D1472" s="4" t="inlineStr">
        <is>
          <t>C022</t>
        </is>
      </c>
      <c r="E1472" s="4" t="inlineStr">
        <is>
          <t>P004</t>
        </is>
      </c>
      <c r="F1472" t="inlineStr">
        <is>
          <t>L</t>
        </is>
      </c>
      <c r="G1472" s="4" t="inlineStr">
        <is>
          <t>CH03</t>
        </is>
      </c>
      <c r="H1472" s="4" t="inlineStr">
        <is>
          <t>PR00</t>
        </is>
      </c>
      <c r="I1472" s="8" t="n">
        <v>42</v>
      </c>
      <c r="J1472" s="9" t="n">
        <v>0</v>
      </c>
      <c r="K1472" s="10">
        <f>I1472*(1-J1472)</f>
        <v/>
      </c>
      <c r="L1472" s="11" t="n">
        <v>2</v>
      </c>
      <c r="M1472" s="10">
        <f>K1472*L1472</f>
        <v/>
      </c>
      <c r="N1472" s="8" t="n">
        <v>19.03</v>
      </c>
      <c r="O1472" s="10">
        <f>N1472*L1472</f>
        <v/>
      </c>
      <c r="P1472" s="10">
        <f>M1472-O1472</f>
        <v/>
      </c>
      <c r="Q1472" s="11" t="inlineStr">
        <is>
          <t>No</t>
        </is>
      </c>
      <c r="R1472" s="11" t="n">
        <v>0</v>
      </c>
      <c r="S1472" s="10">
        <f>M1472-(R1472*K1472)</f>
        <v/>
      </c>
      <c r="T1472" s="12">
        <f>VLOOKUP(E1472,Dim_Product!$A$2:$Q$61,3,FALSE)</f>
        <v/>
      </c>
      <c r="U1472" s="12">
        <f>VLOOKUP(E1472,Dim_Product!$A$2:$Q$61,4,FALSE)</f>
        <v/>
      </c>
      <c r="V1472" s="12">
        <f>VLOOKUP(D1472,Dim_Customer!$A$2:$I$121,6,FALSE)</f>
        <v/>
      </c>
      <c r="W1472" s="12">
        <f>VLOOKUP(G1472,Dim_Channel!$A$2:$B$5,2,FALSE)</f>
        <v/>
      </c>
      <c r="X1472" s="12">
        <f>VLOOKUP(H1472,Dim_Promotion!$A$2:$G$11,2,FALSE)</f>
        <v/>
      </c>
    </row>
    <row r="1473">
      <c r="A1473" s="4" t="inlineStr">
        <is>
          <t>SL1472</t>
        </is>
      </c>
      <c r="B1473" t="inlineStr">
        <is>
          <t>O010736</t>
        </is>
      </c>
      <c r="C1473" t="n">
        <v>20251125</v>
      </c>
      <c r="D1473" s="4" t="inlineStr">
        <is>
          <t>C028</t>
        </is>
      </c>
      <c r="E1473" s="4" t="inlineStr">
        <is>
          <t>P001</t>
        </is>
      </c>
      <c r="F1473" t="inlineStr">
        <is>
          <t>L</t>
        </is>
      </c>
      <c r="G1473" s="4" t="inlineStr">
        <is>
          <t>CH01</t>
        </is>
      </c>
      <c r="H1473" s="4" t="inlineStr">
        <is>
          <t>PR08</t>
        </is>
      </c>
      <c r="I1473" s="8" t="n">
        <v>41</v>
      </c>
      <c r="J1473" s="9" t="n">
        <v>0.25</v>
      </c>
      <c r="K1473" s="10">
        <f>I1473*(1-J1473)</f>
        <v/>
      </c>
      <c r="L1473" s="11" t="n">
        <v>1</v>
      </c>
      <c r="M1473" s="10">
        <f>K1473*L1473</f>
        <v/>
      </c>
      <c r="N1473" s="8" t="n">
        <v>17.27</v>
      </c>
      <c r="O1473" s="10">
        <f>N1473*L1473</f>
        <v/>
      </c>
      <c r="P1473" s="10">
        <f>M1473-O1473</f>
        <v/>
      </c>
      <c r="Q1473" s="11" t="inlineStr">
        <is>
          <t>No</t>
        </is>
      </c>
      <c r="R1473" s="11" t="n">
        <v>0</v>
      </c>
      <c r="S1473" s="10">
        <f>M1473-(R1473*K1473)</f>
        <v/>
      </c>
      <c r="T1473" s="12">
        <f>VLOOKUP(E1473,Dim_Product!$A$2:$Q$61,3,FALSE)</f>
        <v/>
      </c>
      <c r="U1473" s="12">
        <f>VLOOKUP(E1473,Dim_Product!$A$2:$Q$61,4,FALSE)</f>
        <v/>
      </c>
      <c r="V1473" s="12">
        <f>VLOOKUP(D1473,Dim_Customer!$A$2:$I$121,6,FALSE)</f>
        <v/>
      </c>
      <c r="W1473" s="12">
        <f>VLOOKUP(G1473,Dim_Channel!$A$2:$B$5,2,FALSE)</f>
        <v/>
      </c>
      <c r="X1473" s="12">
        <f>VLOOKUP(H1473,Dim_Promotion!$A$2:$G$11,2,FALSE)</f>
        <v/>
      </c>
    </row>
    <row r="1474">
      <c r="A1474" s="4" t="inlineStr">
        <is>
          <t>SL1473</t>
        </is>
      </c>
      <c r="B1474" t="inlineStr">
        <is>
          <t>O010737</t>
        </is>
      </c>
      <c r="C1474" t="n">
        <v>20250117</v>
      </c>
      <c r="D1474" s="4" t="inlineStr">
        <is>
          <t>C074</t>
        </is>
      </c>
      <c r="E1474" s="4" t="inlineStr">
        <is>
          <t>P005</t>
        </is>
      </c>
      <c r="F1474" t="inlineStr">
        <is>
          <t>M</t>
        </is>
      </c>
      <c r="G1474" s="4" t="inlineStr">
        <is>
          <t>CH01</t>
        </is>
      </c>
      <c r="H1474" s="4" t="inlineStr">
        <is>
          <t>PR00</t>
        </is>
      </c>
      <c r="I1474" s="8" t="n">
        <v>50</v>
      </c>
      <c r="J1474" s="9" t="n">
        <v>0</v>
      </c>
      <c r="K1474" s="10">
        <f>I1474*(1-J1474)</f>
        <v/>
      </c>
      <c r="L1474" s="11" t="n">
        <v>1</v>
      </c>
      <c r="M1474" s="10">
        <f>K1474*L1474</f>
        <v/>
      </c>
      <c r="N1474" s="8" t="n">
        <v>20.5</v>
      </c>
      <c r="O1474" s="10">
        <f>N1474*L1474</f>
        <v/>
      </c>
      <c r="P1474" s="10">
        <f>M1474-O1474</f>
        <v/>
      </c>
      <c r="Q1474" s="11" t="inlineStr">
        <is>
          <t>No</t>
        </is>
      </c>
      <c r="R1474" s="11" t="n">
        <v>0</v>
      </c>
      <c r="S1474" s="10">
        <f>M1474-(R1474*K1474)</f>
        <v/>
      </c>
      <c r="T1474" s="12">
        <f>VLOOKUP(E1474,Dim_Product!$A$2:$Q$61,3,FALSE)</f>
        <v/>
      </c>
      <c r="U1474" s="12">
        <f>VLOOKUP(E1474,Dim_Product!$A$2:$Q$61,4,FALSE)</f>
        <v/>
      </c>
      <c r="V1474" s="12">
        <f>VLOOKUP(D1474,Dim_Customer!$A$2:$I$121,6,FALSE)</f>
        <v/>
      </c>
      <c r="W1474" s="12">
        <f>VLOOKUP(G1474,Dim_Channel!$A$2:$B$5,2,FALSE)</f>
        <v/>
      </c>
      <c r="X1474" s="12">
        <f>VLOOKUP(H1474,Dim_Promotion!$A$2:$G$11,2,FALSE)</f>
        <v/>
      </c>
    </row>
    <row r="1475">
      <c r="A1475" s="4" t="inlineStr">
        <is>
          <t>SL1474</t>
        </is>
      </c>
      <c r="B1475" t="inlineStr">
        <is>
          <t>O010737</t>
        </is>
      </c>
      <c r="C1475" t="n">
        <v>20251105</v>
      </c>
      <c r="D1475" s="4" t="inlineStr">
        <is>
          <t>C088</t>
        </is>
      </c>
      <c r="E1475" s="4" t="inlineStr">
        <is>
          <t>P028</t>
        </is>
      </c>
      <c r="F1475" t="inlineStr">
        <is>
          <t>L</t>
        </is>
      </c>
      <c r="G1475" s="4" t="inlineStr">
        <is>
          <t>CH02</t>
        </is>
      </c>
      <c r="H1475" s="4" t="inlineStr">
        <is>
          <t>PR00</t>
        </is>
      </c>
      <c r="I1475" s="8" t="n">
        <v>99</v>
      </c>
      <c r="J1475" s="9" t="n">
        <v>0</v>
      </c>
      <c r="K1475" s="10">
        <f>I1475*(1-J1475)</f>
        <v/>
      </c>
      <c r="L1475" s="11" t="n">
        <v>2</v>
      </c>
      <c r="M1475" s="10">
        <f>K1475*L1475</f>
        <v/>
      </c>
      <c r="N1475" s="8" t="n">
        <v>49.17</v>
      </c>
      <c r="O1475" s="10">
        <f>N1475*L1475</f>
        <v/>
      </c>
      <c r="P1475" s="10">
        <f>M1475-O1475</f>
        <v/>
      </c>
      <c r="Q1475" s="11" t="inlineStr">
        <is>
          <t>No</t>
        </is>
      </c>
      <c r="R1475" s="11" t="n">
        <v>0</v>
      </c>
      <c r="S1475" s="10">
        <f>M1475-(R1475*K1475)</f>
        <v/>
      </c>
      <c r="T1475" s="12">
        <f>VLOOKUP(E1475,Dim_Product!$A$2:$Q$61,3,FALSE)</f>
        <v/>
      </c>
      <c r="U1475" s="12">
        <f>VLOOKUP(E1475,Dim_Product!$A$2:$Q$61,4,FALSE)</f>
        <v/>
      </c>
      <c r="V1475" s="12">
        <f>VLOOKUP(D1475,Dim_Customer!$A$2:$I$121,6,FALSE)</f>
        <v/>
      </c>
      <c r="W1475" s="12">
        <f>VLOOKUP(G1475,Dim_Channel!$A$2:$B$5,2,FALSE)</f>
        <v/>
      </c>
      <c r="X1475" s="12">
        <f>VLOOKUP(H1475,Dim_Promotion!$A$2:$G$11,2,FALSE)</f>
        <v/>
      </c>
    </row>
    <row r="1476">
      <c r="A1476" s="4" t="inlineStr">
        <is>
          <t>SL1475</t>
        </is>
      </c>
      <c r="B1476" t="inlineStr">
        <is>
          <t>O010738</t>
        </is>
      </c>
      <c r="C1476" t="n">
        <v>20250618</v>
      </c>
      <c r="D1476" s="4" t="inlineStr">
        <is>
          <t>C102</t>
        </is>
      </c>
      <c r="E1476" s="4" t="inlineStr">
        <is>
          <t>P043</t>
        </is>
      </c>
      <c r="F1476" t="inlineStr">
        <is>
          <t>XL</t>
        </is>
      </c>
      <c r="G1476" s="4" t="inlineStr">
        <is>
          <t>CH04</t>
        </is>
      </c>
      <c r="H1476" s="4" t="inlineStr">
        <is>
          <t>PR00</t>
        </is>
      </c>
      <c r="I1476" s="8" t="n">
        <v>82</v>
      </c>
      <c r="J1476" s="9" t="n">
        <v>0</v>
      </c>
      <c r="K1476" s="10">
        <f>I1476*(1-J1476)</f>
        <v/>
      </c>
      <c r="L1476" s="11" t="n">
        <v>1</v>
      </c>
      <c r="M1476" s="10">
        <f>K1476*L1476</f>
        <v/>
      </c>
      <c r="N1476" s="8" t="n">
        <v>39.52</v>
      </c>
      <c r="O1476" s="10">
        <f>N1476*L1476</f>
        <v/>
      </c>
      <c r="P1476" s="10">
        <f>M1476-O1476</f>
        <v/>
      </c>
      <c r="Q1476" s="11" t="inlineStr">
        <is>
          <t>No</t>
        </is>
      </c>
      <c r="R1476" s="11" t="n">
        <v>0</v>
      </c>
      <c r="S1476" s="10">
        <f>M1476-(R1476*K1476)</f>
        <v/>
      </c>
      <c r="T1476" s="12">
        <f>VLOOKUP(E1476,Dim_Product!$A$2:$Q$61,3,FALSE)</f>
        <v/>
      </c>
      <c r="U1476" s="12">
        <f>VLOOKUP(E1476,Dim_Product!$A$2:$Q$61,4,FALSE)</f>
        <v/>
      </c>
      <c r="V1476" s="12">
        <f>VLOOKUP(D1476,Dim_Customer!$A$2:$I$121,6,FALSE)</f>
        <v/>
      </c>
      <c r="W1476" s="12">
        <f>VLOOKUP(G1476,Dim_Channel!$A$2:$B$5,2,FALSE)</f>
        <v/>
      </c>
      <c r="X1476" s="12">
        <f>VLOOKUP(H1476,Dim_Promotion!$A$2:$G$11,2,FALSE)</f>
        <v/>
      </c>
    </row>
    <row r="1477">
      <c r="A1477" s="4" t="inlineStr">
        <is>
          <t>SL1476</t>
        </is>
      </c>
      <c r="B1477" t="inlineStr">
        <is>
          <t>O010738</t>
        </is>
      </c>
      <c r="C1477" t="n">
        <v>20250101</v>
      </c>
      <c r="D1477" s="4" t="inlineStr">
        <is>
          <t>C118</t>
        </is>
      </c>
      <c r="E1477" s="4" t="inlineStr">
        <is>
          <t>P034</t>
        </is>
      </c>
      <c r="F1477" t="inlineStr">
        <is>
          <t>M</t>
        </is>
      </c>
      <c r="G1477" s="4" t="inlineStr">
        <is>
          <t>CH03</t>
        </is>
      </c>
      <c r="H1477" s="4" t="inlineStr">
        <is>
          <t>PR00</t>
        </is>
      </c>
      <c r="I1477" s="8" t="n">
        <v>90</v>
      </c>
      <c r="J1477" s="9" t="n">
        <v>0</v>
      </c>
      <c r="K1477" s="10">
        <f>I1477*(1-J1477)</f>
        <v/>
      </c>
      <c r="L1477" s="11" t="n">
        <v>3</v>
      </c>
      <c r="M1477" s="10">
        <f>K1477*L1477</f>
        <v/>
      </c>
      <c r="N1477" s="8" t="n">
        <v>43.34</v>
      </c>
      <c r="O1477" s="10">
        <f>N1477*L1477</f>
        <v/>
      </c>
      <c r="P1477" s="10">
        <f>M1477-O1477</f>
        <v/>
      </c>
      <c r="Q1477" s="11" t="inlineStr">
        <is>
          <t>No</t>
        </is>
      </c>
      <c r="R1477" s="11" t="n">
        <v>0</v>
      </c>
      <c r="S1477" s="10">
        <f>M1477-(R1477*K1477)</f>
        <v/>
      </c>
      <c r="T1477" s="12">
        <f>VLOOKUP(E1477,Dim_Product!$A$2:$Q$61,3,FALSE)</f>
        <v/>
      </c>
      <c r="U1477" s="12">
        <f>VLOOKUP(E1477,Dim_Product!$A$2:$Q$61,4,FALSE)</f>
        <v/>
      </c>
      <c r="V1477" s="12">
        <f>VLOOKUP(D1477,Dim_Customer!$A$2:$I$121,6,FALSE)</f>
        <v/>
      </c>
      <c r="W1477" s="12">
        <f>VLOOKUP(G1477,Dim_Channel!$A$2:$B$5,2,FALSE)</f>
        <v/>
      </c>
      <c r="X1477" s="12">
        <f>VLOOKUP(H1477,Dim_Promotion!$A$2:$G$11,2,FALSE)</f>
        <v/>
      </c>
    </row>
    <row r="1478">
      <c r="A1478" s="4" t="inlineStr">
        <is>
          <t>SL1477</t>
        </is>
      </c>
      <c r="B1478" t="inlineStr">
        <is>
          <t>O010739</t>
        </is>
      </c>
      <c r="C1478" t="n">
        <v>20251111</v>
      </c>
      <c r="D1478" s="4" t="inlineStr">
        <is>
          <t>C012</t>
        </is>
      </c>
      <c r="E1478" s="4" t="inlineStr">
        <is>
          <t>P021</t>
        </is>
      </c>
      <c r="F1478" t="inlineStr">
        <is>
          <t>L</t>
        </is>
      </c>
      <c r="G1478" s="4" t="inlineStr">
        <is>
          <t>CH03</t>
        </is>
      </c>
      <c r="H1478" s="4" t="inlineStr">
        <is>
          <t>PR00</t>
        </is>
      </c>
      <c r="I1478" s="8" t="n">
        <v>54</v>
      </c>
      <c r="J1478" s="9" t="n">
        <v>0</v>
      </c>
      <c r="K1478" s="10">
        <f>I1478*(1-J1478)</f>
        <v/>
      </c>
      <c r="L1478" s="11" t="n">
        <v>1</v>
      </c>
      <c r="M1478" s="10">
        <f>K1478*L1478</f>
        <v/>
      </c>
      <c r="N1478" s="8" t="n">
        <v>27.47</v>
      </c>
      <c r="O1478" s="10">
        <f>N1478*L1478</f>
        <v/>
      </c>
      <c r="P1478" s="10">
        <f>M1478-O1478</f>
        <v/>
      </c>
      <c r="Q1478" s="11" t="inlineStr">
        <is>
          <t>No</t>
        </is>
      </c>
      <c r="R1478" s="11" t="n">
        <v>0</v>
      </c>
      <c r="S1478" s="10">
        <f>M1478-(R1478*K1478)</f>
        <v/>
      </c>
      <c r="T1478" s="12">
        <f>VLOOKUP(E1478,Dim_Product!$A$2:$Q$61,3,FALSE)</f>
        <v/>
      </c>
      <c r="U1478" s="12">
        <f>VLOOKUP(E1478,Dim_Product!$A$2:$Q$61,4,FALSE)</f>
        <v/>
      </c>
      <c r="V1478" s="12">
        <f>VLOOKUP(D1478,Dim_Customer!$A$2:$I$121,6,FALSE)</f>
        <v/>
      </c>
      <c r="W1478" s="12">
        <f>VLOOKUP(G1478,Dim_Channel!$A$2:$B$5,2,FALSE)</f>
        <v/>
      </c>
      <c r="X1478" s="12">
        <f>VLOOKUP(H1478,Dim_Promotion!$A$2:$G$11,2,FALSE)</f>
        <v/>
      </c>
    </row>
    <row r="1479">
      <c r="A1479" s="4" t="inlineStr">
        <is>
          <t>SL1478</t>
        </is>
      </c>
      <c r="B1479" t="inlineStr">
        <is>
          <t>O010739</t>
        </is>
      </c>
      <c r="C1479" t="n">
        <v>20251122</v>
      </c>
      <c r="D1479" s="4" t="inlineStr">
        <is>
          <t>C002</t>
        </is>
      </c>
      <c r="E1479" s="4" t="inlineStr">
        <is>
          <t>P004</t>
        </is>
      </c>
      <c r="F1479" t="inlineStr">
        <is>
          <t>L</t>
        </is>
      </c>
      <c r="G1479" s="4" t="inlineStr">
        <is>
          <t>CH02</t>
        </is>
      </c>
      <c r="H1479" s="4" t="inlineStr">
        <is>
          <t>PR00</t>
        </is>
      </c>
      <c r="I1479" s="8" t="n">
        <v>43</v>
      </c>
      <c r="J1479" s="9" t="n">
        <v>0</v>
      </c>
      <c r="K1479" s="10">
        <f>I1479*(1-J1479)</f>
        <v/>
      </c>
      <c r="L1479" s="11" t="n">
        <v>1</v>
      </c>
      <c r="M1479" s="10">
        <f>K1479*L1479</f>
        <v/>
      </c>
      <c r="N1479" s="8" t="n">
        <v>19.7</v>
      </c>
      <c r="O1479" s="10">
        <f>N1479*L1479</f>
        <v/>
      </c>
      <c r="P1479" s="10">
        <f>M1479-O1479</f>
        <v/>
      </c>
      <c r="Q1479" s="11" t="inlineStr">
        <is>
          <t>No</t>
        </is>
      </c>
      <c r="R1479" s="11" t="n">
        <v>0</v>
      </c>
      <c r="S1479" s="10">
        <f>M1479-(R1479*K1479)</f>
        <v/>
      </c>
      <c r="T1479" s="12">
        <f>VLOOKUP(E1479,Dim_Product!$A$2:$Q$61,3,FALSE)</f>
        <v/>
      </c>
      <c r="U1479" s="12">
        <f>VLOOKUP(E1479,Dim_Product!$A$2:$Q$61,4,FALSE)</f>
        <v/>
      </c>
      <c r="V1479" s="12">
        <f>VLOOKUP(D1479,Dim_Customer!$A$2:$I$121,6,FALSE)</f>
        <v/>
      </c>
      <c r="W1479" s="12">
        <f>VLOOKUP(G1479,Dim_Channel!$A$2:$B$5,2,FALSE)</f>
        <v/>
      </c>
      <c r="X1479" s="12">
        <f>VLOOKUP(H1479,Dim_Promotion!$A$2:$G$11,2,FALSE)</f>
        <v/>
      </c>
    </row>
    <row r="1480">
      <c r="A1480" s="4" t="inlineStr">
        <is>
          <t>SL1479</t>
        </is>
      </c>
      <c r="B1480" t="inlineStr">
        <is>
          <t>O010740</t>
        </is>
      </c>
      <c r="C1480" t="n">
        <v>20250419</v>
      </c>
      <c r="D1480" s="4" t="inlineStr">
        <is>
          <t>C114</t>
        </is>
      </c>
      <c r="E1480" s="4" t="inlineStr">
        <is>
          <t>P024</t>
        </is>
      </c>
      <c r="F1480" t="inlineStr">
        <is>
          <t>S</t>
        </is>
      </c>
      <c r="G1480" s="4" t="inlineStr">
        <is>
          <t>CH01</t>
        </is>
      </c>
      <c r="H1480" s="4" t="inlineStr">
        <is>
          <t>PR00</t>
        </is>
      </c>
      <c r="I1480" s="8" t="n">
        <v>58</v>
      </c>
      <c r="J1480" s="9" t="n">
        <v>0</v>
      </c>
      <c r="K1480" s="10">
        <f>I1480*(1-J1480)</f>
        <v/>
      </c>
      <c r="L1480" s="11" t="n">
        <v>2</v>
      </c>
      <c r="M1480" s="10">
        <f>K1480*L1480</f>
        <v/>
      </c>
      <c r="N1480" s="8" t="n">
        <v>27.6</v>
      </c>
      <c r="O1480" s="10">
        <f>N1480*L1480</f>
        <v/>
      </c>
      <c r="P1480" s="10">
        <f>M1480-O1480</f>
        <v/>
      </c>
      <c r="Q1480" s="11" t="inlineStr">
        <is>
          <t>No</t>
        </is>
      </c>
      <c r="R1480" s="11" t="n">
        <v>0</v>
      </c>
      <c r="S1480" s="10">
        <f>M1480-(R1480*K1480)</f>
        <v/>
      </c>
      <c r="T1480" s="12">
        <f>VLOOKUP(E1480,Dim_Product!$A$2:$Q$61,3,FALSE)</f>
        <v/>
      </c>
      <c r="U1480" s="12">
        <f>VLOOKUP(E1480,Dim_Product!$A$2:$Q$61,4,FALSE)</f>
        <v/>
      </c>
      <c r="V1480" s="12">
        <f>VLOOKUP(D1480,Dim_Customer!$A$2:$I$121,6,FALSE)</f>
        <v/>
      </c>
      <c r="W1480" s="12">
        <f>VLOOKUP(G1480,Dim_Channel!$A$2:$B$5,2,FALSE)</f>
        <v/>
      </c>
      <c r="X1480" s="12">
        <f>VLOOKUP(H1480,Dim_Promotion!$A$2:$G$11,2,FALSE)</f>
        <v/>
      </c>
    </row>
    <row r="1481">
      <c r="A1481" s="4" t="inlineStr">
        <is>
          <t>SL1480</t>
        </is>
      </c>
      <c r="B1481" t="inlineStr">
        <is>
          <t>O010740</t>
        </is>
      </c>
      <c r="C1481" t="n">
        <v>20250217</v>
      </c>
      <c r="D1481" s="4" t="inlineStr">
        <is>
          <t>C020</t>
        </is>
      </c>
      <c r="E1481" s="4" t="inlineStr">
        <is>
          <t>P055</t>
        </is>
      </c>
      <c r="F1481" t="inlineStr">
        <is>
          <t>M</t>
        </is>
      </c>
      <c r="G1481" s="4" t="inlineStr">
        <is>
          <t>CH02</t>
        </is>
      </c>
      <c r="H1481" s="4" t="inlineStr">
        <is>
          <t>PR00</t>
        </is>
      </c>
      <c r="I1481" s="8" t="n">
        <v>68</v>
      </c>
      <c r="J1481" s="9" t="n">
        <v>0</v>
      </c>
      <c r="K1481" s="10">
        <f>I1481*(1-J1481)</f>
        <v/>
      </c>
      <c r="L1481" s="11" t="n">
        <v>1</v>
      </c>
      <c r="M1481" s="10">
        <f>K1481*L1481</f>
        <v/>
      </c>
      <c r="N1481" s="8" t="n">
        <v>35.14</v>
      </c>
      <c r="O1481" s="10">
        <f>N1481*L1481</f>
        <v/>
      </c>
      <c r="P1481" s="10">
        <f>M1481-O1481</f>
        <v/>
      </c>
      <c r="Q1481" s="11" t="inlineStr">
        <is>
          <t>No</t>
        </is>
      </c>
      <c r="R1481" s="11" t="n">
        <v>0</v>
      </c>
      <c r="S1481" s="10">
        <f>M1481-(R1481*K1481)</f>
        <v/>
      </c>
      <c r="T1481" s="12">
        <f>VLOOKUP(E1481,Dim_Product!$A$2:$Q$61,3,FALSE)</f>
        <v/>
      </c>
      <c r="U1481" s="12">
        <f>VLOOKUP(E1481,Dim_Product!$A$2:$Q$61,4,FALSE)</f>
        <v/>
      </c>
      <c r="V1481" s="12">
        <f>VLOOKUP(D1481,Dim_Customer!$A$2:$I$121,6,FALSE)</f>
        <v/>
      </c>
      <c r="W1481" s="12">
        <f>VLOOKUP(G1481,Dim_Channel!$A$2:$B$5,2,FALSE)</f>
        <v/>
      </c>
      <c r="X1481" s="12">
        <f>VLOOKUP(H1481,Dim_Promotion!$A$2:$G$11,2,FALSE)</f>
        <v/>
      </c>
    </row>
    <row r="1482">
      <c r="A1482" s="4" t="inlineStr">
        <is>
          <t>SL1481</t>
        </is>
      </c>
      <c r="B1482" t="inlineStr">
        <is>
          <t>O010741</t>
        </is>
      </c>
      <c r="C1482" t="n">
        <v>20250717</v>
      </c>
      <c r="D1482" s="4" t="inlineStr">
        <is>
          <t>C114</t>
        </is>
      </c>
      <c r="E1482" s="4" t="inlineStr">
        <is>
          <t>P004</t>
        </is>
      </c>
      <c r="F1482" t="inlineStr">
        <is>
          <t>M</t>
        </is>
      </c>
      <c r="G1482" s="4" t="inlineStr">
        <is>
          <t>CH01</t>
        </is>
      </c>
      <c r="H1482" s="4" t="inlineStr">
        <is>
          <t>PR00</t>
        </is>
      </c>
      <c r="I1482" s="8" t="n">
        <v>42</v>
      </c>
      <c r="J1482" s="9" t="n">
        <v>0</v>
      </c>
      <c r="K1482" s="10">
        <f>I1482*(1-J1482)</f>
        <v/>
      </c>
      <c r="L1482" s="11" t="n">
        <v>1</v>
      </c>
      <c r="M1482" s="10">
        <f>K1482*L1482</f>
        <v/>
      </c>
      <c r="N1482" s="8" t="n">
        <v>18.8</v>
      </c>
      <c r="O1482" s="10">
        <f>N1482*L1482</f>
        <v/>
      </c>
      <c r="P1482" s="10">
        <f>M1482-O1482</f>
        <v/>
      </c>
      <c r="Q1482" s="11" t="inlineStr">
        <is>
          <t>No</t>
        </is>
      </c>
      <c r="R1482" s="11" t="n">
        <v>0</v>
      </c>
      <c r="S1482" s="10">
        <f>M1482-(R1482*K1482)</f>
        <v/>
      </c>
      <c r="T1482" s="12">
        <f>VLOOKUP(E1482,Dim_Product!$A$2:$Q$61,3,FALSE)</f>
        <v/>
      </c>
      <c r="U1482" s="12">
        <f>VLOOKUP(E1482,Dim_Product!$A$2:$Q$61,4,FALSE)</f>
        <v/>
      </c>
      <c r="V1482" s="12">
        <f>VLOOKUP(D1482,Dim_Customer!$A$2:$I$121,6,FALSE)</f>
        <v/>
      </c>
      <c r="W1482" s="12">
        <f>VLOOKUP(G1482,Dim_Channel!$A$2:$B$5,2,FALSE)</f>
        <v/>
      </c>
      <c r="X1482" s="12">
        <f>VLOOKUP(H1482,Dim_Promotion!$A$2:$G$11,2,FALSE)</f>
        <v/>
      </c>
    </row>
    <row r="1483">
      <c r="A1483" s="4" t="inlineStr">
        <is>
          <t>SL1482</t>
        </is>
      </c>
      <c r="B1483" t="inlineStr">
        <is>
          <t>O010741</t>
        </is>
      </c>
      <c r="C1483" t="n">
        <v>20250515</v>
      </c>
      <c r="D1483" s="4" t="inlineStr">
        <is>
          <t>C003</t>
        </is>
      </c>
      <c r="E1483" s="4" t="inlineStr">
        <is>
          <t>P001</t>
        </is>
      </c>
      <c r="F1483" t="inlineStr">
        <is>
          <t>L</t>
        </is>
      </c>
      <c r="G1483" s="4" t="inlineStr">
        <is>
          <t>CH04</t>
        </is>
      </c>
      <c r="H1483" s="4" t="inlineStr">
        <is>
          <t>PR00</t>
        </is>
      </c>
      <c r="I1483" s="8" t="n">
        <v>40</v>
      </c>
      <c r="J1483" s="9" t="n">
        <v>0</v>
      </c>
      <c r="K1483" s="10">
        <f>I1483*(1-J1483)</f>
        <v/>
      </c>
      <c r="L1483" s="11" t="n">
        <v>1</v>
      </c>
      <c r="M1483" s="10">
        <f>K1483*L1483</f>
        <v/>
      </c>
      <c r="N1483" s="8" t="n">
        <v>16.78</v>
      </c>
      <c r="O1483" s="10">
        <f>N1483*L1483</f>
        <v/>
      </c>
      <c r="P1483" s="10">
        <f>M1483-O1483</f>
        <v/>
      </c>
      <c r="Q1483" s="11" t="inlineStr">
        <is>
          <t>No</t>
        </is>
      </c>
      <c r="R1483" s="11" t="n">
        <v>0</v>
      </c>
      <c r="S1483" s="10">
        <f>M1483-(R1483*K1483)</f>
        <v/>
      </c>
      <c r="T1483" s="12">
        <f>VLOOKUP(E1483,Dim_Product!$A$2:$Q$61,3,FALSE)</f>
        <v/>
      </c>
      <c r="U1483" s="12">
        <f>VLOOKUP(E1483,Dim_Product!$A$2:$Q$61,4,FALSE)</f>
        <v/>
      </c>
      <c r="V1483" s="12">
        <f>VLOOKUP(D1483,Dim_Customer!$A$2:$I$121,6,FALSE)</f>
        <v/>
      </c>
      <c r="W1483" s="12">
        <f>VLOOKUP(G1483,Dim_Channel!$A$2:$B$5,2,FALSE)</f>
        <v/>
      </c>
      <c r="X1483" s="12">
        <f>VLOOKUP(H1483,Dim_Promotion!$A$2:$G$11,2,FALSE)</f>
        <v/>
      </c>
    </row>
    <row r="1484">
      <c r="A1484" s="4" t="inlineStr">
        <is>
          <t>SL1483</t>
        </is>
      </c>
      <c r="B1484" t="inlineStr">
        <is>
          <t>O010742</t>
        </is>
      </c>
      <c r="C1484" t="n">
        <v>20250206</v>
      </c>
      <c r="D1484" s="4" t="inlineStr">
        <is>
          <t>C101</t>
        </is>
      </c>
      <c r="E1484" s="4" t="inlineStr">
        <is>
          <t>P037</t>
        </is>
      </c>
      <c r="F1484" t="inlineStr">
        <is>
          <t>M</t>
        </is>
      </c>
      <c r="G1484" s="4" t="inlineStr">
        <is>
          <t>CH01</t>
        </is>
      </c>
      <c r="H1484" s="4" t="inlineStr">
        <is>
          <t>PR02</t>
        </is>
      </c>
      <c r="I1484" s="8" t="n">
        <v>73</v>
      </c>
      <c r="J1484" s="9" t="n">
        <v>0.15</v>
      </c>
      <c r="K1484" s="10">
        <f>I1484*(1-J1484)</f>
        <v/>
      </c>
      <c r="L1484" s="11" t="n">
        <v>1</v>
      </c>
      <c r="M1484" s="10">
        <f>K1484*L1484</f>
        <v/>
      </c>
      <c r="N1484" s="8" t="n">
        <v>32.4</v>
      </c>
      <c r="O1484" s="10">
        <f>N1484*L1484</f>
        <v/>
      </c>
      <c r="P1484" s="10">
        <f>M1484-O1484</f>
        <v/>
      </c>
      <c r="Q1484" s="11" t="inlineStr">
        <is>
          <t>No</t>
        </is>
      </c>
      <c r="R1484" s="11" t="n">
        <v>0</v>
      </c>
      <c r="S1484" s="10">
        <f>M1484-(R1484*K1484)</f>
        <v/>
      </c>
      <c r="T1484" s="12">
        <f>VLOOKUP(E1484,Dim_Product!$A$2:$Q$61,3,FALSE)</f>
        <v/>
      </c>
      <c r="U1484" s="12">
        <f>VLOOKUP(E1484,Dim_Product!$A$2:$Q$61,4,FALSE)</f>
        <v/>
      </c>
      <c r="V1484" s="12">
        <f>VLOOKUP(D1484,Dim_Customer!$A$2:$I$121,6,FALSE)</f>
        <v/>
      </c>
      <c r="W1484" s="12">
        <f>VLOOKUP(G1484,Dim_Channel!$A$2:$B$5,2,FALSE)</f>
        <v/>
      </c>
      <c r="X1484" s="12">
        <f>VLOOKUP(H1484,Dim_Promotion!$A$2:$G$11,2,FALSE)</f>
        <v/>
      </c>
    </row>
    <row r="1485">
      <c r="A1485" s="4" t="inlineStr">
        <is>
          <t>SL1484</t>
        </is>
      </c>
      <c r="B1485" t="inlineStr">
        <is>
          <t>O010742</t>
        </is>
      </c>
      <c r="C1485" t="n">
        <v>20250302</v>
      </c>
      <c r="D1485" s="4" t="inlineStr">
        <is>
          <t>C034</t>
        </is>
      </c>
      <c r="E1485" s="4" t="inlineStr">
        <is>
          <t>P024</t>
        </is>
      </c>
      <c r="F1485" t="inlineStr">
        <is>
          <t>S</t>
        </is>
      </c>
      <c r="G1485" s="4" t="inlineStr">
        <is>
          <t>CH02</t>
        </is>
      </c>
      <c r="H1485" s="4" t="inlineStr">
        <is>
          <t>PR00</t>
        </is>
      </c>
      <c r="I1485" s="8" t="n">
        <v>61</v>
      </c>
      <c r="J1485" s="9" t="n">
        <v>0</v>
      </c>
      <c r="K1485" s="10">
        <f>I1485*(1-J1485)</f>
        <v/>
      </c>
      <c r="L1485" s="11" t="n">
        <v>1</v>
      </c>
      <c r="M1485" s="10">
        <f>K1485*L1485</f>
        <v/>
      </c>
      <c r="N1485" s="8" t="n">
        <v>26.61</v>
      </c>
      <c r="O1485" s="10">
        <f>N1485*L1485</f>
        <v/>
      </c>
      <c r="P1485" s="10">
        <f>M1485-O1485</f>
        <v/>
      </c>
      <c r="Q1485" s="11" t="inlineStr">
        <is>
          <t>No</t>
        </is>
      </c>
      <c r="R1485" s="11" t="n">
        <v>0</v>
      </c>
      <c r="S1485" s="10">
        <f>M1485-(R1485*K1485)</f>
        <v/>
      </c>
      <c r="T1485" s="12">
        <f>VLOOKUP(E1485,Dim_Product!$A$2:$Q$61,3,FALSE)</f>
        <v/>
      </c>
      <c r="U1485" s="12">
        <f>VLOOKUP(E1485,Dim_Product!$A$2:$Q$61,4,FALSE)</f>
        <v/>
      </c>
      <c r="V1485" s="12">
        <f>VLOOKUP(D1485,Dim_Customer!$A$2:$I$121,6,FALSE)</f>
        <v/>
      </c>
      <c r="W1485" s="12">
        <f>VLOOKUP(G1485,Dim_Channel!$A$2:$B$5,2,FALSE)</f>
        <v/>
      </c>
      <c r="X1485" s="12">
        <f>VLOOKUP(H1485,Dim_Promotion!$A$2:$G$11,2,FALSE)</f>
        <v/>
      </c>
    </row>
    <row r="1486">
      <c r="A1486" s="4" t="inlineStr">
        <is>
          <t>SL1485</t>
        </is>
      </c>
      <c r="B1486" t="inlineStr">
        <is>
          <t>O010743</t>
        </is>
      </c>
      <c r="C1486" t="n">
        <v>20251207</v>
      </c>
      <c r="D1486" s="4" t="inlineStr">
        <is>
          <t>C116</t>
        </is>
      </c>
      <c r="E1486" s="4" t="inlineStr">
        <is>
          <t>P055</t>
        </is>
      </c>
      <c r="F1486" t="inlineStr">
        <is>
          <t>S</t>
        </is>
      </c>
      <c r="G1486" s="4" t="inlineStr">
        <is>
          <t>CH01</t>
        </is>
      </c>
      <c r="H1486" s="4" t="inlineStr">
        <is>
          <t>PR09</t>
        </is>
      </c>
      <c r="I1486" s="8" t="n">
        <v>70</v>
      </c>
      <c r="J1486" s="9" t="n">
        <v>0.15</v>
      </c>
      <c r="K1486" s="10">
        <f>I1486*(1-J1486)</f>
        <v/>
      </c>
      <c r="L1486" s="11" t="n">
        <v>3</v>
      </c>
      <c r="M1486" s="10">
        <f>K1486*L1486</f>
        <v/>
      </c>
      <c r="N1486" s="8" t="n">
        <v>34.78</v>
      </c>
      <c r="O1486" s="10">
        <f>N1486*L1486</f>
        <v/>
      </c>
      <c r="P1486" s="10">
        <f>M1486-O1486</f>
        <v/>
      </c>
      <c r="Q1486" s="11" t="inlineStr">
        <is>
          <t>Yes</t>
        </is>
      </c>
      <c r="R1486" s="11" t="n">
        <v>2</v>
      </c>
      <c r="S1486" s="10">
        <f>M1486-(R1486*K1486)</f>
        <v/>
      </c>
      <c r="T1486" s="12">
        <f>VLOOKUP(E1486,Dim_Product!$A$2:$Q$61,3,FALSE)</f>
        <v/>
      </c>
      <c r="U1486" s="12">
        <f>VLOOKUP(E1486,Dim_Product!$A$2:$Q$61,4,FALSE)</f>
        <v/>
      </c>
      <c r="V1486" s="12">
        <f>VLOOKUP(D1486,Dim_Customer!$A$2:$I$121,6,FALSE)</f>
        <v/>
      </c>
      <c r="W1486" s="12">
        <f>VLOOKUP(G1486,Dim_Channel!$A$2:$B$5,2,FALSE)</f>
        <v/>
      </c>
      <c r="X1486" s="12">
        <f>VLOOKUP(H1486,Dim_Promotion!$A$2:$G$11,2,FALSE)</f>
        <v/>
      </c>
    </row>
    <row r="1487">
      <c r="A1487" s="4" t="inlineStr">
        <is>
          <t>SL1486</t>
        </is>
      </c>
      <c r="B1487" t="inlineStr">
        <is>
          <t>O010743</t>
        </is>
      </c>
      <c r="C1487" t="n">
        <v>20250611</v>
      </c>
      <c r="D1487" s="4" t="inlineStr">
        <is>
          <t>C029</t>
        </is>
      </c>
      <c r="E1487" s="4" t="inlineStr">
        <is>
          <t>P014</t>
        </is>
      </c>
      <c r="F1487" t="inlineStr">
        <is>
          <t>S</t>
        </is>
      </c>
      <c r="G1487" s="4" t="inlineStr">
        <is>
          <t>CH04</t>
        </is>
      </c>
      <c r="H1487" s="4" t="inlineStr">
        <is>
          <t>PR00</t>
        </is>
      </c>
      <c r="I1487" s="8" t="n">
        <v>61</v>
      </c>
      <c r="J1487" s="9" t="n">
        <v>0</v>
      </c>
      <c r="K1487" s="10">
        <f>I1487*(1-J1487)</f>
        <v/>
      </c>
      <c r="L1487" s="11" t="n">
        <v>1</v>
      </c>
      <c r="M1487" s="10">
        <f>K1487*L1487</f>
        <v/>
      </c>
      <c r="N1487" s="8" t="n">
        <v>26.81</v>
      </c>
      <c r="O1487" s="10">
        <f>N1487*L1487</f>
        <v/>
      </c>
      <c r="P1487" s="10">
        <f>M1487-O1487</f>
        <v/>
      </c>
      <c r="Q1487" s="11" t="inlineStr">
        <is>
          <t>No</t>
        </is>
      </c>
      <c r="R1487" s="11" t="n">
        <v>0</v>
      </c>
      <c r="S1487" s="10">
        <f>M1487-(R1487*K1487)</f>
        <v/>
      </c>
      <c r="T1487" s="12">
        <f>VLOOKUP(E1487,Dim_Product!$A$2:$Q$61,3,FALSE)</f>
        <v/>
      </c>
      <c r="U1487" s="12">
        <f>VLOOKUP(E1487,Dim_Product!$A$2:$Q$61,4,FALSE)</f>
        <v/>
      </c>
      <c r="V1487" s="12">
        <f>VLOOKUP(D1487,Dim_Customer!$A$2:$I$121,6,FALSE)</f>
        <v/>
      </c>
      <c r="W1487" s="12">
        <f>VLOOKUP(G1487,Dim_Channel!$A$2:$B$5,2,FALSE)</f>
        <v/>
      </c>
      <c r="X1487" s="12">
        <f>VLOOKUP(H1487,Dim_Promotion!$A$2:$G$11,2,FALSE)</f>
        <v/>
      </c>
    </row>
    <row r="1488">
      <c r="A1488" s="4" t="inlineStr">
        <is>
          <t>SL1487</t>
        </is>
      </c>
      <c r="B1488" t="inlineStr">
        <is>
          <t>O010744</t>
        </is>
      </c>
      <c r="C1488" t="n">
        <v>20250601</v>
      </c>
      <c r="D1488" s="4" t="inlineStr">
        <is>
          <t>C014</t>
        </is>
      </c>
      <c r="E1488" s="4" t="inlineStr">
        <is>
          <t>P036</t>
        </is>
      </c>
      <c r="F1488" t="inlineStr">
        <is>
          <t>S</t>
        </is>
      </c>
      <c r="G1488" s="4" t="inlineStr">
        <is>
          <t>CH03</t>
        </is>
      </c>
      <c r="H1488" s="4" t="inlineStr">
        <is>
          <t>PR00</t>
        </is>
      </c>
      <c r="I1488" s="8" t="n">
        <v>88</v>
      </c>
      <c r="J1488" s="9" t="n">
        <v>0</v>
      </c>
      <c r="K1488" s="10">
        <f>I1488*(1-J1488)</f>
        <v/>
      </c>
      <c r="L1488" s="11" t="n">
        <v>3</v>
      </c>
      <c r="M1488" s="10">
        <f>K1488*L1488</f>
        <v/>
      </c>
      <c r="N1488" s="8" t="n">
        <v>41.94</v>
      </c>
      <c r="O1488" s="10">
        <f>N1488*L1488</f>
        <v/>
      </c>
      <c r="P1488" s="10">
        <f>M1488-O1488</f>
        <v/>
      </c>
      <c r="Q1488" s="11" t="inlineStr">
        <is>
          <t>No</t>
        </is>
      </c>
      <c r="R1488" s="11" t="n">
        <v>0</v>
      </c>
      <c r="S1488" s="10">
        <f>M1488-(R1488*K1488)</f>
        <v/>
      </c>
      <c r="T1488" s="12">
        <f>VLOOKUP(E1488,Dim_Product!$A$2:$Q$61,3,FALSE)</f>
        <v/>
      </c>
      <c r="U1488" s="12">
        <f>VLOOKUP(E1488,Dim_Product!$A$2:$Q$61,4,FALSE)</f>
        <v/>
      </c>
      <c r="V1488" s="12">
        <f>VLOOKUP(D1488,Dim_Customer!$A$2:$I$121,6,FALSE)</f>
        <v/>
      </c>
      <c r="W1488" s="12">
        <f>VLOOKUP(G1488,Dim_Channel!$A$2:$B$5,2,FALSE)</f>
        <v/>
      </c>
      <c r="X1488" s="12">
        <f>VLOOKUP(H1488,Dim_Promotion!$A$2:$G$11,2,FALSE)</f>
        <v/>
      </c>
    </row>
    <row r="1489">
      <c r="A1489" s="4" t="inlineStr">
        <is>
          <t>SL1488</t>
        </is>
      </c>
      <c r="B1489" t="inlineStr">
        <is>
          <t>O010744</t>
        </is>
      </c>
      <c r="C1489" t="n">
        <v>20250412</v>
      </c>
      <c r="D1489" s="4" t="inlineStr">
        <is>
          <t>C072</t>
        </is>
      </c>
      <c r="E1489" s="4" t="inlineStr">
        <is>
          <t>P058</t>
        </is>
      </c>
      <c r="F1489" t="inlineStr">
        <is>
          <t>XL</t>
        </is>
      </c>
      <c r="G1489" s="4" t="inlineStr">
        <is>
          <t>CH02</t>
        </is>
      </c>
      <c r="H1489" s="4" t="inlineStr">
        <is>
          <t>PR00</t>
        </is>
      </c>
      <c r="I1489" s="8" t="n">
        <v>74</v>
      </c>
      <c r="J1489" s="9" t="n">
        <v>0</v>
      </c>
      <c r="K1489" s="10">
        <f>I1489*(1-J1489)</f>
        <v/>
      </c>
      <c r="L1489" s="11" t="n">
        <v>2</v>
      </c>
      <c r="M1489" s="10">
        <f>K1489*L1489</f>
        <v/>
      </c>
      <c r="N1489" s="8" t="n">
        <v>36.9</v>
      </c>
      <c r="O1489" s="10">
        <f>N1489*L1489</f>
        <v/>
      </c>
      <c r="P1489" s="10">
        <f>M1489-O1489</f>
        <v/>
      </c>
      <c r="Q1489" s="11" t="inlineStr">
        <is>
          <t>No</t>
        </is>
      </c>
      <c r="R1489" s="11" t="n">
        <v>0</v>
      </c>
      <c r="S1489" s="10">
        <f>M1489-(R1489*K1489)</f>
        <v/>
      </c>
      <c r="T1489" s="12">
        <f>VLOOKUP(E1489,Dim_Product!$A$2:$Q$61,3,FALSE)</f>
        <v/>
      </c>
      <c r="U1489" s="12">
        <f>VLOOKUP(E1489,Dim_Product!$A$2:$Q$61,4,FALSE)</f>
        <v/>
      </c>
      <c r="V1489" s="12">
        <f>VLOOKUP(D1489,Dim_Customer!$A$2:$I$121,6,FALSE)</f>
        <v/>
      </c>
      <c r="W1489" s="12">
        <f>VLOOKUP(G1489,Dim_Channel!$A$2:$B$5,2,FALSE)</f>
        <v/>
      </c>
      <c r="X1489" s="12">
        <f>VLOOKUP(H1489,Dim_Promotion!$A$2:$G$11,2,FALSE)</f>
        <v/>
      </c>
    </row>
    <row r="1490">
      <c r="A1490" s="4" t="inlineStr">
        <is>
          <t>SL1489</t>
        </is>
      </c>
      <c r="B1490" t="inlineStr">
        <is>
          <t>O010745</t>
        </is>
      </c>
      <c r="C1490" t="n">
        <v>20250706</v>
      </c>
      <c r="D1490" s="4" t="inlineStr">
        <is>
          <t>C051</t>
        </is>
      </c>
      <c r="E1490" s="4" t="inlineStr">
        <is>
          <t>P026</t>
        </is>
      </c>
      <c r="F1490" t="inlineStr">
        <is>
          <t>M</t>
        </is>
      </c>
      <c r="G1490" s="4" t="inlineStr">
        <is>
          <t>CH01</t>
        </is>
      </c>
      <c r="H1490" s="4" t="inlineStr">
        <is>
          <t>PR00</t>
        </is>
      </c>
      <c r="I1490" s="8" t="n">
        <v>94</v>
      </c>
      <c r="J1490" s="9" t="n">
        <v>0</v>
      </c>
      <c r="K1490" s="10">
        <f>I1490*(1-J1490)</f>
        <v/>
      </c>
      <c r="L1490" s="11" t="n">
        <v>3</v>
      </c>
      <c r="M1490" s="10">
        <f>K1490*L1490</f>
        <v/>
      </c>
      <c r="N1490" s="8" t="n">
        <v>46.41</v>
      </c>
      <c r="O1490" s="10">
        <f>N1490*L1490</f>
        <v/>
      </c>
      <c r="P1490" s="10">
        <f>M1490-O1490</f>
        <v/>
      </c>
      <c r="Q1490" s="11" t="inlineStr">
        <is>
          <t>No</t>
        </is>
      </c>
      <c r="R1490" s="11" t="n">
        <v>0</v>
      </c>
      <c r="S1490" s="10">
        <f>M1490-(R1490*K1490)</f>
        <v/>
      </c>
      <c r="T1490" s="12">
        <f>VLOOKUP(E1490,Dim_Product!$A$2:$Q$61,3,FALSE)</f>
        <v/>
      </c>
      <c r="U1490" s="12">
        <f>VLOOKUP(E1490,Dim_Product!$A$2:$Q$61,4,FALSE)</f>
        <v/>
      </c>
      <c r="V1490" s="12">
        <f>VLOOKUP(D1490,Dim_Customer!$A$2:$I$121,6,FALSE)</f>
        <v/>
      </c>
      <c r="W1490" s="12">
        <f>VLOOKUP(G1490,Dim_Channel!$A$2:$B$5,2,FALSE)</f>
        <v/>
      </c>
      <c r="X1490" s="12">
        <f>VLOOKUP(H1490,Dim_Promotion!$A$2:$G$11,2,FALSE)</f>
        <v/>
      </c>
    </row>
    <row r="1491">
      <c r="A1491" s="4" t="inlineStr">
        <is>
          <t>SL1490</t>
        </is>
      </c>
      <c r="B1491" t="inlineStr">
        <is>
          <t>O010745</t>
        </is>
      </c>
      <c r="C1491" t="n">
        <v>20250220</v>
      </c>
      <c r="D1491" s="4" t="inlineStr">
        <is>
          <t>C113</t>
        </is>
      </c>
      <c r="E1491" s="4" t="inlineStr">
        <is>
          <t>P050</t>
        </is>
      </c>
      <c r="F1491" t="inlineStr">
        <is>
          <t>XL</t>
        </is>
      </c>
      <c r="G1491" s="4" t="inlineStr">
        <is>
          <t>CH01</t>
        </is>
      </c>
      <c r="H1491" s="4" t="inlineStr">
        <is>
          <t>PR00</t>
        </is>
      </c>
      <c r="I1491" s="8" t="n">
        <v>64</v>
      </c>
      <c r="J1491" s="9" t="n">
        <v>0</v>
      </c>
      <c r="K1491" s="10">
        <f>I1491*(1-J1491)</f>
        <v/>
      </c>
      <c r="L1491" s="11" t="n">
        <v>1</v>
      </c>
      <c r="M1491" s="10">
        <f>K1491*L1491</f>
        <v/>
      </c>
      <c r="N1491" s="8" t="n">
        <v>30.44</v>
      </c>
      <c r="O1491" s="10">
        <f>N1491*L1491</f>
        <v/>
      </c>
      <c r="P1491" s="10">
        <f>M1491-O1491</f>
        <v/>
      </c>
      <c r="Q1491" s="11" t="inlineStr">
        <is>
          <t>No</t>
        </is>
      </c>
      <c r="R1491" s="11" t="n">
        <v>0</v>
      </c>
      <c r="S1491" s="10">
        <f>M1491-(R1491*K1491)</f>
        <v/>
      </c>
      <c r="T1491" s="12">
        <f>VLOOKUP(E1491,Dim_Product!$A$2:$Q$61,3,FALSE)</f>
        <v/>
      </c>
      <c r="U1491" s="12">
        <f>VLOOKUP(E1491,Dim_Product!$A$2:$Q$61,4,FALSE)</f>
        <v/>
      </c>
      <c r="V1491" s="12">
        <f>VLOOKUP(D1491,Dim_Customer!$A$2:$I$121,6,FALSE)</f>
        <v/>
      </c>
      <c r="W1491" s="12">
        <f>VLOOKUP(G1491,Dim_Channel!$A$2:$B$5,2,FALSE)</f>
        <v/>
      </c>
      <c r="X1491" s="12">
        <f>VLOOKUP(H1491,Dim_Promotion!$A$2:$G$11,2,FALSE)</f>
        <v/>
      </c>
    </row>
    <row r="1492">
      <c r="A1492" s="4" t="inlineStr">
        <is>
          <t>SL1491</t>
        </is>
      </c>
      <c r="B1492" t="inlineStr">
        <is>
          <t>O010746</t>
        </is>
      </c>
      <c r="C1492" t="n">
        <v>20250602</v>
      </c>
      <c r="D1492" s="4" t="inlineStr">
        <is>
          <t>C053</t>
        </is>
      </c>
      <c r="E1492" s="4" t="inlineStr">
        <is>
          <t>P059</t>
        </is>
      </c>
      <c r="F1492" t="inlineStr">
        <is>
          <t>L</t>
        </is>
      </c>
      <c r="G1492" s="4" t="inlineStr">
        <is>
          <t>CH02</t>
        </is>
      </c>
      <c r="H1492" s="4" t="inlineStr">
        <is>
          <t>PR00</t>
        </is>
      </c>
      <c r="I1492" s="8" t="n">
        <v>74</v>
      </c>
      <c r="J1492" s="9" t="n">
        <v>0</v>
      </c>
      <c r="K1492" s="10">
        <f>I1492*(1-J1492)</f>
        <v/>
      </c>
      <c r="L1492" s="11" t="n">
        <v>3</v>
      </c>
      <c r="M1492" s="10">
        <f>K1492*L1492</f>
        <v/>
      </c>
      <c r="N1492" s="8" t="n">
        <v>33.58</v>
      </c>
      <c r="O1492" s="10">
        <f>N1492*L1492</f>
        <v/>
      </c>
      <c r="P1492" s="10">
        <f>M1492-O1492</f>
        <v/>
      </c>
      <c r="Q1492" s="11" t="inlineStr">
        <is>
          <t>No</t>
        </is>
      </c>
      <c r="R1492" s="11" t="n">
        <v>0</v>
      </c>
      <c r="S1492" s="10">
        <f>M1492-(R1492*K1492)</f>
        <v/>
      </c>
      <c r="T1492" s="12">
        <f>VLOOKUP(E1492,Dim_Product!$A$2:$Q$61,3,FALSE)</f>
        <v/>
      </c>
      <c r="U1492" s="12">
        <f>VLOOKUP(E1492,Dim_Product!$A$2:$Q$61,4,FALSE)</f>
        <v/>
      </c>
      <c r="V1492" s="12">
        <f>VLOOKUP(D1492,Dim_Customer!$A$2:$I$121,6,FALSE)</f>
        <v/>
      </c>
      <c r="W1492" s="12">
        <f>VLOOKUP(G1492,Dim_Channel!$A$2:$B$5,2,FALSE)</f>
        <v/>
      </c>
      <c r="X1492" s="12">
        <f>VLOOKUP(H1492,Dim_Promotion!$A$2:$G$11,2,FALSE)</f>
        <v/>
      </c>
    </row>
    <row r="1493">
      <c r="A1493" s="4" t="inlineStr">
        <is>
          <t>SL1492</t>
        </is>
      </c>
      <c r="B1493" t="inlineStr">
        <is>
          <t>O010746</t>
        </is>
      </c>
      <c r="C1493" t="n">
        <v>20250407</v>
      </c>
      <c r="D1493" s="4" t="inlineStr">
        <is>
          <t>C040</t>
        </is>
      </c>
      <c r="E1493" s="4" t="inlineStr">
        <is>
          <t>P003</t>
        </is>
      </c>
      <c r="F1493" t="inlineStr">
        <is>
          <t>XL</t>
        </is>
      </c>
      <c r="G1493" s="4" t="inlineStr">
        <is>
          <t>CH04</t>
        </is>
      </c>
      <c r="H1493" s="4" t="inlineStr">
        <is>
          <t>PR00</t>
        </is>
      </c>
      <c r="I1493" s="8" t="n">
        <v>42</v>
      </c>
      <c r="J1493" s="9" t="n">
        <v>0</v>
      </c>
      <c r="K1493" s="10">
        <f>I1493*(1-J1493)</f>
        <v/>
      </c>
      <c r="L1493" s="11" t="n">
        <v>1</v>
      </c>
      <c r="M1493" s="10">
        <f>K1493*L1493</f>
        <v/>
      </c>
      <c r="N1493" s="8" t="n">
        <v>20.55</v>
      </c>
      <c r="O1493" s="10">
        <f>N1493*L1493</f>
        <v/>
      </c>
      <c r="P1493" s="10">
        <f>M1493-O1493</f>
        <v/>
      </c>
      <c r="Q1493" s="11" t="inlineStr">
        <is>
          <t>No</t>
        </is>
      </c>
      <c r="R1493" s="11" t="n">
        <v>0</v>
      </c>
      <c r="S1493" s="10">
        <f>M1493-(R1493*K1493)</f>
        <v/>
      </c>
      <c r="T1493" s="12">
        <f>VLOOKUP(E1493,Dim_Product!$A$2:$Q$61,3,FALSE)</f>
        <v/>
      </c>
      <c r="U1493" s="12">
        <f>VLOOKUP(E1493,Dim_Product!$A$2:$Q$61,4,FALSE)</f>
        <v/>
      </c>
      <c r="V1493" s="12">
        <f>VLOOKUP(D1493,Dim_Customer!$A$2:$I$121,6,FALSE)</f>
        <v/>
      </c>
      <c r="W1493" s="12">
        <f>VLOOKUP(G1493,Dim_Channel!$A$2:$B$5,2,FALSE)</f>
        <v/>
      </c>
      <c r="X1493" s="12">
        <f>VLOOKUP(H1493,Dim_Promotion!$A$2:$G$11,2,FALSE)</f>
        <v/>
      </c>
    </row>
    <row r="1494">
      <c r="A1494" s="4" t="inlineStr">
        <is>
          <t>SL1493</t>
        </is>
      </c>
      <c r="B1494" t="inlineStr">
        <is>
          <t>O010747</t>
        </is>
      </c>
      <c r="C1494" t="n">
        <v>20250424</v>
      </c>
      <c r="D1494" s="4" t="inlineStr">
        <is>
          <t>C097</t>
        </is>
      </c>
      <c r="E1494" s="4" t="inlineStr">
        <is>
          <t>P020</t>
        </is>
      </c>
      <c r="F1494" t="inlineStr">
        <is>
          <t>M</t>
        </is>
      </c>
      <c r="G1494" s="4" t="inlineStr">
        <is>
          <t>CH02</t>
        </is>
      </c>
      <c r="H1494" s="4" t="inlineStr">
        <is>
          <t>PR00</t>
        </is>
      </c>
      <c r="I1494" s="8" t="n">
        <v>64</v>
      </c>
      <c r="J1494" s="9" t="n">
        <v>0</v>
      </c>
      <c r="K1494" s="10">
        <f>I1494*(1-J1494)</f>
        <v/>
      </c>
      <c r="L1494" s="11" t="n">
        <v>2</v>
      </c>
      <c r="M1494" s="10">
        <f>K1494*L1494</f>
        <v/>
      </c>
      <c r="N1494" s="8" t="n">
        <v>30.56</v>
      </c>
      <c r="O1494" s="10">
        <f>N1494*L1494</f>
        <v/>
      </c>
      <c r="P1494" s="10">
        <f>M1494-O1494</f>
        <v/>
      </c>
      <c r="Q1494" s="11" t="inlineStr">
        <is>
          <t>No</t>
        </is>
      </c>
      <c r="R1494" s="11" t="n">
        <v>0</v>
      </c>
      <c r="S1494" s="10">
        <f>M1494-(R1494*K1494)</f>
        <v/>
      </c>
      <c r="T1494" s="12">
        <f>VLOOKUP(E1494,Dim_Product!$A$2:$Q$61,3,FALSE)</f>
        <v/>
      </c>
      <c r="U1494" s="12">
        <f>VLOOKUP(E1494,Dim_Product!$A$2:$Q$61,4,FALSE)</f>
        <v/>
      </c>
      <c r="V1494" s="12">
        <f>VLOOKUP(D1494,Dim_Customer!$A$2:$I$121,6,FALSE)</f>
        <v/>
      </c>
      <c r="W1494" s="12">
        <f>VLOOKUP(G1494,Dim_Channel!$A$2:$B$5,2,FALSE)</f>
        <v/>
      </c>
      <c r="X1494" s="12">
        <f>VLOOKUP(H1494,Dim_Promotion!$A$2:$G$11,2,FALSE)</f>
        <v/>
      </c>
    </row>
    <row r="1495">
      <c r="A1495" s="4" t="inlineStr">
        <is>
          <t>SL1494</t>
        </is>
      </c>
      <c r="B1495" t="inlineStr">
        <is>
          <t>O010747</t>
        </is>
      </c>
      <c r="C1495" t="n">
        <v>20250222</v>
      </c>
      <c r="D1495" s="4" t="inlineStr">
        <is>
          <t>C091</t>
        </is>
      </c>
      <c r="E1495" s="4" t="inlineStr">
        <is>
          <t>P032</t>
        </is>
      </c>
      <c r="F1495" t="inlineStr">
        <is>
          <t>XS</t>
        </is>
      </c>
      <c r="G1495" s="4" t="inlineStr">
        <is>
          <t>CH02</t>
        </is>
      </c>
      <c r="H1495" s="4" t="inlineStr">
        <is>
          <t>PR00</t>
        </is>
      </c>
      <c r="I1495" s="8" t="n">
        <v>115</v>
      </c>
      <c r="J1495" s="9" t="n">
        <v>0</v>
      </c>
      <c r="K1495" s="10">
        <f>I1495*(1-J1495)</f>
        <v/>
      </c>
      <c r="L1495" s="11" t="n">
        <v>1</v>
      </c>
      <c r="M1495" s="10">
        <f>K1495*L1495</f>
        <v/>
      </c>
      <c r="N1495" s="8" t="n">
        <v>55.64</v>
      </c>
      <c r="O1495" s="10">
        <f>N1495*L1495</f>
        <v/>
      </c>
      <c r="P1495" s="10">
        <f>M1495-O1495</f>
        <v/>
      </c>
      <c r="Q1495" s="11" t="inlineStr">
        <is>
          <t>No</t>
        </is>
      </c>
      <c r="R1495" s="11" t="n">
        <v>0</v>
      </c>
      <c r="S1495" s="10">
        <f>M1495-(R1495*K1495)</f>
        <v/>
      </c>
      <c r="T1495" s="12">
        <f>VLOOKUP(E1495,Dim_Product!$A$2:$Q$61,3,FALSE)</f>
        <v/>
      </c>
      <c r="U1495" s="12">
        <f>VLOOKUP(E1495,Dim_Product!$A$2:$Q$61,4,FALSE)</f>
        <v/>
      </c>
      <c r="V1495" s="12">
        <f>VLOOKUP(D1495,Dim_Customer!$A$2:$I$121,6,FALSE)</f>
        <v/>
      </c>
      <c r="W1495" s="12">
        <f>VLOOKUP(G1495,Dim_Channel!$A$2:$B$5,2,FALSE)</f>
        <v/>
      </c>
      <c r="X1495" s="12">
        <f>VLOOKUP(H1495,Dim_Promotion!$A$2:$G$11,2,FALSE)</f>
        <v/>
      </c>
    </row>
    <row r="1496">
      <c r="A1496" s="4" t="inlineStr">
        <is>
          <t>SL1495</t>
        </is>
      </c>
      <c r="B1496" t="inlineStr">
        <is>
          <t>O010748</t>
        </is>
      </c>
      <c r="C1496" t="n">
        <v>20251117</v>
      </c>
      <c r="D1496" s="4" t="inlineStr">
        <is>
          <t>C112</t>
        </is>
      </c>
      <c r="E1496" s="4" t="inlineStr">
        <is>
          <t>P051</t>
        </is>
      </c>
      <c r="F1496" t="inlineStr">
        <is>
          <t>L</t>
        </is>
      </c>
      <c r="G1496" s="4" t="inlineStr">
        <is>
          <t>CH02</t>
        </is>
      </c>
      <c r="H1496" s="4" t="inlineStr">
        <is>
          <t>PR00</t>
        </is>
      </c>
      <c r="I1496" s="8" t="n">
        <v>71</v>
      </c>
      <c r="J1496" s="9" t="n">
        <v>0</v>
      </c>
      <c r="K1496" s="10">
        <f>I1496*(1-J1496)</f>
        <v/>
      </c>
      <c r="L1496" s="11" t="n">
        <v>1</v>
      </c>
      <c r="M1496" s="10">
        <f>K1496*L1496</f>
        <v/>
      </c>
      <c r="N1496" s="8" t="n">
        <v>30.15</v>
      </c>
      <c r="O1496" s="10">
        <f>N1496*L1496</f>
        <v/>
      </c>
      <c r="P1496" s="10">
        <f>M1496-O1496</f>
        <v/>
      </c>
      <c r="Q1496" s="11" t="inlineStr">
        <is>
          <t>No</t>
        </is>
      </c>
      <c r="R1496" s="11" t="n">
        <v>0</v>
      </c>
      <c r="S1496" s="10">
        <f>M1496-(R1496*K1496)</f>
        <v/>
      </c>
      <c r="T1496" s="12">
        <f>VLOOKUP(E1496,Dim_Product!$A$2:$Q$61,3,FALSE)</f>
        <v/>
      </c>
      <c r="U1496" s="12">
        <f>VLOOKUP(E1496,Dim_Product!$A$2:$Q$61,4,FALSE)</f>
        <v/>
      </c>
      <c r="V1496" s="12">
        <f>VLOOKUP(D1496,Dim_Customer!$A$2:$I$121,6,FALSE)</f>
        <v/>
      </c>
      <c r="W1496" s="12">
        <f>VLOOKUP(G1496,Dim_Channel!$A$2:$B$5,2,FALSE)</f>
        <v/>
      </c>
      <c r="X1496" s="12">
        <f>VLOOKUP(H1496,Dim_Promotion!$A$2:$G$11,2,FALSE)</f>
        <v/>
      </c>
    </row>
    <row r="1497">
      <c r="A1497" s="4" t="inlineStr">
        <is>
          <t>SL1496</t>
        </is>
      </c>
      <c r="B1497" t="inlineStr">
        <is>
          <t>O010748</t>
        </is>
      </c>
      <c r="C1497" t="n">
        <v>20251101</v>
      </c>
      <c r="D1497" s="4" t="inlineStr">
        <is>
          <t>C045</t>
        </is>
      </c>
      <c r="E1497" s="4" t="inlineStr">
        <is>
          <t>P050</t>
        </is>
      </c>
      <c r="F1497" t="inlineStr">
        <is>
          <t>XL</t>
        </is>
      </c>
      <c r="G1497" s="4" t="inlineStr">
        <is>
          <t>CH02</t>
        </is>
      </c>
      <c r="H1497" s="4" t="inlineStr">
        <is>
          <t>PR00</t>
        </is>
      </c>
      <c r="I1497" s="8" t="n">
        <v>66</v>
      </c>
      <c r="J1497" s="9" t="n">
        <v>0</v>
      </c>
      <c r="K1497" s="10">
        <f>I1497*(1-J1497)</f>
        <v/>
      </c>
      <c r="L1497" s="11" t="n">
        <v>1</v>
      </c>
      <c r="M1497" s="10">
        <f>K1497*L1497</f>
        <v/>
      </c>
      <c r="N1497" s="8" t="n">
        <v>30.58</v>
      </c>
      <c r="O1497" s="10">
        <f>N1497*L1497</f>
        <v/>
      </c>
      <c r="P1497" s="10">
        <f>M1497-O1497</f>
        <v/>
      </c>
      <c r="Q1497" s="11" t="inlineStr">
        <is>
          <t>No</t>
        </is>
      </c>
      <c r="R1497" s="11" t="n">
        <v>0</v>
      </c>
      <c r="S1497" s="10">
        <f>M1497-(R1497*K1497)</f>
        <v/>
      </c>
      <c r="T1497" s="12">
        <f>VLOOKUP(E1497,Dim_Product!$A$2:$Q$61,3,FALSE)</f>
        <v/>
      </c>
      <c r="U1497" s="12">
        <f>VLOOKUP(E1497,Dim_Product!$A$2:$Q$61,4,FALSE)</f>
        <v/>
      </c>
      <c r="V1497" s="12">
        <f>VLOOKUP(D1497,Dim_Customer!$A$2:$I$121,6,FALSE)</f>
        <v/>
      </c>
      <c r="W1497" s="12">
        <f>VLOOKUP(G1497,Dim_Channel!$A$2:$B$5,2,FALSE)</f>
        <v/>
      </c>
      <c r="X1497" s="12">
        <f>VLOOKUP(H1497,Dim_Promotion!$A$2:$G$11,2,FALSE)</f>
        <v/>
      </c>
    </row>
    <row r="1498">
      <c r="A1498" s="4" t="inlineStr">
        <is>
          <t>SL1497</t>
        </is>
      </c>
      <c r="B1498" t="inlineStr">
        <is>
          <t>O010749</t>
        </is>
      </c>
      <c r="C1498" t="n">
        <v>20251106</v>
      </c>
      <c r="D1498" s="4" t="inlineStr">
        <is>
          <t>C032</t>
        </is>
      </c>
      <c r="E1498" s="4" t="inlineStr">
        <is>
          <t>P051</t>
        </is>
      </c>
      <c r="F1498" t="inlineStr">
        <is>
          <t>M</t>
        </is>
      </c>
      <c r="G1498" s="4" t="inlineStr">
        <is>
          <t>CH02</t>
        </is>
      </c>
      <c r="H1498" s="4" t="inlineStr">
        <is>
          <t>PR00</t>
        </is>
      </c>
      <c r="I1498" s="8" t="n">
        <v>72</v>
      </c>
      <c r="J1498" s="9" t="n">
        <v>0</v>
      </c>
      <c r="K1498" s="10">
        <f>I1498*(1-J1498)</f>
        <v/>
      </c>
      <c r="L1498" s="11" t="n">
        <v>1</v>
      </c>
      <c r="M1498" s="10">
        <f>K1498*L1498</f>
        <v/>
      </c>
      <c r="N1498" s="8" t="n">
        <v>29.85</v>
      </c>
      <c r="O1498" s="10">
        <f>N1498*L1498</f>
        <v/>
      </c>
      <c r="P1498" s="10">
        <f>M1498-O1498</f>
        <v/>
      </c>
      <c r="Q1498" s="11" t="inlineStr">
        <is>
          <t>No</t>
        </is>
      </c>
      <c r="R1498" s="11" t="n">
        <v>0</v>
      </c>
      <c r="S1498" s="10">
        <f>M1498-(R1498*K1498)</f>
        <v/>
      </c>
      <c r="T1498" s="12">
        <f>VLOOKUP(E1498,Dim_Product!$A$2:$Q$61,3,FALSE)</f>
        <v/>
      </c>
      <c r="U1498" s="12">
        <f>VLOOKUP(E1498,Dim_Product!$A$2:$Q$61,4,FALSE)</f>
        <v/>
      </c>
      <c r="V1498" s="12">
        <f>VLOOKUP(D1498,Dim_Customer!$A$2:$I$121,6,FALSE)</f>
        <v/>
      </c>
      <c r="W1498" s="12">
        <f>VLOOKUP(G1498,Dim_Channel!$A$2:$B$5,2,FALSE)</f>
        <v/>
      </c>
      <c r="X1498" s="12">
        <f>VLOOKUP(H1498,Dim_Promotion!$A$2:$G$11,2,FALSE)</f>
        <v/>
      </c>
    </row>
    <row r="1499">
      <c r="A1499" s="4" t="inlineStr">
        <is>
          <t>SL1498</t>
        </is>
      </c>
      <c r="B1499" t="inlineStr">
        <is>
          <t>O010749</t>
        </is>
      </c>
      <c r="C1499" t="n">
        <v>20250323</v>
      </c>
      <c r="D1499" s="4" t="inlineStr">
        <is>
          <t>C094</t>
        </is>
      </c>
      <c r="E1499" s="4" t="inlineStr">
        <is>
          <t>P038</t>
        </is>
      </c>
      <c r="F1499" t="inlineStr">
        <is>
          <t>XS</t>
        </is>
      </c>
      <c r="G1499" s="4" t="inlineStr">
        <is>
          <t>CH01</t>
        </is>
      </c>
      <c r="H1499" s="4" t="inlineStr">
        <is>
          <t>PR00</t>
        </is>
      </c>
      <c r="I1499" s="8" t="n">
        <v>74</v>
      </c>
      <c r="J1499" s="9" t="n">
        <v>0</v>
      </c>
      <c r="K1499" s="10">
        <f>I1499*(1-J1499)</f>
        <v/>
      </c>
      <c r="L1499" s="11" t="n">
        <v>1</v>
      </c>
      <c r="M1499" s="10">
        <f>K1499*L1499</f>
        <v/>
      </c>
      <c r="N1499" s="8" t="n">
        <v>33.22</v>
      </c>
      <c r="O1499" s="10">
        <f>N1499*L1499</f>
        <v/>
      </c>
      <c r="P1499" s="10">
        <f>M1499-O1499</f>
        <v/>
      </c>
      <c r="Q1499" s="11" t="inlineStr">
        <is>
          <t>No</t>
        </is>
      </c>
      <c r="R1499" s="11" t="n">
        <v>0</v>
      </c>
      <c r="S1499" s="10">
        <f>M1499-(R1499*K1499)</f>
        <v/>
      </c>
      <c r="T1499" s="12">
        <f>VLOOKUP(E1499,Dim_Product!$A$2:$Q$61,3,FALSE)</f>
        <v/>
      </c>
      <c r="U1499" s="12">
        <f>VLOOKUP(E1499,Dim_Product!$A$2:$Q$61,4,FALSE)</f>
        <v/>
      </c>
      <c r="V1499" s="12">
        <f>VLOOKUP(D1499,Dim_Customer!$A$2:$I$121,6,FALSE)</f>
        <v/>
      </c>
      <c r="W1499" s="12">
        <f>VLOOKUP(G1499,Dim_Channel!$A$2:$B$5,2,FALSE)</f>
        <v/>
      </c>
      <c r="X1499" s="12">
        <f>VLOOKUP(H1499,Dim_Promotion!$A$2:$G$11,2,FALSE)</f>
        <v/>
      </c>
    </row>
    <row r="1500">
      <c r="A1500" s="4" t="inlineStr">
        <is>
          <t>SL1499</t>
        </is>
      </c>
      <c r="B1500" t="inlineStr">
        <is>
          <t>O010750</t>
        </is>
      </c>
      <c r="C1500" t="n">
        <v>20250930</v>
      </c>
      <c r="D1500" s="4" t="inlineStr">
        <is>
          <t>C007</t>
        </is>
      </c>
      <c r="E1500" s="4" t="inlineStr">
        <is>
          <t>P002</t>
        </is>
      </c>
      <c r="F1500" t="inlineStr">
        <is>
          <t>M</t>
        </is>
      </c>
      <c r="G1500" s="4" t="inlineStr">
        <is>
          <t>CH04</t>
        </is>
      </c>
      <c r="H1500" s="4" t="inlineStr">
        <is>
          <t>PR00</t>
        </is>
      </c>
      <c r="I1500" s="8" t="n">
        <v>41</v>
      </c>
      <c r="J1500" s="9" t="n">
        <v>0</v>
      </c>
      <c r="K1500" s="10">
        <f>I1500*(1-J1500)</f>
        <v/>
      </c>
      <c r="L1500" s="11" t="n">
        <v>2</v>
      </c>
      <c r="M1500" s="10">
        <f>K1500*L1500</f>
        <v/>
      </c>
      <c r="N1500" s="8" t="n">
        <v>17.26</v>
      </c>
      <c r="O1500" s="10">
        <f>N1500*L1500</f>
        <v/>
      </c>
      <c r="P1500" s="10">
        <f>M1500-O1500</f>
        <v/>
      </c>
      <c r="Q1500" s="11" t="inlineStr">
        <is>
          <t>No</t>
        </is>
      </c>
      <c r="R1500" s="11" t="n">
        <v>0</v>
      </c>
      <c r="S1500" s="10">
        <f>M1500-(R1500*K1500)</f>
        <v/>
      </c>
      <c r="T1500" s="12">
        <f>VLOOKUP(E1500,Dim_Product!$A$2:$Q$61,3,FALSE)</f>
        <v/>
      </c>
      <c r="U1500" s="12">
        <f>VLOOKUP(E1500,Dim_Product!$A$2:$Q$61,4,FALSE)</f>
        <v/>
      </c>
      <c r="V1500" s="12">
        <f>VLOOKUP(D1500,Dim_Customer!$A$2:$I$121,6,FALSE)</f>
        <v/>
      </c>
      <c r="W1500" s="12">
        <f>VLOOKUP(G1500,Dim_Channel!$A$2:$B$5,2,FALSE)</f>
        <v/>
      </c>
      <c r="X1500" s="12">
        <f>VLOOKUP(H1500,Dim_Promotion!$A$2:$G$11,2,FALSE)</f>
        <v/>
      </c>
    </row>
    <row r="1501">
      <c r="A1501" s="4" t="inlineStr">
        <is>
          <t>SL1500</t>
        </is>
      </c>
      <c r="B1501" t="inlineStr">
        <is>
          <t>O010750</t>
        </is>
      </c>
      <c r="C1501" t="n">
        <v>20250914</v>
      </c>
      <c r="D1501" s="4" t="inlineStr">
        <is>
          <t>C006</t>
        </is>
      </c>
      <c r="E1501" s="4" t="inlineStr">
        <is>
          <t>P046</t>
        </is>
      </c>
      <c r="F1501" t="inlineStr">
        <is>
          <t>M</t>
        </is>
      </c>
      <c r="G1501" s="4" t="inlineStr">
        <is>
          <t>CH01</t>
        </is>
      </c>
      <c r="H1501" s="4" t="inlineStr">
        <is>
          <t>PR00</t>
        </is>
      </c>
      <c r="I1501" s="8" t="n">
        <v>66</v>
      </c>
      <c r="J1501" s="9" t="n">
        <v>0</v>
      </c>
      <c r="K1501" s="10">
        <f>I1501*(1-J1501)</f>
        <v/>
      </c>
      <c r="L1501" s="11" t="n">
        <v>1</v>
      </c>
      <c r="M1501" s="10">
        <f>K1501*L1501</f>
        <v/>
      </c>
      <c r="N1501" s="8" t="n">
        <v>33.56</v>
      </c>
      <c r="O1501" s="10">
        <f>N1501*L1501</f>
        <v/>
      </c>
      <c r="P1501" s="10">
        <f>M1501-O1501</f>
        <v/>
      </c>
      <c r="Q1501" s="11" t="inlineStr">
        <is>
          <t>No</t>
        </is>
      </c>
      <c r="R1501" s="11" t="n">
        <v>0</v>
      </c>
      <c r="S1501" s="10">
        <f>M1501-(R1501*K1501)</f>
        <v/>
      </c>
      <c r="T1501" s="12">
        <f>VLOOKUP(E1501,Dim_Product!$A$2:$Q$61,3,FALSE)</f>
        <v/>
      </c>
      <c r="U1501" s="12">
        <f>VLOOKUP(E1501,Dim_Product!$A$2:$Q$61,4,FALSE)</f>
        <v/>
      </c>
      <c r="V1501" s="12">
        <f>VLOOKUP(D1501,Dim_Customer!$A$2:$I$121,6,FALSE)</f>
        <v/>
      </c>
      <c r="W1501" s="12">
        <f>VLOOKUP(G1501,Dim_Channel!$A$2:$B$5,2,FALSE)</f>
        <v/>
      </c>
      <c r="X1501" s="12">
        <f>VLOOKUP(H1501,Dim_Promotion!$A$2:$G$11,2,FALSE)</f>
        <v/>
      </c>
    </row>
  </sheetData>
  <dataValidations count="5">
    <dataValidation sqref="E2:E1501" showDropDown="0" showInputMessage="0" showErrorMessage="0" allowBlank="0" type="list">
      <formula1>=ProductIDs</formula1>
    </dataValidation>
    <dataValidation sqref="D2:D1501" showDropDown="0" showInputMessage="0" showErrorMessage="0" allowBlank="0" type="list">
      <formula1>=CustomerIDs</formula1>
    </dataValidation>
    <dataValidation sqref="G2:G1501" showDropDown="0" showInputMessage="0" showErrorMessage="0" allowBlank="0" type="list">
      <formula1>=ChannelIDs</formula1>
    </dataValidation>
    <dataValidation sqref="H2:H1501" showDropDown="0" showInputMessage="0" showErrorMessage="0" allowBlank="0" type="list">
      <formula1>=PromotionIDs</formula1>
    </dataValidation>
    <dataValidation sqref="F2:F1501" showDropDown="0" showInputMessage="0" showErrorMessage="0" allowBlank="0" type="list">
      <formula1>=SizesList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6" customWidth="1" min="4" max="4"/>
    <col width="12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20" customWidth="1" min="12" max="12"/>
  </cols>
  <sheetData>
    <row r="1">
      <c r="A1" s="3" t="inlineStr">
        <is>
          <t>Month_Key</t>
        </is>
      </c>
      <c r="B1" s="3" t="inlineStr">
        <is>
          <t>Product_ID</t>
        </is>
      </c>
      <c r="C1" s="3" t="inlineStr">
        <is>
          <t>Opening_Stock</t>
        </is>
      </c>
      <c r="D1" s="3" t="inlineStr">
        <is>
          <t>Received_Stock</t>
        </is>
      </c>
      <c r="E1" s="3" t="inlineStr">
        <is>
          <t>Sold_Stock</t>
        </is>
      </c>
      <c r="F1" s="3" t="inlineStr">
        <is>
          <t>Returned_Stock</t>
        </is>
      </c>
      <c r="G1" s="3" t="inlineStr">
        <is>
          <t>Damaged_Stock</t>
        </is>
      </c>
      <c r="H1" s="3" t="inlineStr">
        <is>
          <t>Closing_Stock</t>
        </is>
      </c>
      <c r="I1" s="3" t="inlineStr">
        <is>
          <t>Reorder_Level</t>
        </is>
      </c>
      <c r="J1" s="3" t="inlineStr">
        <is>
          <t>Stockout_Flag</t>
        </is>
      </c>
      <c r="K1" s="3" t="inlineStr">
        <is>
          <t>Overstock_Flag</t>
        </is>
      </c>
      <c r="L1" s="3" t="inlineStr">
        <is>
          <t>Warehouse_Location</t>
        </is>
      </c>
    </row>
    <row r="2">
      <c r="A2" s="4" t="n">
        <v>20250101</v>
      </c>
      <c r="B2" s="4" t="inlineStr">
        <is>
          <t>P001</t>
        </is>
      </c>
      <c r="C2" t="n">
        <v>53</v>
      </c>
      <c r="D2" t="n">
        <v>16</v>
      </c>
      <c r="E2" t="n">
        <v>0</v>
      </c>
      <c r="F2" t="n">
        <v>0</v>
      </c>
      <c r="G2" t="n">
        <v>1</v>
      </c>
      <c r="H2" t="n">
        <v>68</v>
      </c>
      <c r="I2" t="n">
        <v>18</v>
      </c>
      <c r="J2" t="inlineStr">
        <is>
          <t>No</t>
        </is>
      </c>
      <c r="K2" t="inlineStr">
        <is>
          <t>Yes</t>
        </is>
      </c>
      <c r="L2" t="inlineStr">
        <is>
          <t>North WH</t>
        </is>
      </c>
    </row>
    <row r="3">
      <c r="A3" s="4" t="n">
        <v>20250201</v>
      </c>
      <c r="B3" s="4" t="inlineStr">
        <is>
          <t>P001</t>
        </is>
      </c>
      <c r="C3" t="n">
        <v>68</v>
      </c>
      <c r="D3" t="n">
        <v>0</v>
      </c>
      <c r="E3" t="n">
        <v>1</v>
      </c>
      <c r="F3" t="n">
        <v>0</v>
      </c>
      <c r="G3" t="n">
        <v>1</v>
      </c>
      <c r="H3" t="n">
        <v>66</v>
      </c>
      <c r="I3" t="n">
        <v>18</v>
      </c>
      <c r="J3" t="inlineStr">
        <is>
          <t>No</t>
        </is>
      </c>
      <c r="K3" t="inlineStr">
        <is>
          <t>Yes</t>
        </is>
      </c>
      <c r="L3" t="inlineStr">
        <is>
          <t>North WH</t>
        </is>
      </c>
    </row>
    <row r="4">
      <c r="A4" s="4" t="n">
        <v>20250301</v>
      </c>
      <c r="B4" s="4" t="inlineStr">
        <is>
          <t>P001</t>
        </is>
      </c>
      <c r="C4" t="n">
        <v>66</v>
      </c>
      <c r="D4" t="n">
        <v>8</v>
      </c>
      <c r="E4" t="n">
        <v>1</v>
      </c>
      <c r="F4" t="n">
        <v>0</v>
      </c>
      <c r="G4" t="n">
        <v>2</v>
      </c>
      <c r="H4" t="n">
        <v>71</v>
      </c>
      <c r="I4" t="n">
        <v>18</v>
      </c>
      <c r="J4" t="inlineStr">
        <is>
          <t>No</t>
        </is>
      </c>
      <c r="K4" t="inlineStr">
        <is>
          <t>Yes</t>
        </is>
      </c>
      <c r="L4" t="inlineStr">
        <is>
          <t>North WH</t>
        </is>
      </c>
    </row>
    <row r="5">
      <c r="A5" s="4" t="n">
        <v>20250401</v>
      </c>
      <c r="B5" s="4" t="inlineStr">
        <is>
          <t>P001</t>
        </is>
      </c>
      <c r="C5" t="n">
        <v>71</v>
      </c>
      <c r="D5" t="n">
        <v>6</v>
      </c>
      <c r="E5" t="n">
        <v>5</v>
      </c>
      <c r="F5" t="n">
        <v>0</v>
      </c>
      <c r="G5" t="n">
        <v>1</v>
      </c>
      <c r="H5" t="n">
        <v>71</v>
      </c>
      <c r="I5" t="n">
        <v>18</v>
      </c>
      <c r="J5" t="inlineStr">
        <is>
          <t>No</t>
        </is>
      </c>
      <c r="K5" t="inlineStr">
        <is>
          <t>Yes</t>
        </is>
      </c>
      <c r="L5" t="inlineStr">
        <is>
          <t>North WH</t>
        </is>
      </c>
    </row>
    <row r="6">
      <c r="A6" s="4" t="n">
        <v>20250501</v>
      </c>
      <c r="B6" s="4" t="inlineStr">
        <is>
          <t>P001</t>
        </is>
      </c>
      <c r="C6" t="n">
        <v>71</v>
      </c>
      <c r="D6" t="n">
        <v>8</v>
      </c>
      <c r="E6" t="n">
        <v>6</v>
      </c>
      <c r="F6" t="n">
        <v>0</v>
      </c>
      <c r="G6" t="n">
        <v>0</v>
      </c>
      <c r="H6" t="n">
        <v>73</v>
      </c>
      <c r="I6" t="n">
        <v>18</v>
      </c>
      <c r="J6" t="inlineStr">
        <is>
          <t>No</t>
        </is>
      </c>
      <c r="K6" t="inlineStr">
        <is>
          <t>Yes</t>
        </is>
      </c>
      <c r="L6" t="inlineStr">
        <is>
          <t>Main WH</t>
        </is>
      </c>
    </row>
    <row r="7">
      <c r="A7" s="4" t="n">
        <v>20250601</v>
      </c>
      <c r="B7" s="4" t="inlineStr">
        <is>
          <t>P001</t>
        </is>
      </c>
      <c r="C7" t="n">
        <v>73</v>
      </c>
      <c r="D7" t="n">
        <v>0</v>
      </c>
      <c r="E7" t="n">
        <v>0</v>
      </c>
      <c r="F7" t="n">
        <v>0</v>
      </c>
      <c r="G7" t="n">
        <v>0</v>
      </c>
      <c r="H7" t="n">
        <v>73</v>
      </c>
      <c r="I7" t="n">
        <v>18</v>
      </c>
      <c r="J7" t="inlineStr">
        <is>
          <t>No</t>
        </is>
      </c>
      <c r="K7" t="inlineStr">
        <is>
          <t>Yes</t>
        </is>
      </c>
      <c r="L7" t="inlineStr">
        <is>
          <t>Main WH</t>
        </is>
      </c>
    </row>
    <row r="8">
      <c r="A8" s="4" t="n">
        <v>20250701</v>
      </c>
      <c r="B8" s="4" t="inlineStr">
        <is>
          <t>P001</t>
        </is>
      </c>
      <c r="C8" t="n">
        <v>73</v>
      </c>
      <c r="D8" t="n">
        <v>0</v>
      </c>
      <c r="E8" t="n">
        <v>3</v>
      </c>
      <c r="F8" t="n">
        <v>0</v>
      </c>
      <c r="G8" t="n">
        <v>1</v>
      </c>
      <c r="H8" t="n">
        <v>69</v>
      </c>
      <c r="I8" t="n">
        <v>18</v>
      </c>
      <c r="J8" t="inlineStr">
        <is>
          <t>No</t>
        </is>
      </c>
      <c r="K8" t="inlineStr">
        <is>
          <t>Yes</t>
        </is>
      </c>
      <c r="L8" t="inlineStr">
        <is>
          <t>North WH</t>
        </is>
      </c>
    </row>
    <row r="9">
      <c r="A9" s="4" t="n">
        <v>20250801</v>
      </c>
      <c r="B9" s="4" t="inlineStr">
        <is>
          <t>P001</t>
        </is>
      </c>
      <c r="C9" t="n">
        <v>69</v>
      </c>
      <c r="D9" t="n">
        <v>0</v>
      </c>
      <c r="E9" t="n">
        <v>1</v>
      </c>
      <c r="F9" t="n">
        <v>0</v>
      </c>
      <c r="G9" t="n">
        <v>0</v>
      </c>
      <c r="H9" t="n">
        <v>68</v>
      </c>
      <c r="I9" t="n">
        <v>18</v>
      </c>
      <c r="J9" t="inlineStr">
        <is>
          <t>No</t>
        </is>
      </c>
      <c r="K9" t="inlineStr">
        <is>
          <t>Yes</t>
        </is>
      </c>
      <c r="L9" t="inlineStr">
        <is>
          <t>Main WH</t>
        </is>
      </c>
    </row>
    <row r="10">
      <c r="A10" s="4" t="n">
        <v>20250901</v>
      </c>
      <c r="B10" s="4" t="inlineStr">
        <is>
          <t>P001</t>
        </is>
      </c>
      <c r="C10" t="n">
        <v>68</v>
      </c>
      <c r="D10" t="n">
        <v>3</v>
      </c>
      <c r="E10" t="n">
        <v>3</v>
      </c>
      <c r="F10" t="n">
        <v>0</v>
      </c>
      <c r="G10" t="n">
        <v>0</v>
      </c>
      <c r="H10" t="n">
        <v>68</v>
      </c>
      <c r="I10" t="n">
        <v>18</v>
      </c>
      <c r="J10" t="inlineStr">
        <is>
          <t>No</t>
        </is>
      </c>
      <c r="K10" t="inlineStr">
        <is>
          <t>Yes</t>
        </is>
      </c>
      <c r="L10" t="inlineStr">
        <is>
          <t>Main WH</t>
        </is>
      </c>
    </row>
    <row r="11">
      <c r="A11" s="4" t="n">
        <v>20251001</v>
      </c>
      <c r="B11" s="4" t="inlineStr">
        <is>
          <t>P001</t>
        </is>
      </c>
      <c r="C11" t="n">
        <v>68</v>
      </c>
      <c r="D11" t="n">
        <v>0</v>
      </c>
      <c r="E11" t="n">
        <v>0</v>
      </c>
      <c r="F11" t="n">
        <v>0</v>
      </c>
      <c r="G11" t="n">
        <v>0</v>
      </c>
      <c r="H11" t="n">
        <v>68</v>
      </c>
      <c r="I11" t="n">
        <v>18</v>
      </c>
      <c r="J11" t="inlineStr">
        <is>
          <t>No</t>
        </is>
      </c>
      <c r="K11" t="inlineStr">
        <is>
          <t>Yes</t>
        </is>
      </c>
      <c r="L11" t="inlineStr">
        <is>
          <t>North WH</t>
        </is>
      </c>
    </row>
    <row r="12">
      <c r="A12" s="4" t="n">
        <v>20251101</v>
      </c>
      <c r="B12" s="4" t="inlineStr">
        <is>
          <t>P001</t>
        </is>
      </c>
      <c r="C12" t="n">
        <v>68</v>
      </c>
      <c r="D12" t="n">
        <v>0</v>
      </c>
      <c r="E12" t="n">
        <v>2</v>
      </c>
      <c r="F12" t="n">
        <v>0</v>
      </c>
      <c r="G12" t="n">
        <v>2</v>
      </c>
      <c r="H12" t="n">
        <v>64</v>
      </c>
      <c r="I12" t="n">
        <v>18</v>
      </c>
      <c r="J12" t="inlineStr">
        <is>
          <t>No</t>
        </is>
      </c>
      <c r="K12" t="inlineStr">
        <is>
          <t>Yes</t>
        </is>
      </c>
      <c r="L12" t="inlineStr">
        <is>
          <t>Main WH</t>
        </is>
      </c>
    </row>
    <row r="13">
      <c r="A13" s="4" t="n">
        <v>20251201</v>
      </c>
      <c r="B13" s="4" t="inlineStr">
        <is>
          <t>P001</t>
        </is>
      </c>
      <c r="C13" t="n">
        <v>64</v>
      </c>
      <c r="D13" t="n">
        <v>1</v>
      </c>
      <c r="E13" t="n">
        <v>4</v>
      </c>
      <c r="F13" t="n">
        <v>0</v>
      </c>
      <c r="G13" t="n">
        <v>0</v>
      </c>
      <c r="H13" t="n">
        <v>61</v>
      </c>
      <c r="I13" t="n">
        <v>18</v>
      </c>
      <c r="J13" t="inlineStr">
        <is>
          <t>No</t>
        </is>
      </c>
      <c r="K13" t="inlineStr">
        <is>
          <t>Yes</t>
        </is>
      </c>
      <c r="L13" t="inlineStr">
        <is>
          <t>North WH</t>
        </is>
      </c>
    </row>
    <row r="14">
      <c r="A14" s="4" t="n">
        <v>20250101</v>
      </c>
      <c r="B14" s="4" t="inlineStr">
        <is>
          <t>P002</t>
        </is>
      </c>
      <c r="C14" t="n">
        <v>53</v>
      </c>
      <c r="D14" t="n">
        <v>22</v>
      </c>
      <c r="E14" t="n">
        <v>1</v>
      </c>
      <c r="F14" t="n">
        <v>0</v>
      </c>
      <c r="G14" t="n">
        <v>0</v>
      </c>
      <c r="H14" t="n">
        <v>74</v>
      </c>
      <c r="I14" t="n">
        <v>24</v>
      </c>
      <c r="J14" t="inlineStr">
        <is>
          <t>No</t>
        </is>
      </c>
      <c r="K14" t="inlineStr">
        <is>
          <t>Yes</t>
        </is>
      </c>
      <c r="L14" t="inlineStr">
        <is>
          <t>North WH</t>
        </is>
      </c>
    </row>
    <row r="15">
      <c r="A15" s="4" t="n">
        <v>20250201</v>
      </c>
      <c r="B15" s="4" t="inlineStr">
        <is>
          <t>P002</t>
        </is>
      </c>
      <c r="C15" t="n">
        <v>74</v>
      </c>
      <c r="D15" t="n">
        <v>0</v>
      </c>
      <c r="E15" t="n">
        <v>0</v>
      </c>
      <c r="F15" t="n">
        <v>0</v>
      </c>
      <c r="G15" t="n">
        <v>1</v>
      </c>
      <c r="H15" t="n">
        <v>73</v>
      </c>
      <c r="I15" t="n">
        <v>24</v>
      </c>
      <c r="J15" t="inlineStr">
        <is>
          <t>No</t>
        </is>
      </c>
      <c r="K15" t="inlineStr">
        <is>
          <t>Yes</t>
        </is>
      </c>
      <c r="L15" t="inlineStr">
        <is>
          <t>Main WH</t>
        </is>
      </c>
    </row>
    <row r="16">
      <c r="A16" s="4" t="n">
        <v>20250301</v>
      </c>
      <c r="B16" s="4" t="inlineStr">
        <is>
          <t>P002</t>
        </is>
      </c>
      <c r="C16" t="n">
        <v>73</v>
      </c>
      <c r="D16" t="n">
        <v>0</v>
      </c>
      <c r="E16" t="n">
        <v>5</v>
      </c>
      <c r="F16" t="n">
        <v>0</v>
      </c>
      <c r="G16" t="n">
        <v>0</v>
      </c>
      <c r="H16" t="n">
        <v>68</v>
      </c>
      <c r="I16" t="n">
        <v>24</v>
      </c>
      <c r="J16" t="inlineStr">
        <is>
          <t>No</t>
        </is>
      </c>
      <c r="K16" t="inlineStr">
        <is>
          <t>Yes</t>
        </is>
      </c>
      <c r="L16" t="inlineStr">
        <is>
          <t>Main WH</t>
        </is>
      </c>
    </row>
    <row r="17">
      <c r="A17" s="4" t="n">
        <v>20250401</v>
      </c>
      <c r="B17" s="4" t="inlineStr">
        <is>
          <t>P002</t>
        </is>
      </c>
      <c r="C17" t="n">
        <v>68</v>
      </c>
      <c r="D17" t="n">
        <v>10</v>
      </c>
      <c r="E17" t="n">
        <v>2</v>
      </c>
      <c r="F17" t="n">
        <v>0</v>
      </c>
      <c r="G17" t="n">
        <v>1</v>
      </c>
      <c r="H17" t="n">
        <v>75</v>
      </c>
      <c r="I17" t="n">
        <v>24</v>
      </c>
      <c r="J17" t="inlineStr">
        <is>
          <t>No</t>
        </is>
      </c>
      <c r="K17" t="inlineStr">
        <is>
          <t>Yes</t>
        </is>
      </c>
      <c r="L17" t="inlineStr">
        <is>
          <t>North WH</t>
        </is>
      </c>
    </row>
    <row r="18">
      <c r="A18" s="4" t="n">
        <v>20250501</v>
      </c>
      <c r="B18" s="4" t="inlineStr">
        <is>
          <t>P002</t>
        </is>
      </c>
      <c r="C18" t="n">
        <v>75</v>
      </c>
      <c r="D18" t="n">
        <v>6</v>
      </c>
      <c r="E18" t="n">
        <v>4</v>
      </c>
      <c r="F18" t="n">
        <v>1</v>
      </c>
      <c r="G18" t="n">
        <v>0</v>
      </c>
      <c r="H18" t="n">
        <v>78</v>
      </c>
      <c r="I18" t="n">
        <v>24</v>
      </c>
      <c r="J18" t="inlineStr">
        <is>
          <t>No</t>
        </is>
      </c>
      <c r="K18" t="inlineStr">
        <is>
          <t>Yes</t>
        </is>
      </c>
      <c r="L18" t="inlineStr">
        <is>
          <t>Main WH</t>
        </is>
      </c>
    </row>
    <row r="19">
      <c r="A19" s="4" t="n">
        <v>20250601</v>
      </c>
      <c r="B19" s="4" t="inlineStr">
        <is>
          <t>P002</t>
        </is>
      </c>
      <c r="C19" t="n">
        <v>78</v>
      </c>
      <c r="D19" t="n">
        <v>0</v>
      </c>
      <c r="E19" t="n">
        <v>5</v>
      </c>
      <c r="F19" t="n">
        <v>2</v>
      </c>
      <c r="G19" t="n">
        <v>2</v>
      </c>
      <c r="H19" t="n">
        <v>73</v>
      </c>
      <c r="I19" t="n">
        <v>24</v>
      </c>
      <c r="J19" t="inlineStr">
        <is>
          <t>No</t>
        </is>
      </c>
      <c r="K19" t="inlineStr">
        <is>
          <t>Yes</t>
        </is>
      </c>
      <c r="L19" t="inlineStr">
        <is>
          <t>North WH</t>
        </is>
      </c>
    </row>
    <row r="20">
      <c r="A20" s="4" t="n">
        <v>20250701</v>
      </c>
      <c r="B20" s="4" t="inlineStr">
        <is>
          <t>P002</t>
        </is>
      </c>
      <c r="C20" t="n">
        <v>73</v>
      </c>
      <c r="D20" t="n">
        <v>0</v>
      </c>
      <c r="E20" t="n">
        <v>3</v>
      </c>
      <c r="F20" t="n">
        <v>0</v>
      </c>
      <c r="G20" t="n">
        <v>1</v>
      </c>
      <c r="H20" t="n">
        <v>69</v>
      </c>
      <c r="I20" t="n">
        <v>24</v>
      </c>
      <c r="J20" t="inlineStr">
        <is>
          <t>No</t>
        </is>
      </c>
      <c r="K20" t="inlineStr">
        <is>
          <t>Yes</t>
        </is>
      </c>
      <c r="L20" t="inlineStr">
        <is>
          <t>North WH</t>
        </is>
      </c>
    </row>
    <row r="21">
      <c r="A21" s="4" t="n">
        <v>20250801</v>
      </c>
      <c r="B21" s="4" t="inlineStr">
        <is>
          <t>P002</t>
        </is>
      </c>
      <c r="C21" t="n">
        <v>69</v>
      </c>
      <c r="D21" t="n">
        <v>9</v>
      </c>
      <c r="E21" t="n">
        <v>2</v>
      </c>
      <c r="F21" t="n">
        <v>0</v>
      </c>
      <c r="G21" t="n">
        <v>0</v>
      </c>
      <c r="H21" t="n">
        <v>76</v>
      </c>
      <c r="I21" t="n">
        <v>24</v>
      </c>
      <c r="J21" t="inlineStr">
        <is>
          <t>No</t>
        </is>
      </c>
      <c r="K21" t="inlineStr">
        <is>
          <t>Yes</t>
        </is>
      </c>
      <c r="L21" t="inlineStr">
        <is>
          <t>Main WH</t>
        </is>
      </c>
    </row>
    <row r="22">
      <c r="A22" s="4" t="n">
        <v>20250901</v>
      </c>
      <c r="B22" s="4" t="inlineStr">
        <is>
          <t>P002</t>
        </is>
      </c>
      <c r="C22" t="n">
        <v>76</v>
      </c>
      <c r="D22" t="n">
        <v>0</v>
      </c>
      <c r="E22" t="n">
        <v>2</v>
      </c>
      <c r="F22" t="n">
        <v>0</v>
      </c>
      <c r="G22" t="n">
        <v>0</v>
      </c>
      <c r="H22" t="n">
        <v>74</v>
      </c>
      <c r="I22" t="n">
        <v>24</v>
      </c>
      <c r="J22" t="inlineStr">
        <is>
          <t>No</t>
        </is>
      </c>
      <c r="K22" t="inlineStr">
        <is>
          <t>Yes</t>
        </is>
      </c>
      <c r="L22" t="inlineStr">
        <is>
          <t>Main WH</t>
        </is>
      </c>
    </row>
    <row r="23">
      <c r="A23" s="4" t="n">
        <v>20251001</v>
      </c>
      <c r="B23" s="4" t="inlineStr">
        <is>
          <t>P002</t>
        </is>
      </c>
      <c r="C23" t="n">
        <v>74</v>
      </c>
      <c r="D23" t="n">
        <v>0</v>
      </c>
      <c r="E23" t="n">
        <v>3</v>
      </c>
      <c r="F23" t="n">
        <v>0</v>
      </c>
      <c r="G23" t="n">
        <v>1</v>
      </c>
      <c r="H23" t="n">
        <v>70</v>
      </c>
      <c r="I23" t="n">
        <v>24</v>
      </c>
      <c r="J23" t="inlineStr">
        <is>
          <t>No</t>
        </is>
      </c>
      <c r="K23" t="inlineStr">
        <is>
          <t>Yes</t>
        </is>
      </c>
      <c r="L23" t="inlineStr">
        <is>
          <t>North WH</t>
        </is>
      </c>
    </row>
    <row r="24">
      <c r="A24" s="4" t="n">
        <v>20251101</v>
      </c>
      <c r="B24" s="4" t="inlineStr">
        <is>
          <t>P002</t>
        </is>
      </c>
      <c r="C24" t="n">
        <v>70</v>
      </c>
      <c r="D24" t="n">
        <v>6</v>
      </c>
      <c r="E24" t="n">
        <v>7</v>
      </c>
      <c r="F24" t="n">
        <v>0</v>
      </c>
      <c r="G24" t="n">
        <v>0</v>
      </c>
      <c r="H24" t="n">
        <v>69</v>
      </c>
      <c r="I24" t="n">
        <v>24</v>
      </c>
      <c r="J24" t="inlineStr">
        <is>
          <t>No</t>
        </is>
      </c>
      <c r="K24" t="inlineStr">
        <is>
          <t>Yes</t>
        </is>
      </c>
      <c r="L24" t="inlineStr">
        <is>
          <t>Main WH</t>
        </is>
      </c>
    </row>
    <row r="25">
      <c r="A25" s="4" t="n">
        <v>20251201</v>
      </c>
      <c r="B25" s="4" t="inlineStr">
        <is>
          <t>P002</t>
        </is>
      </c>
      <c r="C25" t="n">
        <v>69</v>
      </c>
      <c r="D25" t="n">
        <v>0</v>
      </c>
      <c r="E25" t="n">
        <v>4</v>
      </c>
      <c r="F25" t="n">
        <v>0</v>
      </c>
      <c r="G25" t="n">
        <v>0</v>
      </c>
      <c r="H25" t="n">
        <v>65</v>
      </c>
      <c r="I25" t="n">
        <v>24</v>
      </c>
      <c r="J25" t="inlineStr">
        <is>
          <t>No</t>
        </is>
      </c>
      <c r="K25" t="inlineStr">
        <is>
          <t>Yes</t>
        </is>
      </c>
      <c r="L25" t="inlineStr">
        <is>
          <t>Main WH</t>
        </is>
      </c>
    </row>
    <row r="26">
      <c r="A26" s="4" t="n">
        <v>20250101</v>
      </c>
      <c r="B26" s="4" t="inlineStr">
        <is>
          <t>P003</t>
        </is>
      </c>
      <c r="C26" t="n">
        <v>85</v>
      </c>
      <c r="D26" t="n">
        <v>0</v>
      </c>
      <c r="E26" t="n">
        <v>4</v>
      </c>
      <c r="F26" t="n">
        <v>0</v>
      </c>
      <c r="G26" t="n">
        <v>0</v>
      </c>
      <c r="H26" t="n">
        <v>81</v>
      </c>
      <c r="I26" t="n">
        <v>30</v>
      </c>
      <c r="J26" t="inlineStr">
        <is>
          <t>No</t>
        </is>
      </c>
      <c r="K26" t="inlineStr">
        <is>
          <t>Yes</t>
        </is>
      </c>
      <c r="L26" t="inlineStr">
        <is>
          <t>North WH</t>
        </is>
      </c>
    </row>
    <row r="27">
      <c r="A27" s="4" t="n">
        <v>20250201</v>
      </c>
      <c r="B27" s="4" t="inlineStr">
        <is>
          <t>P003</t>
        </is>
      </c>
      <c r="C27" t="n">
        <v>81</v>
      </c>
      <c r="D27" t="n">
        <v>7</v>
      </c>
      <c r="E27" t="n">
        <v>3</v>
      </c>
      <c r="F27" t="n">
        <v>0</v>
      </c>
      <c r="G27" t="n">
        <v>1</v>
      </c>
      <c r="H27" t="n">
        <v>84</v>
      </c>
      <c r="I27" t="n">
        <v>30</v>
      </c>
      <c r="J27" t="inlineStr">
        <is>
          <t>No</t>
        </is>
      </c>
      <c r="K27" t="inlineStr">
        <is>
          <t>Yes</t>
        </is>
      </c>
      <c r="L27" t="inlineStr">
        <is>
          <t>Main WH</t>
        </is>
      </c>
    </row>
    <row r="28">
      <c r="A28" s="4" t="n">
        <v>20250301</v>
      </c>
      <c r="B28" s="4" t="inlineStr">
        <is>
          <t>P003</t>
        </is>
      </c>
      <c r="C28" t="n">
        <v>84</v>
      </c>
      <c r="D28" t="n">
        <v>0</v>
      </c>
      <c r="E28" t="n">
        <v>0</v>
      </c>
      <c r="F28" t="n">
        <v>0</v>
      </c>
      <c r="G28" t="n">
        <v>0</v>
      </c>
      <c r="H28" t="n">
        <v>84</v>
      </c>
      <c r="I28" t="n">
        <v>30</v>
      </c>
      <c r="J28" t="inlineStr">
        <is>
          <t>No</t>
        </is>
      </c>
      <c r="K28" t="inlineStr">
        <is>
          <t>Yes</t>
        </is>
      </c>
      <c r="L28" t="inlineStr">
        <is>
          <t>North WH</t>
        </is>
      </c>
    </row>
    <row r="29">
      <c r="A29" s="4" t="n">
        <v>20250401</v>
      </c>
      <c r="B29" s="4" t="inlineStr">
        <is>
          <t>P003</t>
        </is>
      </c>
      <c r="C29" t="n">
        <v>84</v>
      </c>
      <c r="D29" t="n">
        <v>0</v>
      </c>
      <c r="E29" t="n">
        <v>4</v>
      </c>
      <c r="F29" t="n">
        <v>0</v>
      </c>
      <c r="G29" t="n">
        <v>0</v>
      </c>
      <c r="H29" t="n">
        <v>80</v>
      </c>
      <c r="I29" t="n">
        <v>30</v>
      </c>
      <c r="J29" t="inlineStr">
        <is>
          <t>No</t>
        </is>
      </c>
      <c r="K29" t="inlineStr">
        <is>
          <t>Yes</t>
        </is>
      </c>
      <c r="L29" t="inlineStr">
        <is>
          <t>Main WH</t>
        </is>
      </c>
    </row>
    <row r="30">
      <c r="A30" s="4" t="n">
        <v>20250501</v>
      </c>
      <c r="B30" s="4" t="inlineStr">
        <is>
          <t>P003</t>
        </is>
      </c>
      <c r="C30" t="n">
        <v>80</v>
      </c>
      <c r="D30" t="n">
        <v>6</v>
      </c>
      <c r="E30" t="n">
        <v>3</v>
      </c>
      <c r="F30" t="n">
        <v>0</v>
      </c>
      <c r="G30" t="n">
        <v>0</v>
      </c>
      <c r="H30" t="n">
        <v>83</v>
      </c>
      <c r="I30" t="n">
        <v>30</v>
      </c>
      <c r="J30" t="inlineStr">
        <is>
          <t>No</t>
        </is>
      </c>
      <c r="K30" t="inlineStr">
        <is>
          <t>Yes</t>
        </is>
      </c>
      <c r="L30" t="inlineStr">
        <is>
          <t>Main WH</t>
        </is>
      </c>
    </row>
    <row r="31">
      <c r="A31" s="4" t="n">
        <v>20250601</v>
      </c>
      <c r="B31" s="4" t="inlineStr">
        <is>
          <t>P003</t>
        </is>
      </c>
      <c r="C31" t="n">
        <v>83</v>
      </c>
      <c r="D31" t="n">
        <v>0</v>
      </c>
      <c r="E31" t="n">
        <v>7</v>
      </c>
      <c r="F31" t="n">
        <v>1</v>
      </c>
      <c r="G31" t="n">
        <v>0</v>
      </c>
      <c r="H31" t="n">
        <v>77</v>
      </c>
      <c r="I31" t="n">
        <v>30</v>
      </c>
      <c r="J31" t="inlineStr">
        <is>
          <t>No</t>
        </is>
      </c>
      <c r="K31" t="inlineStr">
        <is>
          <t>Yes</t>
        </is>
      </c>
      <c r="L31" t="inlineStr">
        <is>
          <t>Main WH</t>
        </is>
      </c>
    </row>
    <row r="32">
      <c r="A32" s="4" t="n">
        <v>20250701</v>
      </c>
      <c r="B32" s="4" t="inlineStr">
        <is>
          <t>P003</t>
        </is>
      </c>
      <c r="C32" t="n">
        <v>77</v>
      </c>
      <c r="D32" t="n">
        <v>11</v>
      </c>
      <c r="E32" t="n">
        <v>4</v>
      </c>
      <c r="F32" t="n">
        <v>0</v>
      </c>
      <c r="G32" t="n">
        <v>0</v>
      </c>
      <c r="H32" t="n">
        <v>84</v>
      </c>
      <c r="I32" t="n">
        <v>30</v>
      </c>
      <c r="J32" t="inlineStr">
        <is>
          <t>No</t>
        </is>
      </c>
      <c r="K32" t="inlineStr">
        <is>
          <t>Yes</t>
        </is>
      </c>
      <c r="L32" t="inlineStr">
        <is>
          <t>North WH</t>
        </is>
      </c>
    </row>
    <row r="33">
      <c r="A33" s="4" t="n">
        <v>20250801</v>
      </c>
      <c r="B33" s="4" t="inlineStr">
        <is>
          <t>P003</t>
        </is>
      </c>
      <c r="C33" t="n">
        <v>84</v>
      </c>
      <c r="D33" t="n">
        <v>0</v>
      </c>
      <c r="E33" t="n">
        <v>6</v>
      </c>
      <c r="F33" t="n">
        <v>0</v>
      </c>
      <c r="G33" t="n">
        <v>0</v>
      </c>
      <c r="H33" t="n">
        <v>78</v>
      </c>
      <c r="I33" t="n">
        <v>30</v>
      </c>
      <c r="J33" t="inlineStr">
        <is>
          <t>No</t>
        </is>
      </c>
      <c r="K33" t="inlineStr">
        <is>
          <t>Yes</t>
        </is>
      </c>
      <c r="L33" t="inlineStr">
        <is>
          <t>North WH</t>
        </is>
      </c>
    </row>
    <row r="34">
      <c r="A34" s="4" t="n">
        <v>20250901</v>
      </c>
      <c r="B34" s="4" t="inlineStr">
        <is>
          <t>P003</t>
        </is>
      </c>
      <c r="C34" t="n">
        <v>78</v>
      </c>
      <c r="D34" t="n">
        <v>3</v>
      </c>
      <c r="E34" t="n">
        <v>4</v>
      </c>
      <c r="F34" t="n">
        <v>0</v>
      </c>
      <c r="G34" t="n">
        <v>2</v>
      </c>
      <c r="H34" t="n">
        <v>75</v>
      </c>
      <c r="I34" t="n">
        <v>30</v>
      </c>
      <c r="J34" t="inlineStr">
        <is>
          <t>No</t>
        </is>
      </c>
      <c r="K34" t="inlineStr">
        <is>
          <t>Yes</t>
        </is>
      </c>
      <c r="L34" t="inlineStr">
        <is>
          <t>North WH</t>
        </is>
      </c>
    </row>
    <row r="35">
      <c r="A35" s="4" t="n">
        <v>20251001</v>
      </c>
      <c r="B35" s="4" t="inlineStr">
        <is>
          <t>P003</t>
        </is>
      </c>
      <c r="C35" t="n">
        <v>75</v>
      </c>
      <c r="D35" t="n">
        <v>5</v>
      </c>
      <c r="E35" t="n">
        <v>5</v>
      </c>
      <c r="F35" t="n">
        <v>0</v>
      </c>
      <c r="G35" t="n">
        <v>0</v>
      </c>
      <c r="H35" t="n">
        <v>75</v>
      </c>
      <c r="I35" t="n">
        <v>30</v>
      </c>
      <c r="J35" t="inlineStr">
        <is>
          <t>No</t>
        </is>
      </c>
      <c r="K35" t="inlineStr">
        <is>
          <t>Yes</t>
        </is>
      </c>
      <c r="L35" t="inlineStr">
        <is>
          <t>North WH</t>
        </is>
      </c>
    </row>
    <row r="36">
      <c r="A36" s="4" t="n">
        <v>20251101</v>
      </c>
      <c r="B36" s="4" t="inlineStr">
        <is>
          <t>P003</t>
        </is>
      </c>
      <c r="C36" t="n">
        <v>75</v>
      </c>
      <c r="D36" t="n">
        <v>0</v>
      </c>
      <c r="E36" t="n">
        <v>1</v>
      </c>
      <c r="F36" t="n">
        <v>0</v>
      </c>
      <c r="G36" t="n">
        <v>1</v>
      </c>
      <c r="H36" t="n">
        <v>73</v>
      </c>
      <c r="I36" t="n">
        <v>30</v>
      </c>
      <c r="J36" t="inlineStr">
        <is>
          <t>No</t>
        </is>
      </c>
      <c r="K36" t="inlineStr">
        <is>
          <t>Yes</t>
        </is>
      </c>
      <c r="L36" t="inlineStr">
        <is>
          <t>North WH</t>
        </is>
      </c>
    </row>
    <row r="37">
      <c r="A37" s="4" t="n">
        <v>20251201</v>
      </c>
      <c r="B37" s="4" t="inlineStr">
        <is>
          <t>P003</t>
        </is>
      </c>
      <c r="C37" t="n">
        <v>73</v>
      </c>
      <c r="D37" t="n">
        <v>0</v>
      </c>
      <c r="E37" t="n">
        <v>4</v>
      </c>
      <c r="F37" t="n">
        <v>0</v>
      </c>
      <c r="G37" t="n">
        <v>1</v>
      </c>
      <c r="H37" t="n">
        <v>68</v>
      </c>
      <c r="I37" t="n">
        <v>30</v>
      </c>
      <c r="J37" t="inlineStr">
        <is>
          <t>No</t>
        </is>
      </c>
      <c r="K37" t="inlineStr">
        <is>
          <t>No</t>
        </is>
      </c>
      <c r="L37" t="inlineStr">
        <is>
          <t>North WH</t>
        </is>
      </c>
    </row>
    <row r="38">
      <c r="A38" s="4" t="n">
        <v>20250101</v>
      </c>
      <c r="B38" s="4" t="inlineStr">
        <is>
          <t>P004</t>
        </is>
      </c>
      <c r="C38" t="n">
        <v>72</v>
      </c>
      <c r="D38" t="n">
        <v>0</v>
      </c>
      <c r="E38" t="n">
        <v>2</v>
      </c>
      <c r="F38" t="n">
        <v>0</v>
      </c>
      <c r="G38" t="n">
        <v>1</v>
      </c>
      <c r="H38" t="n">
        <v>69</v>
      </c>
      <c r="I38" t="n">
        <v>30</v>
      </c>
      <c r="J38" t="inlineStr">
        <is>
          <t>No</t>
        </is>
      </c>
      <c r="K38" t="inlineStr">
        <is>
          <t>Yes</t>
        </is>
      </c>
      <c r="L38" t="inlineStr">
        <is>
          <t>Main WH</t>
        </is>
      </c>
    </row>
    <row r="39">
      <c r="A39" s="4" t="n">
        <v>20250201</v>
      </c>
      <c r="B39" s="4" t="inlineStr">
        <is>
          <t>P004</t>
        </is>
      </c>
      <c r="C39" t="n">
        <v>69</v>
      </c>
      <c r="D39" t="n">
        <v>0</v>
      </c>
      <c r="E39" t="n">
        <v>0</v>
      </c>
      <c r="F39" t="n">
        <v>0</v>
      </c>
      <c r="G39" t="n">
        <v>1</v>
      </c>
      <c r="H39" t="n">
        <v>68</v>
      </c>
      <c r="I39" t="n">
        <v>30</v>
      </c>
      <c r="J39" t="inlineStr">
        <is>
          <t>No</t>
        </is>
      </c>
      <c r="K39" t="inlineStr">
        <is>
          <t>No</t>
        </is>
      </c>
      <c r="L39" t="inlineStr">
        <is>
          <t>North WH</t>
        </is>
      </c>
    </row>
    <row r="40">
      <c r="A40" s="4" t="n">
        <v>20250301</v>
      </c>
      <c r="B40" s="4" t="inlineStr">
        <is>
          <t>P004</t>
        </is>
      </c>
      <c r="C40" t="n">
        <v>68</v>
      </c>
      <c r="D40" t="n">
        <v>14</v>
      </c>
      <c r="E40" t="n">
        <v>2</v>
      </c>
      <c r="F40" t="n">
        <v>0</v>
      </c>
      <c r="G40" t="n">
        <v>2</v>
      </c>
      <c r="H40" t="n">
        <v>78</v>
      </c>
      <c r="I40" t="n">
        <v>30</v>
      </c>
      <c r="J40" t="inlineStr">
        <is>
          <t>No</t>
        </is>
      </c>
      <c r="K40" t="inlineStr">
        <is>
          <t>Yes</t>
        </is>
      </c>
      <c r="L40" t="inlineStr">
        <is>
          <t>Main WH</t>
        </is>
      </c>
    </row>
    <row r="41">
      <c r="A41" s="4" t="n">
        <v>20250401</v>
      </c>
      <c r="B41" s="4" t="inlineStr">
        <is>
          <t>P004</t>
        </is>
      </c>
      <c r="C41" t="n">
        <v>78</v>
      </c>
      <c r="D41" t="n">
        <v>0</v>
      </c>
      <c r="E41" t="n">
        <v>4</v>
      </c>
      <c r="F41" t="n">
        <v>0</v>
      </c>
      <c r="G41" t="n">
        <v>0</v>
      </c>
      <c r="H41" t="n">
        <v>74</v>
      </c>
      <c r="I41" t="n">
        <v>30</v>
      </c>
      <c r="J41" t="inlineStr">
        <is>
          <t>No</t>
        </is>
      </c>
      <c r="K41" t="inlineStr">
        <is>
          <t>Yes</t>
        </is>
      </c>
      <c r="L41" t="inlineStr">
        <is>
          <t>Main WH</t>
        </is>
      </c>
    </row>
    <row r="42">
      <c r="A42" s="4" t="n">
        <v>20250501</v>
      </c>
      <c r="B42" s="4" t="inlineStr">
        <is>
          <t>P004</t>
        </is>
      </c>
      <c r="C42" t="n">
        <v>74</v>
      </c>
      <c r="D42" t="n">
        <v>8</v>
      </c>
      <c r="E42" t="n">
        <v>1</v>
      </c>
      <c r="F42" t="n">
        <v>0</v>
      </c>
      <c r="G42" t="n">
        <v>0</v>
      </c>
      <c r="H42" t="n">
        <v>81</v>
      </c>
      <c r="I42" t="n">
        <v>30</v>
      </c>
      <c r="J42" t="inlineStr">
        <is>
          <t>No</t>
        </is>
      </c>
      <c r="K42" t="inlineStr">
        <is>
          <t>Yes</t>
        </is>
      </c>
      <c r="L42" t="inlineStr">
        <is>
          <t>North WH</t>
        </is>
      </c>
    </row>
    <row r="43">
      <c r="A43" s="4" t="n">
        <v>20250601</v>
      </c>
      <c r="B43" s="4" t="inlineStr">
        <is>
          <t>P004</t>
        </is>
      </c>
      <c r="C43" t="n">
        <v>81</v>
      </c>
      <c r="D43" t="n">
        <v>0</v>
      </c>
      <c r="E43" t="n">
        <v>8</v>
      </c>
      <c r="F43" t="n">
        <v>0</v>
      </c>
      <c r="G43" t="n">
        <v>0</v>
      </c>
      <c r="H43" t="n">
        <v>73</v>
      </c>
      <c r="I43" t="n">
        <v>30</v>
      </c>
      <c r="J43" t="inlineStr">
        <is>
          <t>No</t>
        </is>
      </c>
      <c r="K43" t="inlineStr">
        <is>
          <t>Yes</t>
        </is>
      </c>
      <c r="L43" t="inlineStr">
        <is>
          <t>North WH</t>
        </is>
      </c>
    </row>
    <row r="44">
      <c r="A44" s="4" t="n">
        <v>20250701</v>
      </c>
      <c r="B44" s="4" t="inlineStr">
        <is>
          <t>P004</t>
        </is>
      </c>
      <c r="C44" t="n">
        <v>73</v>
      </c>
      <c r="D44" t="n">
        <v>0</v>
      </c>
      <c r="E44" t="n">
        <v>3</v>
      </c>
      <c r="F44" t="n">
        <v>0</v>
      </c>
      <c r="G44" t="n">
        <v>0</v>
      </c>
      <c r="H44" t="n">
        <v>70</v>
      </c>
      <c r="I44" t="n">
        <v>30</v>
      </c>
      <c r="J44" t="inlineStr">
        <is>
          <t>No</t>
        </is>
      </c>
      <c r="K44" t="inlineStr">
        <is>
          <t>Yes</t>
        </is>
      </c>
      <c r="L44" t="inlineStr">
        <is>
          <t>North WH</t>
        </is>
      </c>
    </row>
    <row r="45">
      <c r="A45" s="4" t="n">
        <v>20250801</v>
      </c>
      <c r="B45" s="4" t="inlineStr">
        <is>
          <t>P004</t>
        </is>
      </c>
      <c r="C45" t="n">
        <v>70</v>
      </c>
      <c r="D45" t="n">
        <v>0</v>
      </c>
      <c r="E45" t="n">
        <v>4</v>
      </c>
      <c r="F45" t="n">
        <v>0</v>
      </c>
      <c r="G45" t="n">
        <v>0</v>
      </c>
      <c r="H45" t="n">
        <v>66</v>
      </c>
      <c r="I45" t="n">
        <v>30</v>
      </c>
      <c r="J45" t="inlineStr">
        <is>
          <t>No</t>
        </is>
      </c>
      <c r="K45" t="inlineStr">
        <is>
          <t>No</t>
        </is>
      </c>
      <c r="L45" t="inlineStr">
        <is>
          <t>Main WH</t>
        </is>
      </c>
    </row>
    <row r="46">
      <c r="A46" s="4" t="n">
        <v>20250901</v>
      </c>
      <c r="B46" s="4" t="inlineStr">
        <is>
          <t>P004</t>
        </is>
      </c>
      <c r="C46" t="n">
        <v>66</v>
      </c>
      <c r="D46" t="n">
        <v>3</v>
      </c>
      <c r="E46" t="n">
        <v>0</v>
      </c>
      <c r="F46" t="n">
        <v>0</v>
      </c>
      <c r="G46" t="n">
        <v>0</v>
      </c>
      <c r="H46" t="n">
        <v>69</v>
      </c>
      <c r="I46" t="n">
        <v>30</v>
      </c>
      <c r="J46" t="inlineStr">
        <is>
          <t>No</t>
        </is>
      </c>
      <c r="K46" t="inlineStr">
        <is>
          <t>Yes</t>
        </is>
      </c>
      <c r="L46" t="inlineStr">
        <is>
          <t>North WH</t>
        </is>
      </c>
    </row>
    <row r="47">
      <c r="A47" s="4" t="n">
        <v>20251001</v>
      </c>
      <c r="B47" s="4" t="inlineStr">
        <is>
          <t>P004</t>
        </is>
      </c>
      <c r="C47" t="n">
        <v>69</v>
      </c>
      <c r="D47" t="n">
        <v>17</v>
      </c>
      <c r="E47" t="n">
        <v>3</v>
      </c>
      <c r="F47" t="n">
        <v>0</v>
      </c>
      <c r="G47" t="n">
        <v>0</v>
      </c>
      <c r="H47" t="n">
        <v>83</v>
      </c>
      <c r="I47" t="n">
        <v>30</v>
      </c>
      <c r="J47" t="inlineStr">
        <is>
          <t>No</t>
        </is>
      </c>
      <c r="K47" t="inlineStr">
        <is>
          <t>Yes</t>
        </is>
      </c>
      <c r="L47" t="inlineStr">
        <is>
          <t>North WH</t>
        </is>
      </c>
    </row>
    <row r="48">
      <c r="A48" s="4" t="n">
        <v>20251101</v>
      </c>
      <c r="B48" s="4" t="inlineStr">
        <is>
          <t>P004</t>
        </is>
      </c>
      <c r="C48" t="n">
        <v>83</v>
      </c>
      <c r="D48" t="n">
        <v>6</v>
      </c>
      <c r="E48" t="n">
        <v>4</v>
      </c>
      <c r="F48" t="n">
        <v>0</v>
      </c>
      <c r="G48" t="n">
        <v>0</v>
      </c>
      <c r="H48" t="n">
        <v>85</v>
      </c>
      <c r="I48" t="n">
        <v>30</v>
      </c>
      <c r="J48" t="inlineStr">
        <is>
          <t>No</t>
        </is>
      </c>
      <c r="K48" t="inlineStr">
        <is>
          <t>Yes</t>
        </is>
      </c>
      <c r="L48" t="inlineStr">
        <is>
          <t>Main WH</t>
        </is>
      </c>
    </row>
    <row r="49">
      <c r="A49" s="4" t="n">
        <v>20251201</v>
      </c>
      <c r="B49" s="4" t="inlineStr">
        <is>
          <t>P004</t>
        </is>
      </c>
      <c r="C49" t="n">
        <v>85</v>
      </c>
      <c r="D49" t="n">
        <v>0</v>
      </c>
      <c r="E49" t="n">
        <v>1</v>
      </c>
      <c r="F49" t="n">
        <v>0</v>
      </c>
      <c r="G49" t="n">
        <v>1</v>
      </c>
      <c r="H49" t="n">
        <v>83</v>
      </c>
      <c r="I49" t="n">
        <v>30</v>
      </c>
      <c r="J49" t="inlineStr">
        <is>
          <t>No</t>
        </is>
      </c>
      <c r="K49" t="inlineStr">
        <is>
          <t>Yes</t>
        </is>
      </c>
      <c r="L49" t="inlineStr">
        <is>
          <t>Main WH</t>
        </is>
      </c>
    </row>
    <row r="50">
      <c r="A50" s="4" t="n">
        <v>20250101</v>
      </c>
      <c r="B50" s="4" t="inlineStr">
        <is>
          <t>P005</t>
        </is>
      </c>
      <c r="C50" t="n">
        <v>58</v>
      </c>
      <c r="D50" t="n">
        <v>5</v>
      </c>
      <c r="E50" t="n">
        <v>2</v>
      </c>
      <c r="F50" t="n">
        <v>0</v>
      </c>
      <c r="G50" t="n">
        <v>1</v>
      </c>
      <c r="H50" t="n">
        <v>60</v>
      </c>
      <c r="I50" t="n">
        <v>24</v>
      </c>
      <c r="J50" t="inlineStr">
        <is>
          <t>No</t>
        </is>
      </c>
      <c r="K50" t="inlineStr">
        <is>
          <t>Yes</t>
        </is>
      </c>
      <c r="L50" t="inlineStr">
        <is>
          <t>North WH</t>
        </is>
      </c>
    </row>
    <row r="51">
      <c r="A51" s="4" t="n">
        <v>20250201</v>
      </c>
      <c r="B51" s="4" t="inlineStr">
        <is>
          <t>P005</t>
        </is>
      </c>
      <c r="C51" t="n">
        <v>60</v>
      </c>
      <c r="D51" t="n">
        <v>9</v>
      </c>
      <c r="E51" t="n">
        <v>1</v>
      </c>
      <c r="F51" t="n">
        <v>0</v>
      </c>
      <c r="G51" t="n">
        <v>0</v>
      </c>
      <c r="H51" t="n">
        <v>68</v>
      </c>
      <c r="I51" t="n">
        <v>24</v>
      </c>
      <c r="J51" t="inlineStr">
        <is>
          <t>No</t>
        </is>
      </c>
      <c r="K51" t="inlineStr">
        <is>
          <t>Yes</t>
        </is>
      </c>
      <c r="L51" t="inlineStr">
        <is>
          <t>Main WH</t>
        </is>
      </c>
    </row>
    <row r="52">
      <c r="A52" s="4" t="n">
        <v>20250301</v>
      </c>
      <c r="B52" s="4" t="inlineStr">
        <is>
          <t>P005</t>
        </is>
      </c>
      <c r="C52" t="n">
        <v>68</v>
      </c>
      <c r="D52" t="n">
        <v>0</v>
      </c>
      <c r="E52" t="n">
        <v>2</v>
      </c>
      <c r="F52" t="n">
        <v>0</v>
      </c>
      <c r="G52" t="n">
        <v>0</v>
      </c>
      <c r="H52" t="n">
        <v>66</v>
      </c>
      <c r="I52" t="n">
        <v>24</v>
      </c>
      <c r="J52" t="inlineStr">
        <is>
          <t>No</t>
        </is>
      </c>
      <c r="K52" t="inlineStr">
        <is>
          <t>Yes</t>
        </is>
      </c>
      <c r="L52" t="inlineStr">
        <is>
          <t>North WH</t>
        </is>
      </c>
    </row>
    <row r="53">
      <c r="A53" s="4" t="n">
        <v>20250401</v>
      </c>
      <c r="B53" s="4" t="inlineStr">
        <is>
          <t>P005</t>
        </is>
      </c>
      <c r="C53" t="n">
        <v>66</v>
      </c>
      <c r="D53" t="n">
        <v>0</v>
      </c>
      <c r="E53" t="n">
        <v>5</v>
      </c>
      <c r="F53" t="n">
        <v>0</v>
      </c>
      <c r="G53" t="n">
        <v>2</v>
      </c>
      <c r="H53" t="n">
        <v>59</v>
      </c>
      <c r="I53" t="n">
        <v>24</v>
      </c>
      <c r="J53" t="inlineStr">
        <is>
          <t>No</t>
        </is>
      </c>
      <c r="K53" t="inlineStr">
        <is>
          <t>Yes</t>
        </is>
      </c>
      <c r="L53" t="inlineStr">
        <is>
          <t>North WH</t>
        </is>
      </c>
    </row>
    <row r="54">
      <c r="A54" s="4" t="n">
        <v>20250501</v>
      </c>
      <c r="B54" s="4" t="inlineStr">
        <is>
          <t>P005</t>
        </is>
      </c>
      <c r="C54" t="n">
        <v>59</v>
      </c>
      <c r="D54" t="n">
        <v>15</v>
      </c>
      <c r="E54" t="n">
        <v>3</v>
      </c>
      <c r="F54" t="n">
        <v>0</v>
      </c>
      <c r="G54" t="n">
        <v>0</v>
      </c>
      <c r="H54" t="n">
        <v>71</v>
      </c>
      <c r="I54" t="n">
        <v>24</v>
      </c>
      <c r="J54" t="inlineStr">
        <is>
          <t>No</t>
        </is>
      </c>
      <c r="K54" t="inlineStr">
        <is>
          <t>Yes</t>
        </is>
      </c>
      <c r="L54" t="inlineStr">
        <is>
          <t>Main WH</t>
        </is>
      </c>
    </row>
    <row r="55">
      <c r="A55" s="4" t="n">
        <v>20250601</v>
      </c>
      <c r="B55" s="4" t="inlineStr">
        <is>
          <t>P005</t>
        </is>
      </c>
      <c r="C55" t="n">
        <v>71</v>
      </c>
      <c r="D55" t="n">
        <v>0</v>
      </c>
      <c r="E55" t="n">
        <v>6</v>
      </c>
      <c r="F55" t="n">
        <v>0</v>
      </c>
      <c r="G55" t="n">
        <v>0</v>
      </c>
      <c r="H55" t="n">
        <v>65</v>
      </c>
      <c r="I55" t="n">
        <v>24</v>
      </c>
      <c r="J55" t="inlineStr">
        <is>
          <t>No</t>
        </is>
      </c>
      <c r="K55" t="inlineStr">
        <is>
          <t>Yes</t>
        </is>
      </c>
      <c r="L55" t="inlineStr">
        <is>
          <t>Main WH</t>
        </is>
      </c>
    </row>
    <row r="56">
      <c r="A56" s="4" t="n">
        <v>20250701</v>
      </c>
      <c r="B56" s="4" t="inlineStr">
        <is>
          <t>P005</t>
        </is>
      </c>
      <c r="C56" t="n">
        <v>65</v>
      </c>
      <c r="D56" t="n">
        <v>0</v>
      </c>
      <c r="E56" t="n">
        <v>2</v>
      </c>
      <c r="F56" t="n">
        <v>0</v>
      </c>
      <c r="G56" t="n">
        <v>0</v>
      </c>
      <c r="H56" t="n">
        <v>63</v>
      </c>
      <c r="I56" t="n">
        <v>24</v>
      </c>
      <c r="J56" t="inlineStr">
        <is>
          <t>No</t>
        </is>
      </c>
      <c r="K56" t="inlineStr">
        <is>
          <t>Yes</t>
        </is>
      </c>
      <c r="L56" t="inlineStr">
        <is>
          <t>North WH</t>
        </is>
      </c>
    </row>
    <row r="57">
      <c r="A57" s="4" t="n">
        <v>20250801</v>
      </c>
      <c r="B57" s="4" t="inlineStr">
        <is>
          <t>P005</t>
        </is>
      </c>
      <c r="C57" t="n">
        <v>63</v>
      </c>
      <c r="D57" t="n">
        <v>0</v>
      </c>
      <c r="E57" t="n">
        <v>1</v>
      </c>
      <c r="F57" t="n">
        <v>0</v>
      </c>
      <c r="G57" t="n">
        <v>1</v>
      </c>
      <c r="H57" t="n">
        <v>61</v>
      </c>
      <c r="I57" t="n">
        <v>24</v>
      </c>
      <c r="J57" t="inlineStr">
        <is>
          <t>No</t>
        </is>
      </c>
      <c r="K57" t="inlineStr">
        <is>
          <t>Yes</t>
        </is>
      </c>
      <c r="L57" t="inlineStr">
        <is>
          <t>North WH</t>
        </is>
      </c>
    </row>
    <row r="58">
      <c r="A58" s="4" t="n">
        <v>20250901</v>
      </c>
      <c r="B58" s="4" t="inlineStr">
        <is>
          <t>P005</t>
        </is>
      </c>
      <c r="C58" t="n">
        <v>61</v>
      </c>
      <c r="D58" t="n">
        <v>21</v>
      </c>
      <c r="E58" t="n">
        <v>7</v>
      </c>
      <c r="F58" t="n">
        <v>0</v>
      </c>
      <c r="G58" t="n">
        <v>0</v>
      </c>
      <c r="H58" t="n">
        <v>75</v>
      </c>
      <c r="I58" t="n">
        <v>24</v>
      </c>
      <c r="J58" t="inlineStr">
        <is>
          <t>No</t>
        </is>
      </c>
      <c r="K58" t="inlineStr">
        <is>
          <t>Yes</t>
        </is>
      </c>
      <c r="L58" t="inlineStr">
        <is>
          <t>North WH</t>
        </is>
      </c>
    </row>
    <row r="59">
      <c r="A59" s="4" t="n">
        <v>20251001</v>
      </c>
      <c r="B59" s="4" t="inlineStr">
        <is>
          <t>P005</t>
        </is>
      </c>
      <c r="C59" t="n">
        <v>75</v>
      </c>
      <c r="D59" t="n">
        <v>1</v>
      </c>
      <c r="E59" t="n">
        <v>2</v>
      </c>
      <c r="F59" t="n">
        <v>0</v>
      </c>
      <c r="G59" t="n">
        <v>0</v>
      </c>
      <c r="H59" t="n">
        <v>74</v>
      </c>
      <c r="I59" t="n">
        <v>24</v>
      </c>
      <c r="J59" t="inlineStr">
        <is>
          <t>No</t>
        </is>
      </c>
      <c r="K59" t="inlineStr">
        <is>
          <t>Yes</t>
        </is>
      </c>
      <c r="L59" t="inlineStr">
        <is>
          <t>North WH</t>
        </is>
      </c>
    </row>
    <row r="60">
      <c r="A60" s="4" t="n">
        <v>20251101</v>
      </c>
      <c r="B60" s="4" t="inlineStr">
        <is>
          <t>P005</t>
        </is>
      </c>
      <c r="C60" t="n">
        <v>74</v>
      </c>
      <c r="D60" t="n">
        <v>1</v>
      </c>
      <c r="E60" t="n">
        <v>1</v>
      </c>
      <c r="F60" t="n">
        <v>0</v>
      </c>
      <c r="G60" t="n">
        <v>0</v>
      </c>
      <c r="H60" t="n">
        <v>74</v>
      </c>
      <c r="I60" t="n">
        <v>24</v>
      </c>
      <c r="J60" t="inlineStr">
        <is>
          <t>No</t>
        </is>
      </c>
      <c r="K60" t="inlineStr">
        <is>
          <t>Yes</t>
        </is>
      </c>
      <c r="L60" t="inlineStr">
        <is>
          <t>Main WH</t>
        </is>
      </c>
    </row>
    <row r="61">
      <c r="A61" s="4" t="n">
        <v>20251201</v>
      </c>
      <c r="B61" s="4" t="inlineStr">
        <is>
          <t>P005</t>
        </is>
      </c>
      <c r="C61" t="n">
        <v>74</v>
      </c>
      <c r="D61" t="n">
        <v>1</v>
      </c>
      <c r="E61" t="n">
        <v>2</v>
      </c>
      <c r="F61" t="n">
        <v>0</v>
      </c>
      <c r="G61" t="n">
        <v>1</v>
      </c>
      <c r="H61" t="n">
        <v>72</v>
      </c>
      <c r="I61" t="n">
        <v>24</v>
      </c>
      <c r="J61" t="inlineStr">
        <is>
          <t>No</t>
        </is>
      </c>
      <c r="K61" t="inlineStr">
        <is>
          <t>Yes</t>
        </is>
      </c>
      <c r="L61" t="inlineStr">
        <is>
          <t>North WH</t>
        </is>
      </c>
    </row>
    <row r="62">
      <c r="A62" s="4" t="n">
        <v>20250101</v>
      </c>
      <c r="B62" s="4" t="inlineStr">
        <is>
          <t>P006</t>
        </is>
      </c>
      <c r="C62" t="n">
        <v>64</v>
      </c>
      <c r="D62" t="n">
        <v>3</v>
      </c>
      <c r="E62" t="n">
        <v>1</v>
      </c>
      <c r="F62" t="n">
        <v>1</v>
      </c>
      <c r="G62" t="n">
        <v>1</v>
      </c>
      <c r="H62" t="n">
        <v>66</v>
      </c>
      <c r="I62" t="n">
        <v>30</v>
      </c>
      <c r="J62" t="inlineStr">
        <is>
          <t>No</t>
        </is>
      </c>
      <c r="K62" t="inlineStr">
        <is>
          <t>No</t>
        </is>
      </c>
      <c r="L62" t="inlineStr">
        <is>
          <t>Main WH</t>
        </is>
      </c>
    </row>
    <row r="63">
      <c r="A63" s="4" t="n">
        <v>20250201</v>
      </c>
      <c r="B63" s="4" t="inlineStr">
        <is>
          <t>P006</t>
        </is>
      </c>
      <c r="C63" t="n">
        <v>66</v>
      </c>
      <c r="D63" t="n">
        <v>0</v>
      </c>
      <c r="E63" t="n">
        <v>0</v>
      </c>
      <c r="F63" t="n">
        <v>0</v>
      </c>
      <c r="G63" t="n">
        <v>0</v>
      </c>
      <c r="H63" t="n">
        <v>66</v>
      </c>
      <c r="I63" t="n">
        <v>30</v>
      </c>
      <c r="J63" t="inlineStr">
        <is>
          <t>No</t>
        </is>
      </c>
      <c r="K63" t="inlineStr">
        <is>
          <t>No</t>
        </is>
      </c>
      <c r="L63" t="inlineStr">
        <is>
          <t>North WH</t>
        </is>
      </c>
    </row>
    <row r="64">
      <c r="A64" s="4" t="n">
        <v>20250301</v>
      </c>
      <c r="B64" s="4" t="inlineStr">
        <is>
          <t>P006</t>
        </is>
      </c>
      <c r="C64" t="n">
        <v>66</v>
      </c>
      <c r="D64" t="n">
        <v>0</v>
      </c>
      <c r="E64" t="n">
        <v>6</v>
      </c>
      <c r="F64" t="n">
        <v>0</v>
      </c>
      <c r="G64" t="n">
        <v>0</v>
      </c>
      <c r="H64" t="n">
        <v>60</v>
      </c>
      <c r="I64" t="n">
        <v>30</v>
      </c>
      <c r="J64" t="inlineStr">
        <is>
          <t>No</t>
        </is>
      </c>
      <c r="K64" t="inlineStr">
        <is>
          <t>No</t>
        </is>
      </c>
      <c r="L64" t="inlineStr">
        <is>
          <t>North WH</t>
        </is>
      </c>
    </row>
    <row r="65">
      <c r="A65" s="4" t="n">
        <v>20250401</v>
      </c>
      <c r="B65" s="4" t="inlineStr">
        <is>
          <t>P006</t>
        </is>
      </c>
      <c r="C65" t="n">
        <v>60</v>
      </c>
      <c r="D65" t="n">
        <v>20</v>
      </c>
      <c r="E65" t="n">
        <v>7</v>
      </c>
      <c r="F65" t="n">
        <v>0</v>
      </c>
      <c r="G65" t="n">
        <v>1</v>
      </c>
      <c r="H65" t="n">
        <v>72</v>
      </c>
      <c r="I65" t="n">
        <v>30</v>
      </c>
      <c r="J65" t="inlineStr">
        <is>
          <t>No</t>
        </is>
      </c>
      <c r="K65" t="inlineStr">
        <is>
          <t>Yes</t>
        </is>
      </c>
      <c r="L65" t="inlineStr">
        <is>
          <t>North WH</t>
        </is>
      </c>
    </row>
    <row r="66">
      <c r="A66" s="4" t="n">
        <v>20250501</v>
      </c>
      <c r="B66" s="4" t="inlineStr">
        <is>
          <t>P006</t>
        </is>
      </c>
      <c r="C66" t="n">
        <v>72</v>
      </c>
      <c r="D66" t="n">
        <v>18</v>
      </c>
      <c r="E66" t="n">
        <v>8</v>
      </c>
      <c r="F66" t="n">
        <v>0</v>
      </c>
      <c r="G66" t="n">
        <v>0</v>
      </c>
      <c r="H66" t="n">
        <v>82</v>
      </c>
      <c r="I66" t="n">
        <v>30</v>
      </c>
      <c r="J66" t="inlineStr">
        <is>
          <t>No</t>
        </is>
      </c>
      <c r="K66" t="inlineStr">
        <is>
          <t>Yes</t>
        </is>
      </c>
      <c r="L66" t="inlineStr">
        <is>
          <t>North WH</t>
        </is>
      </c>
    </row>
    <row r="67">
      <c r="A67" s="4" t="n">
        <v>20250601</v>
      </c>
      <c r="B67" s="4" t="inlineStr">
        <is>
          <t>P006</t>
        </is>
      </c>
      <c r="C67" t="n">
        <v>82</v>
      </c>
      <c r="D67" t="n">
        <v>0</v>
      </c>
      <c r="E67" t="n">
        <v>5</v>
      </c>
      <c r="F67" t="n">
        <v>1</v>
      </c>
      <c r="G67" t="n">
        <v>1</v>
      </c>
      <c r="H67" t="n">
        <v>77</v>
      </c>
      <c r="I67" t="n">
        <v>30</v>
      </c>
      <c r="J67" t="inlineStr">
        <is>
          <t>No</t>
        </is>
      </c>
      <c r="K67" t="inlineStr">
        <is>
          <t>Yes</t>
        </is>
      </c>
      <c r="L67" t="inlineStr">
        <is>
          <t>North WH</t>
        </is>
      </c>
    </row>
    <row r="68">
      <c r="A68" s="4" t="n">
        <v>20250701</v>
      </c>
      <c r="B68" s="4" t="inlineStr">
        <is>
          <t>P006</t>
        </is>
      </c>
      <c r="C68" t="n">
        <v>77</v>
      </c>
      <c r="D68" t="n">
        <v>11</v>
      </c>
      <c r="E68" t="n">
        <v>4</v>
      </c>
      <c r="F68" t="n">
        <v>1</v>
      </c>
      <c r="G68" t="n">
        <v>0</v>
      </c>
      <c r="H68" t="n">
        <v>85</v>
      </c>
      <c r="I68" t="n">
        <v>30</v>
      </c>
      <c r="J68" t="inlineStr">
        <is>
          <t>No</t>
        </is>
      </c>
      <c r="K68" t="inlineStr">
        <is>
          <t>Yes</t>
        </is>
      </c>
      <c r="L68" t="inlineStr">
        <is>
          <t>North WH</t>
        </is>
      </c>
    </row>
    <row r="69">
      <c r="A69" s="4" t="n">
        <v>20250801</v>
      </c>
      <c r="B69" s="4" t="inlineStr">
        <is>
          <t>P006</t>
        </is>
      </c>
      <c r="C69" t="n">
        <v>85</v>
      </c>
      <c r="D69" t="n">
        <v>0</v>
      </c>
      <c r="E69" t="n">
        <v>0</v>
      </c>
      <c r="F69" t="n">
        <v>0</v>
      </c>
      <c r="G69" t="n">
        <v>0</v>
      </c>
      <c r="H69" t="n">
        <v>85</v>
      </c>
      <c r="I69" t="n">
        <v>30</v>
      </c>
      <c r="J69" t="inlineStr">
        <is>
          <t>No</t>
        </is>
      </c>
      <c r="K69" t="inlineStr">
        <is>
          <t>Yes</t>
        </is>
      </c>
      <c r="L69" t="inlineStr">
        <is>
          <t>North WH</t>
        </is>
      </c>
    </row>
    <row r="70">
      <c r="A70" s="4" t="n">
        <v>20250901</v>
      </c>
      <c r="B70" s="4" t="inlineStr">
        <is>
          <t>P006</t>
        </is>
      </c>
      <c r="C70" t="n">
        <v>85</v>
      </c>
      <c r="D70" t="n">
        <v>0</v>
      </c>
      <c r="E70" t="n">
        <v>1</v>
      </c>
      <c r="F70" t="n">
        <v>0</v>
      </c>
      <c r="G70" t="n">
        <v>2</v>
      </c>
      <c r="H70" t="n">
        <v>82</v>
      </c>
      <c r="I70" t="n">
        <v>30</v>
      </c>
      <c r="J70" t="inlineStr">
        <is>
          <t>No</t>
        </is>
      </c>
      <c r="K70" t="inlineStr">
        <is>
          <t>Yes</t>
        </is>
      </c>
      <c r="L70" t="inlineStr">
        <is>
          <t>Main WH</t>
        </is>
      </c>
    </row>
    <row r="71">
      <c r="A71" s="4" t="n">
        <v>20251001</v>
      </c>
      <c r="B71" s="4" t="inlineStr">
        <is>
          <t>P006</t>
        </is>
      </c>
      <c r="C71" t="n">
        <v>82</v>
      </c>
      <c r="D71" t="n">
        <v>0</v>
      </c>
      <c r="E71" t="n">
        <v>3</v>
      </c>
      <c r="F71" t="n">
        <v>0</v>
      </c>
      <c r="G71" t="n">
        <v>1</v>
      </c>
      <c r="H71" t="n">
        <v>78</v>
      </c>
      <c r="I71" t="n">
        <v>30</v>
      </c>
      <c r="J71" t="inlineStr">
        <is>
          <t>No</t>
        </is>
      </c>
      <c r="K71" t="inlineStr">
        <is>
          <t>Yes</t>
        </is>
      </c>
      <c r="L71" t="inlineStr">
        <is>
          <t>Main WH</t>
        </is>
      </c>
    </row>
    <row r="72">
      <c r="A72" s="4" t="n">
        <v>20251101</v>
      </c>
      <c r="B72" s="4" t="inlineStr">
        <is>
          <t>P006</t>
        </is>
      </c>
      <c r="C72" t="n">
        <v>78</v>
      </c>
      <c r="D72" t="n">
        <v>0</v>
      </c>
      <c r="E72" t="n">
        <v>1</v>
      </c>
      <c r="F72" t="n">
        <v>0</v>
      </c>
      <c r="G72" t="n">
        <v>1</v>
      </c>
      <c r="H72" t="n">
        <v>76</v>
      </c>
      <c r="I72" t="n">
        <v>30</v>
      </c>
      <c r="J72" t="inlineStr">
        <is>
          <t>No</t>
        </is>
      </c>
      <c r="K72" t="inlineStr">
        <is>
          <t>Yes</t>
        </is>
      </c>
      <c r="L72" t="inlineStr">
        <is>
          <t>North WH</t>
        </is>
      </c>
    </row>
    <row r="73">
      <c r="A73" s="4" t="n">
        <v>20251201</v>
      </c>
      <c r="B73" s="4" t="inlineStr">
        <is>
          <t>P006</t>
        </is>
      </c>
      <c r="C73" t="n">
        <v>76</v>
      </c>
      <c r="D73" t="n">
        <v>8</v>
      </c>
      <c r="E73" t="n">
        <v>1</v>
      </c>
      <c r="F73" t="n">
        <v>0</v>
      </c>
      <c r="G73" t="n">
        <v>0</v>
      </c>
      <c r="H73" t="n">
        <v>83</v>
      </c>
      <c r="I73" t="n">
        <v>30</v>
      </c>
      <c r="J73" t="inlineStr">
        <is>
          <t>No</t>
        </is>
      </c>
      <c r="K73" t="inlineStr">
        <is>
          <t>Yes</t>
        </is>
      </c>
      <c r="L73" t="inlineStr">
        <is>
          <t>Main WH</t>
        </is>
      </c>
    </row>
    <row r="74">
      <c r="A74" s="4" t="n">
        <v>20250101</v>
      </c>
      <c r="B74" s="4" t="inlineStr">
        <is>
          <t>P007</t>
        </is>
      </c>
      <c r="C74" t="n">
        <v>64</v>
      </c>
      <c r="D74" t="n">
        <v>7</v>
      </c>
      <c r="E74" t="n">
        <v>1</v>
      </c>
      <c r="F74" t="n">
        <v>0</v>
      </c>
      <c r="G74" t="n">
        <v>0</v>
      </c>
      <c r="H74" t="n">
        <v>70</v>
      </c>
      <c r="I74" t="n">
        <v>24</v>
      </c>
      <c r="J74" t="inlineStr">
        <is>
          <t>No</t>
        </is>
      </c>
      <c r="K74" t="inlineStr">
        <is>
          <t>Yes</t>
        </is>
      </c>
      <c r="L74" t="inlineStr">
        <is>
          <t>North WH</t>
        </is>
      </c>
    </row>
    <row r="75">
      <c r="A75" s="4" t="n">
        <v>20250201</v>
      </c>
      <c r="B75" s="4" t="inlineStr">
        <is>
          <t>P007</t>
        </is>
      </c>
      <c r="C75" t="n">
        <v>70</v>
      </c>
      <c r="D75" t="n">
        <v>1</v>
      </c>
      <c r="E75" t="n">
        <v>3</v>
      </c>
      <c r="F75" t="n">
        <v>0</v>
      </c>
      <c r="G75" t="n">
        <v>0</v>
      </c>
      <c r="H75" t="n">
        <v>68</v>
      </c>
      <c r="I75" t="n">
        <v>24</v>
      </c>
      <c r="J75" t="inlineStr">
        <is>
          <t>No</t>
        </is>
      </c>
      <c r="K75" t="inlineStr">
        <is>
          <t>Yes</t>
        </is>
      </c>
      <c r="L75" t="inlineStr">
        <is>
          <t>North WH</t>
        </is>
      </c>
    </row>
    <row r="76">
      <c r="A76" s="4" t="n">
        <v>20250301</v>
      </c>
      <c r="B76" s="4" t="inlineStr">
        <is>
          <t>P007</t>
        </is>
      </c>
      <c r="C76" t="n">
        <v>68</v>
      </c>
      <c r="D76" t="n">
        <v>0</v>
      </c>
      <c r="E76" t="n">
        <v>5</v>
      </c>
      <c r="F76" t="n">
        <v>0</v>
      </c>
      <c r="G76" t="n">
        <v>0</v>
      </c>
      <c r="H76" t="n">
        <v>63</v>
      </c>
      <c r="I76" t="n">
        <v>24</v>
      </c>
      <c r="J76" t="inlineStr">
        <is>
          <t>No</t>
        </is>
      </c>
      <c r="K76" t="inlineStr">
        <is>
          <t>Yes</t>
        </is>
      </c>
      <c r="L76" t="inlineStr">
        <is>
          <t>Main WH</t>
        </is>
      </c>
    </row>
    <row r="77">
      <c r="A77" s="4" t="n">
        <v>20250401</v>
      </c>
      <c r="B77" s="4" t="inlineStr">
        <is>
          <t>P007</t>
        </is>
      </c>
      <c r="C77" t="n">
        <v>63</v>
      </c>
      <c r="D77" t="n">
        <v>8</v>
      </c>
      <c r="E77" t="n">
        <v>7</v>
      </c>
      <c r="F77" t="n">
        <v>0</v>
      </c>
      <c r="G77" t="n">
        <v>2</v>
      </c>
      <c r="H77" t="n">
        <v>62</v>
      </c>
      <c r="I77" t="n">
        <v>24</v>
      </c>
      <c r="J77" t="inlineStr">
        <is>
          <t>No</t>
        </is>
      </c>
      <c r="K77" t="inlineStr">
        <is>
          <t>Yes</t>
        </is>
      </c>
      <c r="L77" t="inlineStr">
        <is>
          <t>Main WH</t>
        </is>
      </c>
    </row>
    <row r="78">
      <c r="A78" s="4" t="n">
        <v>20250501</v>
      </c>
      <c r="B78" s="4" t="inlineStr">
        <is>
          <t>P007</t>
        </is>
      </c>
      <c r="C78" t="n">
        <v>62</v>
      </c>
      <c r="D78" t="n">
        <v>16</v>
      </c>
      <c r="E78" t="n">
        <v>2</v>
      </c>
      <c r="F78" t="n">
        <v>0</v>
      </c>
      <c r="G78" t="n">
        <v>2</v>
      </c>
      <c r="H78" t="n">
        <v>74</v>
      </c>
      <c r="I78" t="n">
        <v>24</v>
      </c>
      <c r="J78" t="inlineStr">
        <is>
          <t>No</t>
        </is>
      </c>
      <c r="K78" t="inlineStr">
        <is>
          <t>Yes</t>
        </is>
      </c>
      <c r="L78" t="inlineStr">
        <is>
          <t>North WH</t>
        </is>
      </c>
    </row>
    <row r="79">
      <c r="A79" s="4" t="n">
        <v>20250601</v>
      </c>
      <c r="B79" s="4" t="inlineStr">
        <is>
          <t>P007</t>
        </is>
      </c>
      <c r="C79" t="n">
        <v>74</v>
      </c>
      <c r="D79" t="n">
        <v>0</v>
      </c>
      <c r="E79" t="n">
        <v>11</v>
      </c>
      <c r="F79" t="n">
        <v>0</v>
      </c>
      <c r="G79" t="n">
        <v>0</v>
      </c>
      <c r="H79" t="n">
        <v>63</v>
      </c>
      <c r="I79" t="n">
        <v>24</v>
      </c>
      <c r="J79" t="inlineStr">
        <is>
          <t>No</t>
        </is>
      </c>
      <c r="K79" t="inlineStr">
        <is>
          <t>Yes</t>
        </is>
      </c>
      <c r="L79" t="inlineStr">
        <is>
          <t>North WH</t>
        </is>
      </c>
    </row>
    <row r="80">
      <c r="A80" s="4" t="n">
        <v>20250701</v>
      </c>
      <c r="B80" s="4" t="inlineStr">
        <is>
          <t>P007</t>
        </is>
      </c>
      <c r="C80" t="n">
        <v>63</v>
      </c>
      <c r="D80" t="n">
        <v>0</v>
      </c>
      <c r="E80" t="n">
        <v>5</v>
      </c>
      <c r="F80" t="n">
        <v>0</v>
      </c>
      <c r="G80" t="n">
        <v>0</v>
      </c>
      <c r="H80" t="n">
        <v>58</v>
      </c>
      <c r="I80" t="n">
        <v>24</v>
      </c>
      <c r="J80" t="inlineStr">
        <is>
          <t>No</t>
        </is>
      </c>
      <c r="K80" t="inlineStr">
        <is>
          <t>Yes</t>
        </is>
      </c>
      <c r="L80" t="inlineStr">
        <is>
          <t>North WH</t>
        </is>
      </c>
    </row>
    <row r="81">
      <c r="A81" s="4" t="n">
        <v>20250801</v>
      </c>
      <c r="B81" s="4" t="inlineStr">
        <is>
          <t>P007</t>
        </is>
      </c>
      <c r="C81" t="n">
        <v>58</v>
      </c>
      <c r="D81" t="n">
        <v>26</v>
      </c>
      <c r="E81" t="n">
        <v>7</v>
      </c>
      <c r="F81" t="n">
        <v>0</v>
      </c>
      <c r="G81" t="n">
        <v>0</v>
      </c>
      <c r="H81" t="n">
        <v>77</v>
      </c>
      <c r="I81" t="n">
        <v>24</v>
      </c>
      <c r="J81" t="inlineStr">
        <is>
          <t>No</t>
        </is>
      </c>
      <c r="K81" t="inlineStr">
        <is>
          <t>Yes</t>
        </is>
      </c>
      <c r="L81" t="inlineStr">
        <is>
          <t>North WH</t>
        </is>
      </c>
    </row>
    <row r="82">
      <c r="A82" s="4" t="n">
        <v>20250901</v>
      </c>
      <c r="B82" s="4" t="inlineStr">
        <is>
          <t>P007</t>
        </is>
      </c>
      <c r="C82" t="n">
        <v>77</v>
      </c>
      <c r="D82" t="n">
        <v>3</v>
      </c>
      <c r="E82" t="n">
        <v>4</v>
      </c>
      <c r="F82" t="n">
        <v>0</v>
      </c>
      <c r="G82" t="n">
        <v>2</v>
      </c>
      <c r="H82" t="n">
        <v>74</v>
      </c>
      <c r="I82" t="n">
        <v>24</v>
      </c>
      <c r="J82" t="inlineStr">
        <is>
          <t>No</t>
        </is>
      </c>
      <c r="K82" t="inlineStr">
        <is>
          <t>Yes</t>
        </is>
      </c>
      <c r="L82" t="inlineStr">
        <is>
          <t>North WH</t>
        </is>
      </c>
    </row>
    <row r="83">
      <c r="A83" s="4" t="n">
        <v>20251001</v>
      </c>
      <c r="B83" s="4" t="inlineStr">
        <is>
          <t>P007</t>
        </is>
      </c>
      <c r="C83" t="n">
        <v>74</v>
      </c>
      <c r="D83" t="n">
        <v>4</v>
      </c>
      <c r="E83" t="n">
        <v>3</v>
      </c>
      <c r="F83" t="n">
        <v>1</v>
      </c>
      <c r="G83" t="n">
        <v>0</v>
      </c>
      <c r="H83" t="n">
        <v>76</v>
      </c>
      <c r="I83" t="n">
        <v>24</v>
      </c>
      <c r="J83" t="inlineStr">
        <is>
          <t>No</t>
        </is>
      </c>
      <c r="K83" t="inlineStr">
        <is>
          <t>Yes</t>
        </is>
      </c>
      <c r="L83" t="inlineStr">
        <is>
          <t>North WH</t>
        </is>
      </c>
    </row>
    <row r="84">
      <c r="A84" s="4" t="n">
        <v>20251101</v>
      </c>
      <c r="B84" s="4" t="inlineStr">
        <is>
          <t>P007</t>
        </is>
      </c>
      <c r="C84" t="n">
        <v>76</v>
      </c>
      <c r="D84" t="n">
        <v>5</v>
      </c>
      <c r="E84" t="n">
        <v>5</v>
      </c>
      <c r="F84" t="n">
        <v>0</v>
      </c>
      <c r="G84" t="n">
        <v>1</v>
      </c>
      <c r="H84" t="n">
        <v>75</v>
      </c>
      <c r="I84" t="n">
        <v>24</v>
      </c>
      <c r="J84" t="inlineStr">
        <is>
          <t>No</t>
        </is>
      </c>
      <c r="K84" t="inlineStr">
        <is>
          <t>Yes</t>
        </is>
      </c>
      <c r="L84" t="inlineStr">
        <is>
          <t>North WH</t>
        </is>
      </c>
    </row>
    <row r="85">
      <c r="A85" s="4" t="n">
        <v>20251201</v>
      </c>
      <c r="B85" s="4" t="inlineStr">
        <is>
          <t>P007</t>
        </is>
      </c>
      <c r="C85" t="n">
        <v>75</v>
      </c>
      <c r="D85" t="n">
        <v>0</v>
      </c>
      <c r="E85" t="n">
        <v>3</v>
      </c>
      <c r="F85" t="n">
        <v>0</v>
      </c>
      <c r="G85" t="n">
        <v>0</v>
      </c>
      <c r="H85" t="n">
        <v>72</v>
      </c>
      <c r="I85" t="n">
        <v>24</v>
      </c>
      <c r="J85" t="inlineStr">
        <is>
          <t>No</t>
        </is>
      </c>
      <c r="K85" t="inlineStr">
        <is>
          <t>Yes</t>
        </is>
      </c>
      <c r="L85" t="inlineStr">
        <is>
          <t>North WH</t>
        </is>
      </c>
    </row>
    <row r="86">
      <c r="A86" s="4" t="n">
        <v>20250101</v>
      </c>
      <c r="B86" s="4" t="inlineStr">
        <is>
          <t>P008</t>
        </is>
      </c>
      <c r="C86" t="n">
        <v>54</v>
      </c>
      <c r="D86" t="n">
        <v>20</v>
      </c>
      <c r="E86" t="n">
        <v>3</v>
      </c>
      <c r="F86" t="n">
        <v>1</v>
      </c>
      <c r="G86" t="n">
        <v>0</v>
      </c>
      <c r="H86" t="n">
        <v>72</v>
      </c>
      <c r="I86" t="n">
        <v>30</v>
      </c>
      <c r="J86" t="inlineStr">
        <is>
          <t>No</t>
        </is>
      </c>
      <c r="K86" t="inlineStr">
        <is>
          <t>Yes</t>
        </is>
      </c>
      <c r="L86" t="inlineStr">
        <is>
          <t>Main WH</t>
        </is>
      </c>
    </row>
    <row r="87">
      <c r="A87" s="4" t="n">
        <v>20250201</v>
      </c>
      <c r="B87" s="4" t="inlineStr">
        <is>
          <t>P008</t>
        </is>
      </c>
      <c r="C87" t="n">
        <v>72</v>
      </c>
      <c r="D87" t="n">
        <v>4</v>
      </c>
      <c r="E87" t="n">
        <v>4</v>
      </c>
      <c r="F87" t="n">
        <v>0</v>
      </c>
      <c r="G87" t="n">
        <v>0</v>
      </c>
      <c r="H87" t="n">
        <v>72</v>
      </c>
      <c r="I87" t="n">
        <v>30</v>
      </c>
      <c r="J87" t="inlineStr">
        <is>
          <t>No</t>
        </is>
      </c>
      <c r="K87" t="inlineStr">
        <is>
          <t>Yes</t>
        </is>
      </c>
      <c r="L87" t="inlineStr">
        <is>
          <t>Main WH</t>
        </is>
      </c>
    </row>
    <row r="88">
      <c r="A88" s="4" t="n">
        <v>20250301</v>
      </c>
      <c r="B88" s="4" t="inlineStr">
        <is>
          <t>P008</t>
        </is>
      </c>
      <c r="C88" t="n">
        <v>72</v>
      </c>
      <c r="D88" t="n">
        <v>13</v>
      </c>
      <c r="E88" t="n">
        <v>1</v>
      </c>
      <c r="F88" t="n">
        <v>0</v>
      </c>
      <c r="G88" t="n">
        <v>1</v>
      </c>
      <c r="H88" t="n">
        <v>83</v>
      </c>
      <c r="I88" t="n">
        <v>30</v>
      </c>
      <c r="J88" t="inlineStr">
        <is>
          <t>No</t>
        </is>
      </c>
      <c r="K88" t="inlineStr">
        <is>
          <t>Yes</t>
        </is>
      </c>
      <c r="L88" t="inlineStr">
        <is>
          <t>North WH</t>
        </is>
      </c>
    </row>
    <row r="89">
      <c r="A89" s="4" t="n">
        <v>20250401</v>
      </c>
      <c r="B89" s="4" t="inlineStr">
        <is>
          <t>P008</t>
        </is>
      </c>
      <c r="C89" t="n">
        <v>83</v>
      </c>
      <c r="D89" t="n">
        <v>0</v>
      </c>
      <c r="E89" t="n">
        <v>0</v>
      </c>
      <c r="F89" t="n">
        <v>0</v>
      </c>
      <c r="G89" t="n">
        <v>0</v>
      </c>
      <c r="H89" t="n">
        <v>83</v>
      </c>
      <c r="I89" t="n">
        <v>30</v>
      </c>
      <c r="J89" t="inlineStr">
        <is>
          <t>No</t>
        </is>
      </c>
      <c r="K89" t="inlineStr">
        <is>
          <t>Yes</t>
        </is>
      </c>
      <c r="L89" t="inlineStr">
        <is>
          <t>North WH</t>
        </is>
      </c>
    </row>
    <row r="90">
      <c r="A90" s="4" t="n">
        <v>20250501</v>
      </c>
      <c r="B90" s="4" t="inlineStr">
        <is>
          <t>P008</t>
        </is>
      </c>
      <c r="C90" t="n">
        <v>83</v>
      </c>
      <c r="D90" t="n">
        <v>6</v>
      </c>
      <c r="E90" t="n">
        <v>6</v>
      </c>
      <c r="F90" t="n">
        <v>0</v>
      </c>
      <c r="G90" t="n">
        <v>0</v>
      </c>
      <c r="H90" t="n">
        <v>83</v>
      </c>
      <c r="I90" t="n">
        <v>30</v>
      </c>
      <c r="J90" t="inlineStr">
        <is>
          <t>No</t>
        </is>
      </c>
      <c r="K90" t="inlineStr">
        <is>
          <t>Yes</t>
        </is>
      </c>
      <c r="L90" t="inlineStr">
        <is>
          <t>North WH</t>
        </is>
      </c>
    </row>
    <row r="91">
      <c r="A91" s="4" t="n">
        <v>20250601</v>
      </c>
      <c r="B91" s="4" t="inlineStr">
        <is>
          <t>P008</t>
        </is>
      </c>
      <c r="C91" t="n">
        <v>83</v>
      </c>
      <c r="D91" t="n">
        <v>0</v>
      </c>
      <c r="E91" t="n">
        <v>5</v>
      </c>
      <c r="F91" t="n">
        <v>1</v>
      </c>
      <c r="G91" t="n">
        <v>2</v>
      </c>
      <c r="H91" t="n">
        <v>77</v>
      </c>
      <c r="I91" t="n">
        <v>30</v>
      </c>
      <c r="J91" t="inlineStr">
        <is>
          <t>No</t>
        </is>
      </c>
      <c r="K91" t="inlineStr">
        <is>
          <t>Yes</t>
        </is>
      </c>
      <c r="L91" t="inlineStr">
        <is>
          <t>Main WH</t>
        </is>
      </c>
    </row>
    <row r="92">
      <c r="A92" s="4" t="n">
        <v>20250701</v>
      </c>
      <c r="B92" s="4" t="inlineStr">
        <is>
          <t>P008</t>
        </is>
      </c>
      <c r="C92" t="n">
        <v>77</v>
      </c>
      <c r="D92" t="n">
        <v>5</v>
      </c>
      <c r="E92" t="n">
        <v>9</v>
      </c>
      <c r="F92" t="n">
        <v>0</v>
      </c>
      <c r="G92" t="n">
        <v>2</v>
      </c>
      <c r="H92" t="n">
        <v>71</v>
      </c>
      <c r="I92" t="n">
        <v>30</v>
      </c>
      <c r="J92" t="inlineStr">
        <is>
          <t>No</t>
        </is>
      </c>
      <c r="K92" t="inlineStr">
        <is>
          <t>Yes</t>
        </is>
      </c>
      <c r="L92" t="inlineStr">
        <is>
          <t>Main WH</t>
        </is>
      </c>
    </row>
    <row r="93">
      <c r="A93" s="4" t="n">
        <v>20250801</v>
      </c>
      <c r="B93" s="4" t="inlineStr">
        <is>
          <t>P008</t>
        </is>
      </c>
      <c r="C93" t="n">
        <v>71</v>
      </c>
      <c r="D93" t="n">
        <v>0</v>
      </c>
      <c r="E93" t="n">
        <v>4</v>
      </c>
      <c r="F93" t="n">
        <v>0</v>
      </c>
      <c r="G93" t="n">
        <v>0</v>
      </c>
      <c r="H93" t="n">
        <v>67</v>
      </c>
      <c r="I93" t="n">
        <v>30</v>
      </c>
      <c r="J93" t="inlineStr">
        <is>
          <t>No</t>
        </is>
      </c>
      <c r="K93" t="inlineStr">
        <is>
          <t>No</t>
        </is>
      </c>
      <c r="L93" t="inlineStr">
        <is>
          <t>North WH</t>
        </is>
      </c>
    </row>
    <row r="94">
      <c r="A94" s="4" t="n">
        <v>20250901</v>
      </c>
      <c r="B94" s="4" t="inlineStr">
        <is>
          <t>P008</t>
        </is>
      </c>
      <c r="C94" t="n">
        <v>67</v>
      </c>
      <c r="D94" t="n">
        <v>6</v>
      </c>
      <c r="E94" t="n">
        <v>5</v>
      </c>
      <c r="F94" t="n">
        <v>0</v>
      </c>
      <c r="G94" t="n">
        <v>0</v>
      </c>
      <c r="H94" t="n">
        <v>68</v>
      </c>
      <c r="I94" t="n">
        <v>30</v>
      </c>
      <c r="J94" t="inlineStr">
        <is>
          <t>No</t>
        </is>
      </c>
      <c r="K94" t="inlineStr">
        <is>
          <t>No</t>
        </is>
      </c>
      <c r="L94" t="inlineStr">
        <is>
          <t>Main WH</t>
        </is>
      </c>
    </row>
    <row r="95">
      <c r="A95" s="4" t="n">
        <v>20251001</v>
      </c>
      <c r="B95" s="4" t="inlineStr">
        <is>
          <t>P008</t>
        </is>
      </c>
      <c r="C95" t="n">
        <v>68</v>
      </c>
      <c r="D95" t="n">
        <v>16</v>
      </c>
      <c r="E95" t="n">
        <v>10</v>
      </c>
      <c r="F95" t="n">
        <v>0</v>
      </c>
      <c r="G95" t="n">
        <v>0</v>
      </c>
      <c r="H95" t="n">
        <v>74</v>
      </c>
      <c r="I95" t="n">
        <v>30</v>
      </c>
      <c r="J95" t="inlineStr">
        <is>
          <t>No</t>
        </is>
      </c>
      <c r="K95" t="inlineStr">
        <is>
          <t>Yes</t>
        </is>
      </c>
      <c r="L95" t="inlineStr">
        <is>
          <t>Main WH</t>
        </is>
      </c>
    </row>
    <row r="96">
      <c r="A96" s="4" t="n">
        <v>20251101</v>
      </c>
      <c r="B96" s="4" t="inlineStr">
        <is>
          <t>P008</t>
        </is>
      </c>
      <c r="C96" t="n">
        <v>74</v>
      </c>
      <c r="D96" t="n">
        <v>0</v>
      </c>
      <c r="E96" t="n">
        <v>2</v>
      </c>
      <c r="F96" t="n">
        <v>0</v>
      </c>
      <c r="G96" t="n">
        <v>0</v>
      </c>
      <c r="H96" t="n">
        <v>72</v>
      </c>
      <c r="I96" t="n">
        <v>30</v>
      </c>
      <c r="J96" t="inlineStr">
        <is>
          <t>No</t>
        </is>
      </c>
      <c r="K96" t="inlineStr">
        <is>
          <t>Yes</t>
        </is>
      </c>
      <c r="L96" t="inlineStr">
        <is>
          <t>Main WH</t>
        </is>
      </c>
    </row>
    <row r="97">
      <c r="A97" s="4" t="n">
        <v>20251201</v>
      </c>
      <c r="B97" s="4" t="inlineStr">
        <is>
          <t>P008</t>
        </is>
      </c>
      <c r="C97" t="n">
        <v>72</v>
      </c>
      <c r="D97" t="n">
        <v>16</v>
      </c>
      <c r="E97" t="n">
        <v>4</v>
      </c>
      <c r="F97" t="n">
        <v>0</v>
      </c>
      <c r="G97" t="n">
        <v>0</v>
      </c>
      <c r="H97" t="n">
        <v>84</v>
      </c>
      <c r="I97" t="n">
        <v>30</v>
      </c>
      <c r="J97" t="inlineStr">
        <is>
          <t>No</t>
        </is>
      </c>
      <c r="K97" t="inlineStr">
        <is>
          <t>Yes</t>
        </is>
      </c>
      <c r="L97" t="inlineStr">
        <is>
          <t>North WH</t>
        </is>
      </c>
    </row>
    <row r="98">
      <c r="A98" s="4" t="n">
        <v>20250101</v>
      </c>
      <c r="B98" s="4" t="inlineStr">
        <is>
          <t>P009</t>
        </is>
      </c>
      <c r="C98" t="n">
        <v>79</v>
      </c>
      <c r="D98" t="n">
        <v>6</v>
      </c>
      <c r="E98" t="n">
        <v>0</v>
      </c>
      <c r="F98" t="n">
        <v>0</v>
      </c>
      <c r="G98" t="n">
        <v>0</v>
      </c>
      <c r="H98" t="n">
        <v>85</v>
      </c>
      <c r="I98" t="n">
        <v>36</v>
      </c>
      <c r="J98" t="inlineStr">
        <is>
          <t>No</t>
        </is>
      </c>
      <c r="K98" t="inlineStr">
        <is>
          <t>Yes</t>
        </is>
      </c>
      <c r="L98" t="inlineStr">
        <is>
          <t>North WH</t>
        </is>
      </c>
    </row>
    <row r="99">
      <c r="A99" s="4" t="n">
        <v>20250201</v>
      </c>
      <c r="B99" s="4" t="inlineStr">
        <is>
          <t>P009</t>
        </is>
      </c>
      <c r="C99" t="n">
        <v>85</v>
      </c>
      <c r="D99" t="n">
        <v>0</v>
      </c>
      <c r="E99" t="n">
        <v>4</v>
      </c>
      <c r="F99" t="n">
        <v>0</v>
      </c>
      <c r="G99" t="n">
        <v>0</v>
      </c>
      <c r="H99" t="n">
        <v>81</v>
      </c>
      <c r="I99" t="n">
        <v>36</v>
      </c>
      <c r="J99" t="inlineStr">
        <is>
          <t>No</t>
        </is>
      </c>
      <c r="K99" t="inlineStr">
        <is>
          <t>No</t>
        </is>
      </c>
      <c r="L99" t="inlineStr">
        <is>
          <t>Main WH</t>
        </is>
      </c>
    </row>
    <row r="100">
      <c r="A100" s="4" t="n">
        <v>20250301</v>
      </c>
      <c r="B100" s="4" t="inlineStr">
        <is>
          <t>P009</t>
        </is>
      </c>
      <c r="C100" t="n">
        <v>81</v>
      </c>
      <c r="D100" t="n">
        <v>0</v>
      </c>
      <c r="E100" t="n">
        <v>1</v>
      </c>
      <c r="F100" t="n">
        <v>0</v>
      </c>
      <c r="G100" t="n">
        <v>0</v>
      </c>
      <c r="H100" t="n">
        <v>80</v>
      </c>
      <c r="I100" t="n">
        <v>36</v>
      </c>
      <c r="J100" t="inlineStr">
        <is>
          <t>No</t>
        </is>
      </c>
      <c r="K100" t="inlineStr">
        <is>
          <t>No</t>
        </is>
      </c>
      <c r="L100" t="inlineStr">
        <is>
          <t>North WH</t>
        </is>
      </c>
    </row>
    <row r="101">
      <c r="A101" s="4" t="n">
        <v>20250401</v>
      </c>
      <c r="B101" s="4" t="inlineStr">
        <is>
          <t>P009</t>
        </is>
      </c>
      <c r="C101" t="n">
        <v>80</v>
      </c>
      <c r="D101" t="n">
        <v>9</v>
      </c>
      <c r="E101" t="n">
        <v>4</v>
      </c>
      <c r="F101" t="n">
        <v>0</v>
      </c>
      <c r="G101" t="n">
        <v>1</v>
      </c>
      <c r="H101" t="n">
        <v>84</v>
      </c>
      <c r="I101" t="n">
        <v>36</v>
      </c>
      <c r="J101" t="inlineStr">
        <is>
          <t>No</t>
        </is>
      </c>
      <c r="K101" t="inlineStr">
        <is>
          <t>Yes</t>
        </is>
      </c>
      <c r="L101" t="inlineStr">
        <is>
          <t>North WH</t>
        </is>
      </c>
    </row>
    <row r="102">
      <c r="A102" s="4" t="n">
        <v>20250501</v>
      </c>
      <c r="B102" s="4" t="inlineStr">
        <is>
          <t>P009</t>
        </is>
      </c>
      <c r="C102" t="n">
        <v>84</v>
      </c>
      <c r="D102" t="n">
        <v>0</v>
      </c>
      <c r="E102" t="n">
        <v>2</v>
      </c>
      <c r="F102" t="n">
        <v>0</v>
      </c>
      <c r="G102" t="n">
        <v>1</v>
      </c>
      <c r="H102" t="n">
        <v>81</v>
      </c>
      <c r="I102" t="n">
        <v>36</v>
      </c>
      <c r="J102" t="inlineStr">
        <is>
          <t>No</t>
        </is>
      </c>
      <c r="K102" t="inlineStr">
        <is>
          <t>No</t>
        </is>
      </c>
      <c r="L102" t="inlineStr">
        <is>
          <t>Main WH</t>
        </is>
      </c>
    </row>
    <row r="103">
      <c r="A103" s="4" t="n">
        <v>20250601</v>
      </c>
      <c r="B103" s="4" t="inlineStr">
        <is>
          <t>P009</t>
        </is>
      </c>
      <c r="C103" t="n">
        <v>81</v>
      </c>
      <c r="D103" t="n">
        <v>4</v>
      </c>
      <c r="E103" t="n">
        <v>4</v>
      </c>
      <c r="F103" t="n">
        <v>0</v>
      </c>
      <c r="G103" t="n">
        <v>1</v>
      </c>
      <c r="H103" t="n">
        <v>80</v>
      </c>
      <c r="I103" t="n">
        <v>36</v>
      </c>
      <c r="J103" t="inlineStr">
        <is>
          <t>No</t>
        </is>
      </c>
      <c r="K103" t="inlineStr">
        <is>
          <t>No</t>
        </is>
      </c>
      <c r="L103" t="inlineStr">
        <is>
          <t>North WH</t>
        </is>
      </c>
    </row>
    <row r="104">
      <c r="A104" s="4" t="n">
        <v>20250701</v>
      </c>
      <c r="B104" s="4" t="inlineStr">
        <is>
          <t>P009</t>
        </is>
      </c>
      <c r="C104" t="n">
        <v>80</v>
      </c>
      <c r="D104" t="n">
        <v>0</v>
      </c>
      <c r="E104" t="n">
        <v>1</v>
      </c>
      <c r="F104" t="n">
        <v>0</v>
      </c>
      <c r="G104" t="n">
        <v>1</v>
      </c>
      <c r="H104" t="n">
        <v>78</v>
      </c>
      <c r="I104" t="n">
        <v>36</v>
      </c>
      <c r="J104" t="inlineStr">
        <is>
          <t>No</t>
        </is>
      </c>
      <c r="K104" t="inlineStr">
        <is>
          <t>No</t>
        </is>
      </c>
      <c r="L104" t="inlineStr">
        <is>
          <t>North WH</t>
        </is>
      </c>
    </row>
    <row r="105">
      <c r="A105" s="4" t="n">
        <v>20250801</v>
      </c>
      <c r="B105" s="4" t="inlineStr">
        <is>
          <t>P009</t>
        </is>
      </c>
      <c r="C105" t="n">
        <v>78</v>
      </c>
      <c r="D105" t="n">
        <v>0</v>
      </c>
      <c r="E105" t="n">
        <v>1</v>
      </c>
      <c r="F105" t="n">
        <v>0</v>
      </c>
      <c r="G105" t="n">
        <v>0</v>
      </c>
      <c r="H105" t="n">
        <v>77</v>
      </c>
      <c r="I105" t="n">
        <v>36</v>
      </c>
      <c r="J105" t="inlineStr">
        <is>
          <t>No</t>
        </is>
      </c>
      <c r="K105" t="inlineStr">
        <is>
          <t>No</t>
        </is>
      </c>
      <c r="L105" t="inlineStr">
        <is>
          <t>Main WH</t>
        </is>
      </c>
    </row>
    <row r="106">
      <c r="A106" s="4" t="n">
        <v>20250901</v>
      </c>
      <c r="B106" s="4" t="inlineStr">
        <is>
          <t>P009</t>
        </is>
      </c>
      <c r="C106" t="n">
        <v>77</v>
      </c>
      <c r="D106" t="n">
        <v>0</v>
      </c>
      <c r="E106" t="n">
        <v>0</v>
      </c>
      <c r="F106" t="n">
        <v>0</v>
      </c>
      <c r="G106" t="n">
        <v>1</v>
      </c>
      <c r="H106" t="n">
        <v>76</v>
      </c>
      <c r="I106" t="n">
        <v>36</v>
      </c>
      <c r="J106" t="inlineStr">
        <is>
          <t>No</t>
        </is>
      </c>
      <c r="K106" t="inlineStr">
        <is>
          <t>No</t>
        </is>
      </c>
      <c r="L106" t="inlineStr">
        <is>
          <t>North WH</t>
        </is>
      </c>
    </row>
    <row r="107">
      <c r="A107" s="4" t="n">
        <v>20251001</v>
      </c>
      <c r="B107" s="4" t="inlineStr">
        <is>
          <t>P009</t>
        </is>
      </c>
      <c r="C107" t="n">
        <v>76</v>
      </c>
      <c r="D107" t="n">
        <v>13</v>
      </c>
      <c r="E107" t="n">
        <v>6</v>
      </c>
      <c r="F107" t="n">
        <v>2</v>
      </c>
      <c r="G107" t="n">
        <v>0</v>
      </c>
      <c r="H107" t="n">
        <v>85</v>
      </c>
      <c r="I107" t="n">
        <v>36</v>
      </c>
      <c r="J107" t="inlineStr">
        <is>
          <t>No</t>
        </is>
      </c>
      <c r="K107" t="inlineStr">
        <is>
          <t>Yes</t>
        </is>
      </c>
      <c r="L107" t="inlineStr">
        <is>
          <t>Main WH</t>
        </is>
      </c>
    </row>
    <row r="108">
      <c r="A108" s="4" t="n">
        <v>20251101</v>
      </c>
      <c r="B108" s="4" t="inlineStr">
        <is>
          <t>P009</t>
        </is>
      </c>
      <c r="C108" t="n">
        <v>85</v>
      </c>
      <c r="D108" t="n">
        <v>2</v>
      </c>
      <c r="E108" t="n">
        <v>8</v>
      </c>
      <c r="F108" t="n">
        <v>0</v>
      </c>
      <c r="G108" t="n">
        <v>0</v>
      </c>
      <c r="H108" t="n">
        <v>79</v>
      </c>
      <c r="I108" t="n">
        <v>36</v>
      </c>
      <c r="J108" t="inlineStr">
        <is>
          <t>No</t>
        </is>
      </c>
      <c r="K108" t="inlineStr">
        <is>
          <t>No</t>
        </is>
      </c>
      <c r="L108" t="inlineStr">
        <is>
          <t>Main WH</t>
        </is>
      </c>
    </row>
    <row r="109">
      <c r="A109" s="4" t="n">
        <v>20251201</v>
      </c>
      <c r="B109" s="4" t="inlineStr">
        <is>
          <t>P009</t>
        </is>
      </c>
      <c r="C109" t="n">
        <v>79</v>
      </c>
      <c r="D109" t="n">
        <v>0</v>
      </c>
      <c r="E109" t="n">
        <v>0</v>
      </c>
      <c r="F109" t="n">
        <v>0</v>
      </c>
      <c r="G109" t="n">
        <v>0</v>
      </c>
      <c r="H109" t="n">
        <v>79</v>
      </c>
      <c r="I109" t="n">
        <v>36</v>
      </c>
      <c r="J109" t="inlineStr">
        <is>
          <t>No</t>
        </is>
      </c>
      <c r="K109" t="inlineStr">
        <is>
          <t>No</t>
        </is>
      </c>
      <c r="L109" t="inlineStr">
        <is>
          <t>North WH</t>
        </is>
      </c>
    </row>
    <row r="110">
      <c r="A110" s="4" t="n">
        <v>20250101</v>
      </c>
      <c r="B110" s="4" t="inlineStr">
        <is>
          <t>P010</t>
        </is>
      </c>
      <c r="C110" t="n">
        <v>80</v>
      </c>
      <c r="D110" t="n">
        <v>0</v>
      </c>
      <c r="E110" t="n">
        <v>1</v>
      </c>
      <c r="F110" t="n">
        <v>0</v>
      </c>
      <c r="G110" t="n">
        <v>2</v>
      </c>
      <c r="H110" t="n">
        <v>77</v>
      </c>
      <c r="I110" t="n">
        <v>36</v>
      </c>
      <c r="J110" t="inlineStr">
        <is>
          <t>No</t>
        </is>
      </c>
      <c r="K110" t="inlineStr">
        <is>
          <t>No</t>
        </is>
      </c>
      <c r="L110" t="inlineStr">
        <is>
          <t>Main WH</t>
        </is>
      </c>
    </row>
    <row r="111">
      <c r="A111" s="4" t="n">
        <v>20250201</v>
      </c>
      <c r="B111" s="4" t="inlineStr">
        <is>
          <t>P010</t>
        </is>
      </c>
      <c r="C111" t="n">
        <v>77</v>
      </c>
      <c r="D111" t="n">
        <v>0</v>
      </c>
      <c r="E111" t="n">
        <v>2</v>
      </c>
      <c r="F111" t="n">
        <v>0</v>
      </c>
      <c r="G111" t="n">
        <v>1</v>
      </c>
      <c r="H111" t="n">
        <v>74</v>
      </c>
      <c r="I111" t="n">
        <v>36</v>
      </c>
      <c r="J111" t="inlineStr">
        <is>
          <t>No</t>
        </is>
      </c>
      <c r="K111" t="inlineStr">
        <is>
          <t>No</t>
        </is>
      </c>
      <c r="L111" t="inlineStr">
        <is>
          <t>Main WH</t>
        </is>
      </c>
    </row>
    <row r="112">
      <c r="A112" s="4" t="n">
        <v>20250301</v>
      </c>
      <c r="B112" s="4" t="inlineStr">
        <is>
          <t>P010</t>
        </is>
      </c>
      <c r="C112" t="n">
        <v>74</v>
      </c>
      <c r="D112" t="n">
        <v>0</v>
      </c>
      <c r="E112" t="n">
        <v>4</v>
      </c>
      <c r="F112" t="n">
        <v>0</v>
      </c>
      <c r="G112" t="n">
        <v>1</v>
      </c>
      <c r="H112" t="n">
        <v>69</v>
      </c>
      <c r="I112" t="n">
        <v>36</v>
      </c>
      <c r="J112" t="inlineStr">
        <is>
          <t>No</t>
        </is>
      </c>
      <c r="K112" t="inlineStr">
        <is>
          <t>No</t>
        </is>
      </c>
      <c r="L112" t="inlineStr">
        <is>
          <t>North WH</t>
        </is>
      </c>
    </row>
    <row r="113">
      <c r="A113" s="4" t="n">
        <v>20250401</v>
      </c>
      <c r="B113" s="4" t="inlineStr">
        <is>
          <t>P010</t>
        </is>
      </c>
      <c r="C113" t="n">
        <v>69</v>
      </c>
      <c r="D113" t="n">
        <v>21</v>
      </c>
      <c r="E113" t="n">
        <v>4</v>
      </c>
      <c r="F113" t="n">
        <v>1</v>
      </c>
      <c r="G113" t="n">
        <v>1</v>
      </c>
      <c r="H113" t="n">
        <v>86</v>
      </c>
      <c r="I113" t="n">
        <v>36</v>
      </c>
      <c r="J113" t="inlineStr">
        <is>
          <t>No</t>
        </is>
      </c>
      <c r="K113" t="inlineStr">
        <is>
          <t>Yes</t>
        </is>
      </c>
      <c r="L113" t="inlineStr">
        <is>
          <t>North WH</t>
        </is>
      </c>
    </row>
    <row r="114">
      <c r="A114" s="4" t="n">
        <v>20250501</v>
      </c>
      <c r="B114" s="4" t="inlineStr">
        <is>
          <t>P010</t>
        </is>
      </c>
      <c r="C114" t="n">
        <v>86</v>
      </c>
      <c r="D114" t="n">
        <v>0</v>
      </c>
      <c r="E114" t="n">
        <v>3</v>
      </c>
      <c r="F114" t="n">
        <v>0</v>
      </c>
      <c r="G114" t="n">
        <v>0</v>
      </c>
      <c r="H114" t="n">
        <v>83</v>
      </c>
      <c r="I114" t="n">
        <v>36</v>
      </c>
      <c r="J114" t="inlineStr">
        <is>
          <t>No</t>
        </is>
      </c>
      <c r="K114" t="inlineStr">
        <is>
          <t>Yes</t>
        </is>
      </c>
      <c r="L114" t="inlineStr">
        <is>
          <t>North WH</t>
        </is>
      </c>
    </row>
    <row r="115">
      <c r="A115" s="4" t="n">
        <v>20250601</v>
      </c>
      <c r="B115" s="4" t="inlineStr">
        <is>
          <t>P010</t>
        </is>
      </c>
      <c r="C115" t="n">
        <v>83</v>
      </c>
      <c r="D115" t="n">
        <v>5</v>
      </c>
      <c r="E115" t="n">
        <v>4</v>
      </c>
      <c r="F115" t="n">
        <v>1</v>
      </c>
      <c r="G115" t="n">
        <v>2</v>
      </c>
      <c r="H115" t="n">
        <v>83</v>
      </c>
      <c r="I115" t="n">
        <v>36</v>
      </c>
      <c r="J115" t="inlineStr">
        <is>
          <t>No</t>
        </is>
      </c>
      <c r="K115" t="inlineStr">
        <is>
          <t>Yes</t>
        </is>
      </c>
      <c r="L115" t="inlineStr">
        <is>
          <t>Main WH</t>
        </is>
      </c>
    </row>
    <row r="116">
      <c r="A116" s="4" t="n">
        <v>20250701</v>
      </c>
      <c r="B116" s="4" t="inlineStr">
        <is>
          <t>P010</t>
        </is>
      </c>
      <c r="C116" t="n">
        <v>83</v>
      </c>
      <c r="D116" t="n">
        <v>9</v>
      </c>
      <c r="E116" t="n">
        <v>3</v>
      </c>
      <c r="F116" t="n">
        <v>0</v>
      </c>
      <c r="G116" t="n">
        <v>0</v>
      </c>
      <c r="H116" t="n">
        <v>89</v>
      </c>
      <c r="I116" t="n">
        <v>36</v>
      </c>
      <c r="J116" t="inlineStr">
        <is>
          <t>No</t>
        </is>
      </c>
      <c r="K116" t="inlineStr">
        <is>
          <t>Yes</t>
        </is>
      </c>
      <c r="L116" t="inlineStr">
        <is>
          <t>North WH</t>
        </is>
      </c>
    </row>
    <row r="117">
      <c r="A117" s="4" t="n">
        <v>20250801</v>
      </c>
      <c r="B117" s="4" t="inlineStr">
        <is>
          <t>P010</t>
        </is>
      </c>
      <c r="C117" t="n">
        <v>89</v>
      </c>
      <c r="D117" t="n">
        <v>0</v>
      </c>
      <c r="E117" t="n">
        <v>6</v>
      </c>
      <c r="F117" t="n">
        <v>0</v>
      </c>
      <c r="G117" t="n">
        <v>2</v>
      </c>
      <c r="H117" t="n">
        <v>81</v>
      </c>
      <c r="I117" t="n">
        <v>36</v>
      </c>
      <c r="J117" t="inlineStr">
        <is>
          <t>No</t>
        </is>
      </c>
      <c r="K117" t="inlineStr">
        <is>
          <t>No</t>
        </is>
      </c>
      <c r="L117" t="inlineStr">
        <is>
          <t>Main WH</t>
        </is>
      </c>
    </row>
    <row r="118">
      <c r="A118" s="4" t="n">
        <v>20250901</v>
      </c>
      <c r="B118" s="4" t="inlineStr">
        <is>
          <t>P010</t>
        </is>
      </c>
      <c r="C118" t="n">
        <v>81</v>
      </c>
      <c r="D118" t="n">
        <v>0</v>
      </c>
      <c r="E118" t="n">
        <v>10</v>
      </c>
      <c r="F118" t="n">
        <v>0</v>
      </c>
      <c r="G118" t="n">
        <v>0</v>
      </c>
      <c r="H118" t="n">
        <v>71</v>
      </c>
      <c r="I118" t="n">
        <v>36</v>
      </c>
      <c r="J118" t="inlineStr">
        <is>
          <t>No</t>
        </is>
      </c>
      <c r="K118" t="inlineStr">
        <is>
          <t>No</t>
        </is>
      </c>
      <c r="L118" t="inlineStr">
        <is>
          <t>North WH</t>
        </is>
      </c>
    </row>
    <row r="119">
      <c r="A119" s="4" t="n">
        <v>20251001</v>
      </c>
      <c r="B119" s="4" t="inlineStr">
        <is>
          <t>P010</t>
        </is>
      </c>
      <c r="C119" t="n">
        <v>71</v>
      </c>
      <c r="D119" t="n">
        <v>21</v>
      </c>
      <c r="E119" t="n">
        <v>4</v>
      </c>
      <c r="F119" t="n">
        <v>0</v>
      </c>
      <c r="G119" t="n">
        <v>0</v>
      </c>
      <c r="H119" t="n">
        <v>88</v>
      </c>
      <c r="I119" t="n">
        <v>36</v>
      </c>
      <c r="J119" t="inlineStr">
        <is>
          <t>No</t>
        </is>
      </c>
      <c r="K119" t="inlineStr">
        <is>
          <t>Yes</t>
        </is>
      </c>
      <c r="L119" t="inlineStr">
        <is>
          <t>Main WH</t>
        </is>
      </c>
    </row>
    <row r="120">
      <c r="A120" s="4" t="n">
        <v>20251101</v>
      </c>
      <c r="B120" s="4" t="inlineStr">
        <is>
          <t>P010</t>
        </is>
      </c>
      <c r="C120" t="n">
        <v>88</v>
      </c>
      <c r="D120" t="n">
        <v>0</v>
      </c>
      <c r="E120" t="n">
        <v>5</v>
      </c>
      <c r="F120" t="n">
        <v>1</v>
      </c>
      <c r="G120" t="n">
        <v>0</v>
      </c>
      <c r="H120" t="n">
        <v>84</v>
      </c>
      <c r="I120" t="n">
        <v>36</v>
      </c>
      <c r="J120" t="inlineStr">
        <is>
          <t>No</t>
        </is>
      </c>
      <c r="K120" t="inlineStr">
        <is>
          <t>Yes</t>
        </is>
      </c>
      <c r="L120" t="inlineStr">
        <is>
          <t>North WH</t>
        </is>
      </c>
    </row>
    <row r="121">
      <c r="A121" s="4" t="n">
        <v>20251201</v>
      </c>
      <c r="B121" s="4" t="inlineStr">
        <is>
          <t>P010</t>
        </is>
      </c>
      <c r="C121" t="n">
        <v>84</v>
      </c>
      <c r="D121" t="n">
        <v>8</v>
      </c>
      <c r="E121" t="n">
        <v>3</v>
      </c>
      <c r="F121" t="n">
        <v>0</v>
      </c>
      <c r="G121" t="n">
        <v>0</v>
      </c>
      <c r="H121" t="n">
        <v>89</v>
      </c>
      <c r="I121" t="n">
        <v>36</v>
      </c>
      <c r="J121" t="inlineStr">
        <is>
          <t>No</t>
        </is>
      </c>
      <c r="K121" t="inlineStr">
        <is>
          <t>Yes</t>
        </is>
      </c>
      <c r="L121" t="inlineStr">
        <is>
          <t>Main WH</t>
        </is>
      </c>
    </row>
    <row r="122">
      <c r="A122" s="4" t="n">
        <v>20250101</v>
      </c>
      <c r="B122" s="4" t="inlineStr">
        <is>
          <t>P011</t>
        </is>
      </c>
      <c r="C122" t="n">
        <v>80</v>
      </c>
      <c r="D122" t="n">
        <v>0</v>
      </c>
      <c r="E122" t="n">
        <v>1</v>
      </c>
      <c r="F122" t="n">
        <v>0</v>
      </c>
      <c r="G122" t="n">
        <v>1</v>
      </c>
      <c r="H122" t="n">
        <v>78</v>
      </c>
      <c r="I122" t="n">
        <v>24</v>
      </c>
      <c r="J122" t="inlineStr">
        <is>
          <t>No</t>
        </is>
      </c>
      <c r="K122" t="inlineStr">
        <is>
          <t>Yes</t>
        </is>
      </c>
      <c r="L122" t="inlineStr">
        <is>
          <t>North WH</t>
        </is>
      </c>
    </row>
    <row r="123">
      <c r="A123" s="4" t="n">
        <v>20250201</v>
      </c>
      <c r="B123" s="4" t="inlineStr">
        <is>
          <t>P011</t>
        </is>
      </c>
      <c r="C123" t="n">
        <v>78</v>
      </c>
      <c r="D123" t="n">
        <v>1</v>
      </c>
      <c r="E123" t="n">
        <v>4</v>
      </c>
      <c r="F123" t="n">
        <v>0</v>
      </c>
      <c r="G123" t="n">
        <v>0</v>
      </c>
      <c r="H123" t="n">
        <v>75</v>
      </c>
      <c r="I123" t="n">
        <v>24</v>
      </c>
      <c r="J123" t="inlineStr">
        <is>
          <t>No</t>
        </is>
      </c>
      <c r="K123" t="inlineStr">
        <is>
          <t>Yes</t>
        </is>
      </c>
      <c r="L123" t="inlineStr">
        <is>
          <t>North WH</t>
        </is>
      </c>
    </row>
    <row r="124">
      <c r="A124" s="4" t="n">
        <v>20250301</v>
      </c>
      <c r="B124" s="4" t="inlineStr">
        <is>
          <t>P011</t>
        </is>
      </c>
      <c r="C124" t="n">
        <v>75</v>
      </c>
      <c r="D124" t="n">
        <v>0</v>
      </c>
      <c r="E124" t="n">
        <v>2</v>
      </c>
      <c r="F124" t="n">
        <v>0</v>
      </c>
      <c r="G124" t="n">
        <v>1</v>
      </c>
      <c r="H124" t="n">
        <v>72</v>
      </c>
      <c r="I124" t="n">
        <v>24</v>
      </c>
      <c r="J124" t="inlineStr">
        <is>
          <t>No</t>
        </is>
      </c>
      <c r="K124" t="inlineStr">
        <is>
          <t>Yes</t>
        </is>
      </c>
      <c r="L124" t="inlineStr">
        <is>
          <t>North WH</t>
        </is>
      </c>
    </row>
    <row r="125">
      <c r="A125" s="4" t="n">
        <v>20250401</v>
      </c>
      <c r="B125" s="4" t="inlineStr">
        <is>
          <t>P011</t>
        </is>
      </c>
      <c r="C125" t="n">
        <v>72</v>
      </c>
      <c r="D125" t="n">
        <v>0</v>
      </c>
      <c r="E125" t="n">
        <v>11</v>
      </c>
      <c r="F125" t="n">
        <v>0</v>
      </c>
      <c r="G125" t="n">
        <v>0</v>
      </c>
      <c r="H125" t="n">
        <v>61</v>
      </c>
      <c r="I125" t="n">
        <v>24</v>
      </c>
      <c r="J125" t="inlineStr">
        <is>
          <t>No</t>
        </is>
      </c>
      <c r="K125" t="inlineStr">
        <is>
          <t>Yes</t>
        </is>
      </c>
      <c r="L125" t="inlineStr">
        <is>
          <t>North WH</t>
        </is>
      </c>
    </row>
    <row r="126">
      <c r="A126" s="4" t="n">
        <v>20250501</v>
      </c>
      <c r="B126" s="4" t="inlineStr">
        <is>
          <t>P011</t>
        </is>
      </c>
      <c r="C126" t="n">
        <v>61</v>
      </c>
      <c r="D126" t="n">
        <v>0</v>
      </c>
      <c r="E126" t="n">
        <v>3</v>
      </c>
      <c r="F126" t="n">
        <v>0</v>
      </c>
      <c r="G126" t="n">
        <v>2</v>
      </c>
      <c r="H126" t="n">
        <v>56</v>
      </c>
      <c r="I126" t="n">
        <v>24</v>
      </c>
      <c r="J126" t="inlineStr">
        <is>
          <t>No</t>
        </is>
      </c>
      <c r="K126" t="inlineStr">
        <is>
          <t>Yes</t>
        </is>
      </c>
      <c r="L126" t="inlineStr">
        <is>
          <t>North WH</t>
        </is>
      </c>
    </row>
    <row r="127">
      <c r="A127" s="4" t="n">
        <v>20250601</v>
      </c>
      <c r="B127" s="4" t="inlineStr">
        <is>
          <t>P011</t>
        </is>
      </c>
      <c r="C127" t="n">
        <v>56</v>
      </c>
      <c r="D127" t="n">
        <v>11</v>
      </c>
      <c r="E127" t="n">
        <v>2</v>
      </c>
      <c r="F127" t="n">
        <v>0</v>
      </c>
      <c r="G127" t="n">
        <v>1</v>
      </c>
      <c r="H127" t="n">
        <v>64</v>
      </c>
      <c r="I127" t="n">
        <v>24</v>
      </c>
      <c r="J127" t="inlineStr">
        <is>
          <t>No</t>
        </is>
      </c>
      <c r="K127" t="inlineStr">
        <is>
          <t>Yes</t>
        </is>
      </c>
      <c r="L127" t="inlineStr">
        <is>
          <t>Main WH</t>
        </is>
      </c>
    </row>
    <row r="128">
      <c r="A128" s="4" t="n">
        <v>20250701</v>
      </c>
      <c r="B128" s="4" t="inlineStr">
        <is>
          <t>P011</t>
        </is>
      </c>
      <c r="C128" t="n">
        <v>64</v>
      </c>
      <c r="D128" t="n">
        <v>13</v>
      </c>
      <c r="E128" t="n">
        <v>3</v>
      </c>
      <c r="F128" t="n">
        <v>1</v>
      </c>
      <c r="G128" t="n">
        <v>1</v>
      </c>
      <c r="H128" t="n">
        <v>74</v>
      </c>
      <c r="I128" t="n">
        <v>24</v>
      </c>
      <c r="J128" t="inlineStr">
        <is>
          <t>No</t>
        </is>
      </c>
      <c r="K128" t="inlineStr">
        <is>
          <t>Yes</t>
        </is>
      </c>
      <c r="L128" t="inlineStr">
        <is>
          <t>North WH</t>
        </is>
      </c>
    </row>
    <row r="129">
      <c r="A129" s="4" t="n">
        <v>20250801</v>
      </c>
      <c r="B129" s="4" t="inlineStr">
        <is>
          <t>P011</t>
        </is>
      </c>
      <c r="C129" t="n">
        <v>74</v>
      </c>
      <c r="D129" t="n">
        <v>0</v>
      </c>
      <c r="E129" t="n">
        <v>2</v>
      </c>
      <c r="F129" t="n">
        <v>0</v>
      </c>
      <c r="G129" t="n">
        <v>2</v>
      </c>
      <c r="H129" t="n">
        <v>70</v>
      </c>
      <c r="I129" t="n">
        <v>24</v>
      </c>
      <c r="J129" t="inlineStr">
        <is>
          <t>No</t>
        </is>
      </c>
      <c r="K129" t="inlineStr">
        <is>
          <t>Yes</t>
        </is>
      </c>
      <c r="L129" t="inlineStr">
        <is>
          <t>North WH</t>
        </is>
      </c>
    </row>
    <row r="130">
      <c r="A130" s="4" t="n">
        <v>20250901</v>
      </c>
      <c r="B130" s="4" t="inlineStr">
        <is>
          <t>P011</t>
        </is>
      </c>
      <c r="C130" t="n">
        <v>70</v>
      </c>
      <c r="D130" t="n">
        <v>0</v>
      </c>
      <c r="E130" t="n">
        <v>6</v>
      </c>
      <c r="F130" t="n">
        <v>0</v>
      </c>
      <c r="G130" t="n">
        <v>0</v>
      </c>
      <c r="H130" t="n">
        <v>64</v>
      </c>
      <c r="I130" t="n">
        <v>24</v>
      </c>
      <c r="J130" t="inlineStr">
        <is>
          <t>No</t>
        </is>
      </c>
      <c r="K130" t="inlineStr">
        <is>
          <t>Yes</t>
        </is>
      </c>
      <c r="L130" t="inlineStr">
        <is>
          <t>Main WH</t>
        </is>
      </c>
    </row>
    <row r="131">
      <c r="A131" s="4" t="n">
        <v>20251001</v>
      </c>
      <c r="B131" s="4" t="inlineStr">
        <is>
          <t>P011</t>
        </is>
      </c>
      <c r="C131" t="n">
        <v>64</v>
      </c>
      <c r="D131" t="n">
        <v>8</v>
      </c>
      <c r="E131" t="n">
        <v>7</v>
      </c>
      <c r="F131" t="n">
        <v>0</v>
      </c>
      <c r="G131" t="n">
        <v>0</v>
      </c>
      <c r="H131" t="n">
        <v>65</v>
      </c>
      <c r="I131" t="n">
        <v>24</v>
      </c>
      <c r="J131" t="inlineStr">
        <is>
          <t>No</t>
        </is>
      </c>
      <c r="K131" t="inlineStr">
        <is>
          <t>Yes</t>
        </is>
      </c>
      <c r="L131" t="inlineStr">
        <is>
          <t>Main WH</t>
        </is>
      </c>
    </row>
    <row r="132">
      <c r="A132" s="4" t="n">
        <v>20251101</v>
      </c>
      <c r="B132" s="4" t="inlineStr">
        <is>
          <t>P011</t>
        </is>
      </c>
      <c r="C132" t="n">
        <v>65</v>
      </c>
      <c r="D132" t="n">
        <v>0</v>
      </c>
      <c r="E132" t="n">
        <v>1</v>
      </c>
      <c r="F132" t="n">
        <v>0</v>
      </c>
      <c r="G132" t="n">
        <v>1</v>
      </c>
      <c r="H132" t="n">
        <v>63</v>
      </c>
      <c r="I132" t="n">
        <v>24</v>
      </c>
      <c r="J132" t="inlineStr">
        <is>
          <t>No</t>
        </is>
      </c>
      <c r="K132" t="inlineStr">
        <is>
          <t>Yes</t>
        </is>
      </c>
      <c r="L132" t="inlineStr">
        <is>
          <t>North WH</t>
        </is>
      </c>
    </row>
    <row r="133">
      <c r="A133" s="4" t="n">
        <v>20251201</v>
      </c>
      <c r="B133" s="4" t="inlineStr">
        <is>
          <t>P011</t>
        </is>
      </c>
      <c r="C133" t="n">
        <v>63</v>
      </c>
      <c r="D133" t="n">
        <v>0</v>
      </c>
      <c r="E133" t="n">
        <v>0</v>
      </c>
      <c r="F133" t="n">
        <v>0</v>
      </c>
      <c r="G133" t="n">
        <v>0</v>
      </c>
      <c r="H133" t="n">
        <v>63</v>
      </c>
      <c r="I133" t="n">
        <v>24</v>
      </c>
      <c r="J133" t="inlineStr">
        <is>
          <t>No</t>
        </is>
      </c>
      <c r="K133" t="inlineStr">
        <is>
          <t>Yes</t>
        </is>
      </c>
      <c r="L133" t="inlineStr">
        <is>
          <t>North WH</t>
        </is>
      </c>
    </row>
    <row r="134">
      <c r="A134" s="4" t="n">
        <v>20250101</v>
      </c>
      <c r="B134" s="4" t="inlineStr">
        <is>
          <t>P012</t>
        </is>
      </c>
      <c r="C134" t="n">
        <v>63</v>
      </c>
      <c r="D134" t="n">
        <v>13</v>
      </c>
      <c r="E134" t="n">
        <v>3</v>
      </c>
      <c r="F134" t="n">
        <v>0</v>
      </c>
      <c r="G134" t="n">
        <v>1</v>
      </c>
      <c r="H134" t="n">
        <v>72</v>
      </c>
      <c r="I134" t="n">
        <v>18</v>
      </c>
      <c r="J134" t="inlineStr">
        <is>
          <t>No</t>
        </is>
      </c>
      <c r="K134" t="inlineStr">
        <is>
          <t>Yes</t>
        </is>
      </c>
      <c r="L134" t="inlineStr">
        <is>
          <t>Main WH</t>
        </is>
      </c>
    </row>
    <row r="135">
      <c r="A135" s="4" t="n">
        <v>20250201</v>
      </c>
      <c r="B135" s="4" t="inlineStr">
        <is>
          <t>P012</t>
        </is>
      </c>
      <c r="C135" t="n">
        <v>72</v>
      </c>
      <c r="D135" t="n">
        <v>0</v>
      </c>
      <c r="E135" t="n">
        <v>3</v>
      </c>
      <c r="F135" t="n">
        <v>0</v>
      </c>
      <c r="G135" t="n">
        <v>2</v>
      </c>
      <c r="H135" t="n">
        <v>67</v>
      </c>
      <c r="I135" t="n">
        <v>18</v>
      </c>
      <c r="J135" t="inlineStr">
        <is>
          <t>No</t>
        </is>
      </c>
      <c r="K135" t="inlineStr">
        <is>
          <t>Yes</t>
        </is>
      </c>
      <c r="L135" t="inlineStr">
        <is>
          <t>Main WH</t>
        </is>
      </c>
    </row>
    <row r="136">
      <c r="A136" s="4" t="n">
        <v>20250301</v>
      </c>
      <c r="B136" s="4" t="inlineStr">
        <is>
          <t>P012</t>
        </is>
      </c>
      <c r="C136" t="n">
        <v>67</v>
      </c>
      <c r="D136" t="n">
        <v>0</v>
      </c>
      <c r="E136" t="n">
        <v>8</v>
      </c>
      <c r="F136" t="n">
        <v>0</v>
      </c>
      <c r="G136" t="n">
        <v>0</v>
      </c>
      <c r="H136" t="n">
        <v>59</v>
      </c>
      <c r="I136" t="n">
        <v>18</v>
      </c>
      <c r="J136" t="inlineStr">
        <is>
          <t>No</t>
        </is>
      </c>
      <c r="K136" t="inlineStr">
        <is>
          <t>Yes</t>
        </is>
      </c>
      <c r="L136" t="inlineStr">
        <is>
          <t>Main WH</t>
        </is>
      </c>
    </row>
    <row r="137">
      <c r="A137" s="4" t="n">
        <v>20250401</v>
      </c>
      <c r="B137" s="4" t="inlineStr">
        <is>
          <t>P012</t>
        </is>
      </c>
      <c r="C137" t="n">
        <v>59</v>
      </c>
      <c r="D137" t="n">
        <v>0</v>
      </c>
      <c r="E137" t="n">
        <v>4</v>
      </c>
      <c r="F137" t="n">
        <v>0</v>
      </c>
      <c r="G137" t="n">
        <v>2</v>
      </c>
      <c r="H137" t="n">
        <v>53</v>
      </c>
      <c r="I137" t="n">
        <v>18</v>
      </c>
      <c r="J137" t="inlineStr">
        <is>
          <t>No</t>
        </is>
      </c>
      <c r="K137" t="inlineStr">
        <is>
          <t>Yes</t>
        </is>
      </c>
      <c r="L137" t="inlineStr">
        <is>
          <t>Main WH</t>
        </is>
      </c>
    </row>
    <row r="138">
      <c r="A138" s="4" t="n">
        <v>20250501</v>
      </c>
      <c r="B138" s="4" t="inlineStr">
        <is>
          <t>P012</t>
        </is>
      </c>
      <c r="C138" t="n">
        <v>53</v>
      </c>
      <c r="D138" t="n">
        <v>8</v>
      </c>
      <c r="E138" t="n">
        <v>0</v>
      </c>
      <c r="F138" t="n">
        <v>0</v>
      </c>
      <c r="G138" t="n">
        <v>0</v>
      </c>
      <c r="H138" t="n">
        <v>61</v>
      </c>
      <c r="I138" t="n">
        <v>18</v>
      </c>
      <c r="J138" t="inlineStr">
        <is>
          <t>No</t>
        </is>
      </c>
      <c r="K138" t="inlineStr">
        <is>
          <t>Yes</t>
        </is>
      </c>
      <c r="L138" t="inlineStr">
        <is>
          <t>Main WH</t>
        </is>
      </c>
    </row>
    <row r="139">
      <c r="A139" s="4" t="n">
        <v>20250601</v>
      </c>
      <c r="B139" s="4" t="inlineStr">
        <is>
          <t>P012</t>
        </is>
      </c>
      <c r="C139" t="n">
        <v>61</v>
      </c>
      <c r="D139" t="n">
        <v>10</v>
      </c>
      <c r="E139" t="n">
        <v>1</v>
      </c>
      <c r="F139" t="n">
        <v>0</v>
      </c>
      <c r="G139" t="n">
        <v>0</v>
      </c>
      <c r="H139" t="n">
        <v>70</v>
      </c>
      <c r="I139" t="n">
        <v>18</v>
      </c>
      <c r="J139" t="inlineStr">
        <is>
          <t>No</t>
        </is>
      </c>
      <c r="K139" t="inlineStr">
        <is>
          <t>Yes</t>
        </is>
      </c>
      <c r="L139" t="inlineStr">
        <is>
          <t>North WH</t>
        </is>
      </c>
    </row>
    <row r="140">
      <c r="A140" s="4" t="n">
        <v>20250701</v>
      </c>
      <c r="B140" s="4" t="inlineStr">
        <is>
          <t>P012</t>
        </is>
      </c>
      <c r="C140" t="n">
        <v>70</v>
      </c>
      <c r="D140" t="n">
        <v>11</v>
      </c>
      <c r="E140" t="n">
        <v>9</v>
      </c>
      <c r="F140" t="n">
        <v>0</v>
      </c>
      <c r="G140" t="n">
        <v>0</v>
      </c>
      <c r="H140" t="n">
        <v>72</v>
      </c>
      <c r="I140" t="n">
        <v>18</v>
      </c>
      <c r="J140" t="inlineStr">
        <is>
          <t>No</t>
        </is>
      </c>
      <c r="K140" t="inlineStr">
        <is>
          <t>Yes</t>
        </is>
      </c>
      <c r="L140" t="inlineStr">
        <is>
          <t>North WH</t>
        </is>
      </c>
    </row>
    <row r="141">
      <c r="A141" s="4" t="n">
        <v>20250801</v>
      </c>
      <c r="B141" s="4" t="inlineStr">
        <is>
          <t>P012</t>
        </is>
      </c>
      <c r="C141" t="n">
        <v>72</v>
      </c>
      <c r="D141" t="n">
        <v>0</v>
      </c>
      <c r="E141" t="n">
        <v>3</v>
      </c>
      <c r="F141" t="n">
        <v>0</v>
      </c>
      <c r="G141" t="n">
        <v>1</v>
      </c>
      <c r="H141" t="n">
        <v>68</v>
      </c>
      <c r="I141" t="n">
        <v>18</v>
      </c>
      <c r="J141" t="inlineStr">
        <is>
          <t>No</t>
        </is>
      </c>
      <c r="K141" t="inlineStr">
        <is>
          <t>Yes</t>
        </is>
      </c>
      <c r="L141" t="inlineStr">
        <is>
          <t>Main WH</t>
        </is>
      </c>
    </row>
    <row r="142">
      <c r="A142" s="4" t="n">
        <v>20250901</v>
      </c>
      <c r="B142" s="4" t="inlineStr">
        <is>
          <t>P012</t>
        </is>
      </c>
      <c r="C142" t="n">
        <v>68</v>
      </c>
      <c r="D142" t="n">
        <v>0</v>
      </c>
      <c r="E142" t="n">
        <v>1</v>
      </c>
      <c r="F142" t="n">
        <v>0</v>
      </c>
      <c r="G142" t="n">
        <v>0</v>
      </c>
      <c r="H142" t="n">
        <v>67</v>
      </c>
      <c r="I142" t="n">
        <v>18</v>
      </c>
      <c r="J142" t="inlineStr">
        <is>
          <t>No</t>
        </is>
      </c>
      <c r="K142" t="inlineStr">
        <is>
          <t>Yes</t>
        </is>
      </c>
      <c r="L142" t="inlineStr">
        <is>
          <t>North WH</t>
        </is>
      </c>
    </row>
    <row r="143">
      <c r="A143" s="4" t="n">
        <v>20251001</v>
      </c>
      <c r="B143" s="4" t="inlineStr">
        <is>
          <t>P012</t>
        </is>
      </c>
      <c r="C143" t="n">
        <v>67</v>
      </c>
      <c r="D143" t="n">
        <v>0</v>
      </c>
      <c r="E143" t="n">
        <v>3</v>
      </c>
      <c r="F143" t="n">
        <v>0</v>
      </c>
      <c r="G143" t="n">
        <v>0</v>
      </c>
      <c r="H143" t="n">
        <v>64</v>
      </c>
      <c r="I143" t="n">
        <v>18</v>
      </c>
      <c r="J143" t="inlineStr">
        <is>
          <t>No</t>
        </is>
      </c>
      <c r="K143" t="inlineStr">
        <is>
          <t>Yes</t>
        </is>
      </c>
      <c r="L143" t="inlineStr">
        <is>
          <t>North WH</t>
        </is>
      </c>
    </row>
    <row r="144">
      <c r="A144" s="4" t="n">
        <v>20251101</v>
      </c>
      <c r="B144" s="4" t="inlineStr">
        <is>
          <t>P012</t>
        </is>
      </c>
      <c r="C144" t="n">
        <v>64</v>
      </c>
      <c r="D144" t="n">
        <v>0</v>
      </c>
      <c r="E144" t="n">
        <v>3</v>
      </c>
      <c r="F144" t="n">
        <v>0</v>
      </c>
      <c r="G144" t="n">
        <v>1</v>
      </c>
      <c r="H144" t="n">
        <v>60</v>
      </c>
      <c r="I144" t="n">
        <v>18</v>
      </c>
      <c r="J144" t="inlineStr">
        <is>
          <t>No</t>
        </is>
      </c>
      <c r="K144" t="inlineStr">
        <is>
          <t>Yes</t>
        </is>
      </c>
      <c r="L144" t="inlineStr">
        <is>
          <t>North WH</t>
        </is>
      </c>
    </row>
    <row r="145">
      <c r="A145" s="4" t="n">
        <v>20251201</v>
      </c>
      <c r="B145" s="4" t="inlineStr">
        <is>
          <t>P012</t>
        </is>
      </c>
      <c r="C145" t="n">
        <v>60</v>
      </c>
      <c r="D145" t="n">
        <v>0</v>
      </c>
      <c r="E145" t="n">
        <v>4</v>
      </c>
      <c r="F145" t="n">
        <v>0</v>
      </c>
      <c r="G145" t="n">
        <v>0</v>
      </c>
      <c r="H145" t="n">
        <v>56</v>
      </c>
      <c r="I145" t="n">
        <v>18</v>
      </c>
      <c r="J145" t="inlineStr">
        <is>
          <t>No</t>
        </is>
      </c>
      <c r="K145" t="inlineStr">
        <is>
          <t>Yes</t>
        </is>
      </c>
      <c r="L145" t="inlineStr">
        <is>
          <t>North WH</t>
        </is>
      </c>
    </row>
    <row r="146">
      <c r="A146" s="4" t="n">
        <v>20250101</v>
      </c>
      <c r="B146" s="4" t="inlineStr">
        <is>
          <t>P013</t>
        </is>
      </c>
      <c r="C146" t="n">
        <v>85</v>
      </c>
      <c r="D146" t="n">
        <v>0</v>
      </c>
      <c r="E146" t="n">
        <v>1</v>
      </c>
      <c r="F146" t="n">
        <v>0</v>
      </c>
      <c r="G146" t="n">
        <v>1</v>
      </c>
      <c r="H146" t="n">
        <v>83</v>
      </c>
      <c r="I146" t="n">
        <v>24</v>
      </c>
      <c r="J146" t="inlineStr">
        <is>
          <t>No</t>
        </is>
      </c>
      <c r="K146" t="inlineStr">
        <is>
          <t>Yes</t>
        </is>
      </c>
      <c r="L146" t="inlineStr">
        <is>
          <t>Main WH</t>
        </is>
      </c>
    </row>
    <row r="147">
      <c r="A147" s="4" t="n">
        <v>20250201</v>
      </c>
      <c r="B147" s="4" t="inlineStr">
        <is>
          <t>P013</t>
        </is>
      </c>
      <c r="C147" t="n">
        <v>83</v>
      </c>
      <c r="D147" t="n">
        <v>0</v>
      </c>
      <c r="E147" t="n">
        <v>2</v>
      </c>
      <c r="F147" t="n">
        <v>0</v>
      </c>
      <c r="G147" t="n">
        <v>0</v>
      </c>
      <c r="H147" t="n">
        <v>81</v>
      </c>
      <c r="I147" t="n">
        <v>24</v>
      </c>
      <c r="J147" t="inlineStr">
        <is>
          <t>No</t>
        </is>
      </c>
      <c r="K147" t="inlineStr">
        <is>
          <t>Yes</t>
        </is>
      </c>
      <c r="L147" t="inlineStr">
        <is>
          <t>Main WH</t>
        </is>
      </c>
    </row>
    <row r="148">
      <c r="A148" s="4" t="n">
        <v>20250301</v>
      </c>
      <c r="B148" s="4" t="inlineStr">
        <is>
          <t>P013</t>
        </is>
      </c>
      <c r="C148" t="n">
        <v>81</v>
      </c>
      <c r="D148" t="n">
        <v>0</v>
      </c>
      <c r="E148" t="n">
        <v>0</v>
      </c>
      <c r="F148" t="n">
        <v>0</v>
      </c>
      <c r="G148" t="n">
        <v>1</v>
      </c>
      <c r="H148" t="n">
        <v>80</v>
      </c>
      <c r="I148" t="n">
        <v>24</v>
      </c>
      <c r="J148" t="inlineStr">
        <is>
          <t>No</t>
        </is>
      </c>
      <c r="K148" t="inlineStr">
        <is>
          <t>Yes</t>
        </is>
      </c>
      <c r="L148" t="inlineStr">
        <is>
          <t>Main WH</t>
        </is>
      </c>
    </row>
    <row r="149">
      <c r="A149" s="4" t="n">
        <v>20250401</v>
      </c>
      <c r="B149" s="4" t="inlineStr">
        <is>
          <t>P013</t>
        </is>
      </c>
      <c r="C149" t="n">
        <v>80</v>
      </c>
      <c r="D149" t="n">
        <v>0</v>
      </c>
      <c r="E149" t="n">
        <v>0</v>
      </c>
      <c r="F149" t="n">
        <v>0</v>
      </c>
      <c r="G149" t="n">
        <v>1</v>
      </c>
      <c r="H149" t="n">
        <v>79</v>
      </c>
      <c r="I149" t="n">
        <v>24</v>
      </c>
      <c r="J149" t="inlineStr">
        <is>
          <t>No</t>
        </is>
      </c>
      <c r="K149" t="inlineStr">
        <is>
          <t>Yes</t>
        </is>
      </c>
      <c r="L149" t="inlineStr">
        <is>
          <t>Main WH</t>
        </is>
      </c>
    </row>
    <row r="150">
      <c r="A150" s="4" t="n">
        <v>20250501</v>
      </c>
      <c r="B150" s="4" t="inlineStr">
        <is>
          <t>P013</t>
        </is>
      </c>
      <c r="C150" t="n">
        <v>79</v>
      </c>
      <c r="D150" t="n">
        <v>0</v>
      </c>
      <c r="E150" t="n">
        <v>5</v>
      </c>
      <c r="F150" t="n">
        <v>0</v>
      </c>
      <c r="G150" t="n">
        <v>0</v>
      </c>
      <c r="H150" t="n">
        <v>74</v>
      </c>
      <c r="I150" t="n">
        <v>24</v>
      </c>
      <c r="J150" t="inlineStr">
        <is>
          <t>No</t>
        </is>
      </c>
      <c r="K150" t="inlineStr">
        <is>
          <t>Yes</t>
        </is>
      </c>
      <c r="L150" t="inlineStr">
        <is>
          <t>Main WH</t>
        </is>
      </c>
    </row>
    <row r="151">
      <c r="A151" s="4" t="n">
        <v>20250601</v>
      </c>
      <c r="B151" s="4" t="inlineStr">
        <is>
          <t>P013</t>
        </is>
      </c>
      <c r="C151" t="n">
        <v>74</v>
      </c>
      <c r="D151" t="n">
        <v>4</v>
      </c>
      <c r="E151" t="n">
        <v>3</v>
      </c>
      <c r="F151" t="n">
        <v>0</v>
      </c>
      <c r="G151" t="n">
        <v>1</v>
      </c>
      <c r="H151" t="n">
        <v>74</v>
      </c>
      <c r="I151" t="n">
        <v>24</v>
      </c>
      <c r="J151" t="inlineStr">
        <is>
          <t>No</t>
        </is>
      </c>
      <c r="K151" t="inlineStr">
        <is>
          <t>Yes</t>
        </is>
      </c>
      <c r="L151" t="inlineStr">
        <is>
          <t>Main WH</t>
        </is>
      </c>
    </row>
    <row r="152">
      <c r="A152" s="4" t="n">
        <v>20250701</v>
      </c>
      <c r="B152" s="4" t="inlineStr">
        <is>
          <t>P013</t>
        </is>
      </c>
      <c r="C152" t="n">
        <v>74</v>
      </c>
      <c r="D152" t="n">
        <v>0</v>
      </c>
      <c r="E152" t="n">
        <v>3</v>
      </c>
      <c r="F152" t="n">
        <v>0</v>
      </c>
      <c r="G152" t="n">
        <v>0</v>
      </c>
      <c r="H152" t="n">
        <v>71</v>
      </c>
      <c r="I152" t="n">
        <v>24</v>
      </c>
      <c r="J152" t="inlineStr">
        <is>
          <t>No</t>
        </is>
      </c>
      <c r="K152" t="inlineStr">
        <is>
          <t>Yes</t>
        </is>
      </c>
      <c r="L152" t="inlineStr">
        <is>
          <t>Main WH</t>
        </is>
      </c>
    </row>
    <row r="153">
      <c r="A153" s="4" t="n">
        <v>20250801</v>
      </c>
      <c r="B153" s="4" t="inlineStr">
        <is>
          <t>P013</t>
        </is>
      </c>
      <c r="C153" t="n">
        <v>71</v>
      </c>
      <c r="D153" t="n">
        <v>9</v>
      </c>
      <c r="E153" t="n">
        <v>7</v>
      </c>
      <c r="F153" t="n">
        <v>0</v>
      </c>
      <c r="G153" t="n">
        <v>1</v>
      </c>
      <c r="H153" t="n">
        <v>72</v>
      </c>
      <c r="I153" t="n">
        <v>24</v>
      </c>
      <c r="J153" t="inlineStr">
        <is>
          <t>No</t>
        </is>
      </c>
      <c r="K153" t="inlineStr">
        <is>
          <t>Yes</t>
        </is>
      </c>
      <c r="L153" t="inlineStr">
        <is>
          <t>North WH</t>
        </is>
      </c>
    </row>
    <row r="154">
      <c r="A154" s="4" t="n">
        <v>20250901</v>
      </c>
      <c r="B154" s="4" t="inlineStr">
        <is>
          <t>P013</t>
        </is>
      </c>
      <c r="C154" t="n">
        <v>72</v>
      </c>
      <c r="D154" t="n">
        <v>0</v>
      </c>
      <c r="E154" t="n">
        <v>3</v>
      </c>
      <c r="F154" t="n">
        <v>0</v>
      </c>
      <c r="G154" t="n">
        <v>0</v>
      </c>
      <c r="H154" t="n">
        <v>69</v>
      </c>
      <c r="I154" t="n">
        <v>24</v>
      </c>
      <c r="J154" t="inlineStr">
        <is>
          <t>No</t>
        </is>
      </c>
      <c r="K154" t="inlineStr">
        <is>
          <t>Yes</t>
        </is>
      </c>
      <c r="L154" t="inlineStr">
        <is>
          <t>Main WH</t>
        </is>
      </c>
    </row>
    <row r="155">
      <c r="A155" s="4" t="n">
        <v>20251001</v>
      </c>
      <c r="B155" s="4" t="inlineStr">
        <is>
          <t>P013</t>
        </is>
      </c>
      <c r="C155" t="n">
        <v>69</v>
      </c>
      <c r="D155" t="n">
        <v>0</v>
      </c>
      <c r="E155" t="n">
        <v>4</v>
      </c>
      <c r="F155" t="n">
        <v>0</v>
      </c>
      <c r="G155" t="n">
        <v>1</v>
      </c>
      <c r="H155" t="n">
        <v>64</v>
      </c>
      <c r="I155" t="n">
        <v>24</v>
      </c>
      <c r="J155" t="inlineStr">
        <is>
          <t>No</t>
        </is>
      </c>
      <c r="K155" t="inlineStr">
        <is>
          <t>Yes</t>
        </is>
      </c>
      <c r="L155" t="inlineStr">
        <is>
          <t>Main WH</t>
        </is>
      </c>
    </row>
    <row r="156">
      <c r="A156" s="4" t="n">
        <v>20251101</v>
      </c>
      <c r="B156" s="4" t="inlineStr">
        <is>
          <t>P013</t>
        </is>
      </c>
      <c r="C156" t="n">
        <v>64</v>
      </c>
      <c r="D156" t="n">
        <v>19</v>
      </c>
      <c r="E156" t="n">
        <v>4</v>
      </c>
      <c r="F156" t="n">
        <v>0</v>
      </c>
      <c r="G156" t="n">
        <v>0</v>
      </c>
      <c r="H156" t="n">
        <v>79</v>
      </c>
      <c r="I156" t="n">
        <v>24</v>
      </c>
      <c r="J156" t="inlineStr">
        <is>
          <t>No</t>
        </is>
      </c>
      <c r="K156" t="inlineStr">
        <is>
          <t>Yes</t>
        </is>
      </c>
      <c r="L156" t="inlineStr">
        <is>
          <t>North WH</t>
        </is>
      </c>
    </row>
    <row r="157">
      <c r="A157" s="4" t="n">
        <v>20251201</v>
      </c>
      <c r="B157" s="4" t="inlineStr">
        <is>
          <t>P013</t>
        </is>
      </c>
      <c r="C157" t="n">
        <v>79</v>
      </c>
      <c r="D157" t="n">
        <v>0</v>
      </c>
      <c r="E157" t="n">
        <v>1</v>
      </c>
      <c r="F157" t="n">
        <v>0</v>
      </c>
      <c r="G157" t="n">
        <v>0</v>
      </c>
      <c r="H157" t="n">
        <v>78</v>
      </c>
      <c r="I157" t="n">
        <v>24</v>
      </c>
      <c r="J157" t="inlineStr">
        <is>
          <t>No</t>
        </is>
      </c>
      <c r="K157" t="inlineStr">
        <is>
          <t>Yes</t>
        </is>
      </c>
      <c r="L157" t="inlineStr">
        <is>
          <t>Main WH</t>
        </is>
      </c>
    </row>
    <row r="158">
      <c r="A158" s="4" t="n">
        <v>20250101</v>
      </c>
      <c r="B158" s="4" t="inlineStr">
        <is>
          <t>P014</t>
        </is>
      </c>
      <c r="C158" t="n">
        <v>55</v>
      </c>
      <c r="D158" t="n">
        <v>20</v>
      </c>
      <c r="E158" t="n">
        <v>5</v>
      </c>
      <c r="F158" t="n">
        <v>0</v>
      </c>
      <c r="G158" t="n">
        <v>0</v>
      </c>
      <c r="H158" t="n">
        <v>70</v>
      </c>
      <c r="I158" t="n">
        <v>30</v>
      </c>
      <c r="J158" t="inlineStr">
        <is>
          <t>No</t>
        </is>
      </c>
      <c r="K158" t="inlineStr">
        <is>
          <t>Yes</t>
        </is>
      </c>
      <c r="L158" t="inlineStr">
        <is>
          <t>North WH</t>
        </is>
      </c>
    </row>
    <row r="159">
      <c r="A159" s="4" t="n">
        <v>20250201</v>
      </c>
      <c r="B159" s="4" t="inlineStr">
        <is>
          <t>P014</t>
        </is>
      </c>
      <c r="C159" t="n">
        <v>70</v>
      </c>
      <c r="D159" t="n">
        <v>13</v>
      </c>
      <c r="E159" t="n">
        <v>1</v>
      </c>
      <c r="F159" t="n">
        <v>0</v>
      </c>
      <c r="G159" t="n">
        <v>0</v>
      </c>
      <c r="H159" t="n">
        <v>82</v>
      </c>
      <c r="I159" t="n">
        <v>30</v>
      </c>
      <c r="J159" t="inlineStr">
        <is>
          <t>No</t>
        </is>
      </c>
      <c r="K159" t="inlineStr">
        <is>
          <t>Yes</t>
        </is>
      </c>
      <c r="L159" t="inlineStr">
        <is>
          <t>North WH</t>
        </is>
      </c>
    </row>
    <row r="160">
      <c r="A160" s="4" t="n">
        <v>20250301</v>
      </c>
      <c r="B160" s="4" t="inlineStr">
        <is>
          <t>P014</t>
        </is>
      </c>
      <c r="C160" t="n">
        <v>82</v>
      </c>
      <c r="D160" t="n">
        <v>0</v>
      </c>
      <c r="E160" t="n">
        <v>3</v>
      </c>
      <c r="F160" t="n">
        <v>0</v>
      </c>
      <c r="G160" t="n">
        <v>0</v>
      </c>
      <c r="H160" t="n">
        <v>79</v>
      </c>
      <c r="I160" t="n">
        <v>30</v>
      </c>
      <c r="J160" t="inlineStr">
        <is>
          <t>No</t>
        </is>
      </c>
      <c r="K160" t="inlineStr">
        <is>
          <t>Yes</t>
        </is>
      </c>
      <c r="L160" t="inlineStr">
        <is>
          <t>Main WH</t>
        </is>
      </c>
    </row>
    <row r="161">
      <c r="A161" s="4" t="n">
        <v>20250401</v>
      </c>
      <c r="B161" s="4" t="inlineStr">
        <is>
          <t>P014</t>
        </is>
      </c>
      <c r="C161" t="n">
        <v>79</v>
      </c>
      <c r="D161" t="n">
        <v>0</v>
      </c>
      <c r="E161" t="n">
        <v>3</v>
      </c>
      <c r="F161" t="n">
        <v>0</v>
      </c>
      <c r="G161" t="n">
        <v>1</v>
      </c>
      <c r="H161" t="n">
        <v>75</v>
      </c>
      <c r="I161" t="n">
        <v>30</v>
      </c>
      <c r="J161" t="inlineStr">
        <is>
          <t>No</t>
        </is>
      </c>
      <c r="K161" t="inlineStr">
        <is>
          <t>Yes</t>
        </is>
      </c>
      <c r="L161" t="inlineStr">
        <is>
          <t>Main WH</t>
        </is>
      </c>
    </row>
    <row r="162">
      <c r="A162" s="4" t="n">
        <v>20250501</v>
      </c>
      <c r="B162" s="4" t="inlineStr">
        <is>
          <t>P014</t>
        </is>
      </c>
      <c r="C162" t="n">
        <v>75</v>
      </c>
      <c r="D162" t="n">
        <v>0</v>
      </c>
      <c r="E162" t="n">
        <v>9</v>
      </c>
      <c r="F162" t="n">
        <v>1</v>
      </c>
      <c r="G162" t="n">
        <v>0</v>
      </c>
      <c r="H162" t="n">
        <v>67</v>
      </c>
      <c r="I162" t="n">
        <v>30</v>
      </c>
      <c r="J162" t="inlineStr">
        <is>
          <t>No</t>
        </is>
      </c>
      <c r="K162" t="inlineStr">
        <is>
          <t>No</t>
        </is>
      </c>
      <c r="L162" t="inlineStr">
        <is>
          <t>North WH</t>
        </is>
      </c>
    </row>
    <row r="163">
      <c r="A163" s="4" t="n">
        <v>20250601</v>
      </c>
      <c r="B163" s="4" t="inlineStr">
        <is>
          <t>P014</t>
        </is>
      </c>
      <c r="C163" t="n">
        <v>67</v>
      </c>
      <c r="D163" t="n">
        <v>20</v>
      </c>
      <c r="E163" t="n">
        <v>3</v>
      </c>
      <c r="F163" t="n">
        <v>0</v>
      </c>
      <c r="G163" t="n">
        <v>1</v>
      </c>
      <c r="H163" t="n">
        <v>83</v>
      </c>
      <c r="I163" t="n">
        <v>30</v>
      </c>
      <c r="J163" t="inlineStr">
        <is>
          <t>No</t>
        </is>
      </c>
      <c r="K163" t="inlineStr">
        <is>
          <t>Yes</t>
        </is>
      </c>
      <c r="L163" t="inlineStr">
        <is>
          <t>Main WH</t>
        </is>
      </c>
    </row>
    <row r="164">
      <c r="A164" s="4" t="n">
        <v>20250701</v>
      </c>
      <c r="B164" s="4" t="inlineStr">
        <is>
          <t>P014</t>
        </is>
      </c>
      <c r="C164" t="n">
        <v>83</v>
      </c>
      <c r="D164" t="n">
        <v>0</v>
      </c>
      <c r="E164" t="n">
        <v>4</v>
      </c>
      <c r="F164" t="n">
        <v>0</v>
      </c>
      <c r="G164" t="n">
        <v>0</v>
      </c>
      <c r="H164" t="n">
        <v>79</v>
      </c>
      <c r="I164" t="n">
        <v>30</v>
      </c>
      <c r="J164" t="inlineStr">
        <is>
          <t>No</t>
        </is>
      </c>
      <c r="K164" t="inlineStr">
        <is>
          <t>Yes</t>
        </is>
      </c>
      <c r="L164" t="inlineStr">
        <is>
          <t>North WH</t>
        </is>
      </c>
    </row>
    <row r="165">
      <c r="A165" s="4" t="n">
        <v>20250801</v>
      </c>
      <c r="B165" s="4" t="inlineStr">
        <is>
          <t>P014</t>
        </is>
      </c>
      <c r="C165" t="n">
        <v>79</v>
      </c>
      <c r="D165" t="n">
        <v>0</v>
      </c>
      <c r="E165" t="n">
        <v>3</v>
      </c>
      <c r="F165" t="n">
        <v>0</v>
      </c>
      <c r="G165" t="n">
        <v>0</v>
      </c>
      <c r="H165" t="n">
        <v>76</v>
      </c>
      <c r="I165" t="n">
        <v>30</v>
      </c>
      <c r="J165" t="inlineStr">
        <is>
          <t>No</t>
        </is>
      </c>
      <c r="K165" t="inlineStr">
        <is>
          <t>Yes</t>
        </is>
      </c>
      <c r="L165" t="inlineStr">
        <is>
          <t>Main WH</t>
        </is>
      </c>
    </row>
    <row r="166">
      <c r="A166" s="4" t="n">
        <v>20250901</v>
      </c>
      <c r="B166" s="4" t="inlineStr">
        <is>
          <t>P014</t>
        </is>
      </c>
      <c r="C166" t="n">
        <v>76</v>
      </c>
      <c r="D166" t="n">
        <v>9</v>
      </c>
      <c r="E166" t="n">
        <v>0</v>
      </c>
      <c r="F166" t="n">
        <v>0</v>
      </c>
      <c r="G166" t="n">
        <v>1</v>
      </c>
      <c r="H166" t="n">
        <v>84</v>
      </c>
      <c r="I166" t="n">
        <v>30</v>
      </c>
      <c r="J166" t="inlineStr">
        <is>
          <t>No</t>
        </is>
      </c>
      <c r="K166" t="inlineStr">
        <is>
          <t>Yes</t>
        </is>
      </c>
      <c r="L166" t="inlineStr">
        <is>
          <t>Main WH</t>
        </is>
      </c>
    </row>
    <row r="167">
      <c r="A167" s="4" t="n">
        <v>20251001</v>
      </c>
      <c r="B167" s="4" t="inlineStr">
        <is>
          <t>P014</t>
        </is>
      </c>
      <c r="C167" t="n">
        <v>84</v>
      </c>
      <c r="D167" t="n">
        <v>0</v>
      </c>
      <c r="E167" t="n">
        <v>2</v>
      </c>
      <c r="F167" t="n">
        <v>0</v>
      </c>
      <c r="G167" t="n">
        <v>0</v>
      </c>
      <c r="H167" t="n">
        <v>82</v>
      </c>
      <c r="I167" t="n">
        <v>30</v>
      </c>
      <c r="J167" t="inlineStr">
        <is>
          <t>No</t>
        </is>
      </c>
      <c r="K167" t="inlineStr">
        <is>
          <t>Yes</t>
        </is>
      </c>
      <c r="L167" t="inlineStr">
        <is>
          <t>North WH</t>
        </is>
      </c>
    </row>
    <row r="168">
      <c r="A168" s="4" t="n">
        <v>20251101</v>
      </c>
      <c r="B168" s="4" t="inlineStr">
        <is>
          <t>P014</t>
        </is>
      </c>
      <c r="C168" t="n">
        <v>82</v>
      </c>
      <c r="D168" t="n">
        <v>0</v>
      </c>
      <c r="E168" t="n">
        <v>3</v>
      </c>
      <c r="F168" t="n">
        <v>0</v>
      </c>
      <c r="G168" t="n">
        <v>0</v>
      </c>
      <c r="H168" t="n">
        <v>79</v>
      </c>
      <c r="I168" t="n">
        <v>30</v>
      </c>
      <c r="J168" t="inlineStr">
        <is>
          <t>No</t>
        </is>
      </c>
      <c r="K168" t="inlineStr">
        <is>
          <t>Yes</t>
        </is>
      </c>
      <c r="L168" t="inlineStr">
        <is>
          <t>Main WH</t>
        </is>
      </c>
    </row>
    <row r="169">
      <c r="A169" s="4" t="n">
        <v>20251201</v>
      </c>
      <c r="B169" s="4" t="inlineStr">
        <is>
          <t>P014</t>
        </is>
      </c>
      <c r="C169" t="n">
        <v>79</v>
      </c>
      <c r="D169" t="n">
        <v>3</v>
      </c>
      <c r="E169" t="n">
        <v>7</v>
      </c>
      <c r="F169" t="n">
        <v>0</v>
      </c>
      <c r="G169" t="n">
        <v>0</v>
      </c>
      <c r="H169" t="n">
        <v>75</v>
      </c>
      <c r="I169" t="n">
        <v>30</v>
      </c>
      <c r="J169" t="inlineStr">
        <is>
          <t>No</t>
        </is>
      </c>
      <c r="K169" t="inlineStr">
        <is>
          <t>Yes</t>
        </is>
      </c>
      <c r="L169" t="inlineStr">
        <is>
          <t>Main WH</t>
        </is>
      </c>
    </row>
    <row r="170">
      <c r="A170" s="4" t="n">
        <v>20250101</v>
      </c>
      <c r="B170" s="4" t="inlineStr">
        <is>
          <t>P015</t>
        </is>
      </c>
      <c r="C170" t="n">
        <v>75</v>
      </c>
      <c r="D170" t="n">
        <v>14</v>
      </c>
      <c r="E170" t="n">
        <v>1</v>
      </c>
      <c r="F170" t="n">
        <v>0</v>
      </c>
      <c r="G170" t="n">
        <v>0</v>
      </c>
      <c r="H170" t="n">
        <v>88</v>
      </c>
      <c r="I170" t="n">
        <v>36</v>
      </c>
      <c r="J170" t="inlineStr">
        <is>
          <t>No</t>
        </is>
      </c>
      <c r="K170" t="inlineStr">
        <is>
          <t>Yes</t>
        </is>
      </c>
      <c r="L170" t="inlineStr">
        <is>
          <t>North WH</t>
        </is>
      </c>
    </row>
    <row r="171">
      <c r="A171" s="4" t="n">
        <v>20250201</v>
      </c>
      <c r="B171" s="4" t="inlineStr">
        <is>
          <t>P015</t>
        </is>
      </c>
      <c r="C171" t="n">
        <v>88</v>
      </c>
      <c r="D171" t="n">
        <v>0</v>
      </c>
      <c r="E171" t="n">
        <v>0</v>
      </c>
      <c r="F171" t="n">
        <v>0</v>
      </c>
      <c r="G171" t="n">
        <v>0</v>
      </c>
      <c r="H171" t="n">
        <v>88</v>
      </c>
      <c r="I171" t="n">
        <v>36</v>
      </c>
      <c r="J171" t="inlineStr">
        <is>
          <t>No</t>
        </is>
      </c>
      <c r="K171" t="inlineStr">
        <is>
          <t>Yes</t>
        </is>
      </c>
      <c r="L171" t="inlineStr">
        <is>
          <t>North WH</t>
        </is>
      </c>
    </row>
    <row r="172">
      <c r="A172" s="4" t="n">
        <v>20250301</v>
      </c>
      <c r="B172" s="4" t="inlineStr">
        <is>
          <t>P015</t>
        </is>
      </c>
      <c r="C172" t="n">
        <v>88</v>
      </c>
      <c r="D172" t="n">
        <v>0</v>
      </c>
      <c r="E172" t="n">
        <v>2</v>
      </c>
      <c r="F172" t="n">
        <v>0</v>
      </c>
      <c r="G172" t="n">
        <v>2</v>
      </c>
      <c r="H172" t="n">
        <v>84</v>
      </c>
      <c r="I172" t="n">
        <v>36</v>
      </c>
      <c r="J172" t="inlineStr">
        <is>
          <t>No</t>
        </is>
      </c>
      <c r="K172" t="inlineStr">
        <is>
          <t>Yes</t>
        </is>
      </c>
      <c r="L172" t="inlineStr">
        <is>
          <t>North WH</t>
        </is>
      </c>
    </row>
    <row r="173">
      <c r="A173" s="4" t="n">
        <v>20250401</v>
      </c>
      <c r="B173" s="4" t="inlineStr">
        <is>
          <t>P015</t>
        </is>
      </c>
      <c r="C173" t="n">
        <v>84</v>
      </c>
      <c r="D173" t="n">
        <v>0</v>
      </c>
      <c r="E173" t="n">
        <v>1</v>
      </c>
      <c r="F173" t="n">
        <v>0</v>
      </c>
      <c r="G173" t="n">
        <v>2</v>
      </c>
      <c r="H173" t="n">
        <v>81</v>
      </c>
      <c r="I173" t="n">
        <v>36</v>
      </c>
      <c r="J173" t="inlineStr">
        <is>
          <t>No</t>
        </is>
      </c>
      <c r="K173" t="inlineStr">
        <is>
          <t>No</t>
        </is>
      </c>
      <c r="L173" t="inlineStr">
        <is>
          <t>Main WH</t>
        </is>
      </c>
    </row>
    <row r="174">
      <c r="A174" s="4" t="n">
        <v>20250501</v>
      </c>
      <c r="B174" s="4" t="inlineStr">
        <is>
          <t>P015</t>
        </is>
      </c>
      <c r="C174" t="n">
        <v>81</v>
      </c>
      <c r="D174" t="n">
        <v>14</v>
      </c>
      <c r="E174" t="n">
        <v>8</v>
      </c>
      <c r="F174" t="n">
        <v>0</v>
      </c>
      <c r="G174" t="n">
        <v>1</v>
      </c>
      <c r="H174" t="n">
        <v>86</v>
      </c>
      <c r="I174" t="n">
        <v>36</v>
      </c>
      <c r="J174" t="inlineStr">
        <is>
          <t>No</t>
        </is>
      </c>
      <c r="K174" t="inlineStr">
        <is>
          <t>Yes</t>
        </is>
      </c>
      <c r="L174" t="inlineStr">
        <is>
          <t>Main WH</t>
        </is>
      </c>
    </row>
    <row r="175">
      <c r="A175" s="4" t="n">
        <v>20250601</v>
      </c>
      <c r="B175" s="4" t="inlineStr">
        <is>
          <t>P015</t>
        </is>
      </c>
      <c r="C175" t="n">
        <v>86</v>
      </c>
      <c r="D175" t="n">
        <v>0</v>
      </c>
      <c r="E175" t="n">
        <v>2</v>
      </c>
      <c r="F175" t="n">
        <v>0</v>
      </c>
      <c r="G175" t="n">
        <v>1</v>
      </c>
      <c r="H175" t="n">
        <v>83</v>
      </c>
      <c r="I175" t="n">
        <v>36</v>
      </c>
      <c r="J175" t="inlineStr">
        <is>
          <t>No</t>
        </is>
      </c>
      <c r="K175" t="inlineStr">
        <is>
          <t>Yes</t>
        </is>
      </c>
      <c r="L175" t="inlineStr">
        <is>
          <t>Main WH</t>
        </is>
      </c>
    </row>
    <row r="176">
      <c r="A176" s="4" t="n">
        <v>20250701</v>
      </c>
      <c r="B176" s="4" t="inlineStr">
        <is>
          <t>P015</t>
        </is>
      </c>
      <c r="C176" t="n">
        <v>83</v>
      </c>
      <c r="D176" t="n">
        <v>7</v>
      </c>
      <c r="E176" t="n">
        <v>2</v>
      </c>
      <c r="F176" t="n">
        <v>0</v>
      </c>
      <c r="G176" t="n">
        <v>1</v>
      </c>
      <c r="H176" t="n">
        <v>87</v>
      </c>
      <c r="I176" t="n">
        <v>36</v>
      </c>
      <c r="J176" t="inlineStr">
        <is>
          <t>No</t>
        </is>
      </c>
      <c r="K176" t="inlineStr">
        <is>
          <t>Yes</t>
        </is>
      </c>
      <c r="L176" t="inlineStr">
        <is>
          <t>Main WH</t>
        </is>
      </c>
    </row>
    <row r="177">
      <c r="A177" s="4" t="n">
        <v>20250801</v>
      </c>
      <c r="B177" s="4" t="inlineStr">
        <is>
          <t>P015</t>
        </is>
      </c>
      <c r="C177" t="n">
        <v>87</v>
      </c>
      <c r="D177" t="n">
        <v>0</v>
      </c>
      <c r="E177" t="n">
        <v>0</v>
      </c>
      <c r="F177" t="n">
        <v>0</v>
      </c>
      <c r="G177" t="n">
        <v>0</v>
      </c>
      <c r="H177" t="n">
        <v>87</v>
      </c>
      <c r="I177" t="n">
        <v>36</v>
      </c>
      <c r="J177" t="inlineStr">
        <is>
          <t>No</t>
        </is>
      </c>
      <c r="K177" t="inlineStr">
        <is>
          <t>Yes</t>
        </is>
      </c>
      <c r="L177" t="inlineStr">
        <is>
          <t>Main WH</t>
        </is>
      </c>
    </row>
    <row r="178">
      <c r="A178" s="4" t="n">
        <v>20250901</v>
      </c>
      <c r="B178" s="4" t="inlineStr">
        <is>
          <t>P015</t>
        </is>
      </c>
      <c r="C178" t="n">
        <v>87</v>
      </c>
      <c r="D178" t="n">
        <v>0</v>
      </c>
      <c r="E178" t="n">
        <v>1</v>
      </c>
      <c r="F178" t="n">
        <v>0</v>
      </c>
      <c r="G178" t="n">
        <v>0</v>
      </c>
      <c r="H178" t="n">
        <v>86</v>
      </c>
      <c r="I178" t="n">
        <v>36</v>
      </c>
      <c r="J178" t="inlineStr">
        <is>
          <t>No</t>
        </is>
      </c>
      <c r="K178" t="inlineStr">
        <is>
          <t>Yes</t>
        </is>
      </c>
      <c r="L178" t="inlineStr">
        <is>
          <t>North WH</t>
        </is>
      </c>
    </row>
    <row r="179">
      <c r="A179" s="4" t="n">
        <v>20251001</v>
      </c>
      <c r="B179" s="4" t="inlineStr">
        <is>
          <t>P015</t>
        </is>
      </c>
      <c r="C179" t="n">
        <v>86</v>
      </c>
      <c r="D179" t="n">
        <v>0</v>
      </c>
      <c r="E179" t="n">
        <v>3</v>
      </c>
      <c r="F179" t="n">
        <v>0</v>
      </c>
      <c r="G179" t="n">
        <v>0</v>
      </c>
      <c r="H179" t="n">
        <v>83</v>
      </c>
      <c r="I179" t="n">
        <v>36</v>
      </c>
      <c r="J179" t="inlineStr">
        <is>
          <t>No</t>
        </is>
      </c>
      <c r="K179" t="inlineStr">
        <is>
          <t>Yes</t>
        </is>
      </c>
      <c r="L179" t="inlineStr">
        <is>
          <t>Main WH</t>
        </is>
      </c>
    </row>
    <row r="180">
      <c r="A180" s="4" t="n">
        <v>20251101</v>
      </c>
      <c r="B180" s="4" t="inlineStr">
        <is>
          <t>P015</t>
        </is>
      </c>
      <c r="C180" t="n">
        <v>83</v>
      </c>
      <c r="D180" t="n">
        <v>0</v>
      </c>
      <c r="E180" t="n">
        <v>4</v>
      </c>
      <c r="F180" t="n">
        <v>0</v>
      </c>
      <c r="G180" t="n">
        <v>1</v>
      </c>
      <c r="H180" t="n">
        <v>78</v>
      </c>
      <c r="I180" t="n">
        <v>36</v>
      </c>
      <c r="J180" t="inlineStr">
        <is>
          <t>No</t>
        </is>
      </c>
      <c r="K180" t="inlineStr">
        <is>
          <t>No</t>
        </is>
      </c>
      <c r="L180" t="inlineStr">
        <is>
          <t>North WH</t>
        </is>
      </c>
    </row>
    <row r="181">
      <c r="A181" s="4" t="n">
        <v>20251201</v>
      </c>
      <c r="B181" s="4" t="inlineStr">
        <is>
          <t>P015</t>
        </is>
      </c>
      <c r="C181" t="n">
        <v>78</v>
      </c>
      <c r="D181" t="n">
        <v>0</v>
      </c>
      <c r="E181" t="n">
        <v>4</v>
      </c>
      <c r="F181" t="n">
        <v>0</v>
      </c>
      <c r="G181" t="n">
        <v>0</v>
      </c>
      <c r="H181" t="n">
        <v>74</v>
      </c>
      <c r="I181" t="n">
        <v>36</v>
      </c>
      <c r="J181" t="inlineStr">
        <is>
          <t>No</t>
        </is>
      </c>
      <c r="K181" t="inlineStr">
        <is>
          <t>No</t>
        </is>
      </c>
      <c r="L181" t="inlineStr">
        <is>
          <t>North WH</t>
        </is>
      </c>
    </row>
    <row r="182">
      <c r="A182" s="4" t="n">
        <v>20250101</v>
      </c>
      <c r="B182" s="4" t="inlineStr">
        <is>
          <t>P016</t>
        </is>
      </c>
      <c r="C182" t="n">
        <v>76</v>
      </c>
      <c r="D182" t="n">
        <v>0</v>
      </c>
      <c r="E182" t="n">
        <v>0</v>
      </c>
      <c r="F182" t="n">
        <v>0</v>
      </c>
      <c r="G182" t="n">
        <v>1</v>
      </c>
      <c r="H182" t="n">
        <v>75</v>
      </c>
      <c r="I182" t="n">
        <v>24</v>
      </c>
      <c r="J182" t="inlineStr">
        <is>
          <t>No</t>
        </is>
      </c>
      <c r="K182" t="inlineStr">
        <is>
          <t>Yes</t>
        </is>
      </c>
      <c r="L182" t="inlineStr">
        <is>
          <t>North WH</t>
        </is>
      </c>
    </row>
    <row r="183">
      <c r="A183" s="4" t="n">
        <v>20250201</v>
      </c>
      <c r="B183" s="4" t="inlineStr">
        <is>
          <t>P016</t>
        </is>
      </c>
      <c r="C183" t="n">
        <v>75</v>
      </c>
      <c r="D183" t="n">
        <v>5</v>
      </c>
      <c r="E183" t="n">
        <v>2</v>
      </c>
      <c r="F183" t="n">
        <v>0</v>
      </c>
      <c r="G183" t="n">
        <v>0</v>
      </c>
      <c r="H183" t="n">
        <v>78</v>
      </c>
      <c r="I183" t="n">
        <v>24</v>
      </c>
      <c r="J183" t="inlineStr">
        <is>
          <t>No</t>
        </is>
      </c>
      <c r="K183" t="inlineStr">
        <is>
          <t>Yes</t>
        </is>
      </c>
      <c r="L183" t="inlineStr">
        <is>
          <t>North WH</t>
        </is>
      </c>
    </row>
    <row r="184">
      <c r="A184" s="4" t="n">
        <v>20250301</v>
      </c>
      <c r="B184" s="4" t="inlineStr">
        <is>
          <t>P016</t>
        </is>
      </c>
      <c r="C184" t="n">
        <v>78</v>
      </c>
      <c r="D184" t="n">
        <v>1</v>
      </c>
      <c r="E184" t="n">
        <v>0</v>
      </c>
      <c r="F184" t="n">
        <v>0</v>
      </c>
      <c r="G184" t="n">
        <v>0</v>
      </c>
      <c r="H184" t="n">
        <v>79</v>
      </c>
      <c r="I184" t="n">
        <v>24</v>
      </c>
      <c r="J184" t="inlineStr">
        <is>
          <t>No</t>
        </is>
      </c>
      <c r="K184" t="inlineStr">
        <is>
          <t>Yes</t>
        </is>
      </c>
      <c r="L184" t="inlineStr">
        <is>
          <t>North WH</t>
        </is>
      </c>
    </row>
    <row r="185">
      <c r="A185" s="4" t="n">
        <v>20250401</v>
      </c>
      <c r="B185" s="4" t="inlineStr">
        <is>
          <t>P016</t>
        </is>
      </c>
      <c r="C185" t="n">
        <v>79</v>
      </c>
      <c r="D185" t="n">
        <v>0</v>
      </c>
      <c r="E185" t="n">
        <v>3</v>
      </c>
      <c r="F185" t="n">
        <v>0</v>
      </c>
      <c r="G185" t="n">
        <v>0</v>
      </c>
      <c r="H185" t="n">
        <v>76</v>
      </c>
      <c r="I185" t="n">
        <v>24</v>
      </c>
      <c r="J185" t="inlineStr">
        <is>
          <t>No</t>
        </is>
      </c>
      <c r="K185" t="inlineStr">
        <is>
          <t>Yes</t>
        </is>
      </c>
      <c r="L185" t="inlineStr">
        <is>
          <t>North WH</t>
        </is>
      </c>
    </row>
    <row r="186">
      <c r="A186" s="4" t="n">
        <v>20250501</v>
      </c>
      <c r="B186" s="4" t="inlineStr">
        <is>
          <t>P016</t>
        </is>
      </c>
      <c r="C186" t="n">
        <v>76</v>
      </c>
      <c r="D186" t="n">
        <v>0</v>
      </c>
      <c r="E186" t="n">
        <v>1</v>
      </c>
      <c r="F186" t="n">
        <v>0</v>
      </c>
      <c r="G186" t="n">
        <v>1</v>
      </c>
      <c r="H186" t="n">
        <v>74</v>
      </c>
      <c r="I186" t="n">
        <v>24</v>
      </c>
      <c r="J186" t="inlineStr">
        <is>
          <t>No</t>
        </is>
      </c>
      <c r="K186" t="inlineStr">
        <is>
          <t>Yes</t>
        </is>
      </c>
      <c r="L186" t="inlineStr">
        <is>
          <t>North WH</t>
        </is>
      </c>
    </row>
    <row r="187">
      <c r="A187" s="4" t="n">
        <v>20250601</v>
      </c>
      <c r="B187" s="4" t="inlineStr">
        <is>
          <t>P016</t>
        </is>
      </c>
      <c r="C187" t="n">
        <v>74</v>
      </c>
      <c r="D187" t="n">
        <v>0</v>
      </c>
      <c r="E187" t="n">
        <v>6</v>
      </c>
      <c r="F187" t="n">
        <v>1</v>
      </c>
      <c r="G187" t="n">
        <v>1</v>
      </c>
      <c r="H187" t="n">
        <v>68</v>
      </c>
      <c r="I187" t="n">
        <v>24</v>
      </c>
      <c r="J187" t="inlineStr">
        <is>
          <t>No</t>
        </is>
      </c>
      <c r="K187" t="inlineStr">
        <is>
          <t>Yes</t>
        </is>
      </c>
      <c r="L187" t="inlineStr">
        <is>
          <t>Main WH</t>
        </is>
      </c>
    </row>
    <row r="188">
      <c r="A188" s="4" t="n">
        <v>20250701</v>
      </c>
      <c r="B188" s="4" t="inlineStr">
        <is>
          <t>P016</t>
        </is>
      </c>
      <c r="C188" t="n">
        <v>68</v>
      </c>
      <c r="D188" t="n">
        <v>8</v>
      </c>
      <c r="E188" t="n">
        <v>8</v>
      </c>
      <c r="F188" t="n">
        <v>0</v>
      </c>
      <c r="G188" t="n">
        <v>1</v>
      </c>
      <c r="H188" t="n">
        <v>67</v>
      </c>
      <c r="I188" t="n">
        <v>24</v>
      </c>
      <c r="J188" t="inlineStr">
        <is>
          <t>No</t>
        </is>
      </c>
      <c r="K188" t="inlineStr">
        <is>
          <t>Yes</t>
        </is>
      </c>
      <c r="L188" t="inlineStr">
        <is>
          <t>North WH</t>
        </is>
      </c>
    </row>
    <row r="189">
      <c r="A189" s="4" t="n">
        <v>20250801</v>
      </c>
      <c r="B189" s="4" t="inlineStr">
        <is>
          <t>P016</t>
        </is>
      </c>
      <c r="C189" t="n">
        <v>67</v>
      </c>
      <c r="D189" t="n">
        <v>0</v>
      </c>
      <c r="E189" t="n">
        <v>0</v>
      </c>
      <c r="F189" t="n">
        <v>0</v>
      </c>
      <c r="G189" t="n">
        <v>0</v>
      </c>
      <c r="H189" t="n">
        <v>67</v>
      </c>
      <c r="I189" t="n">
        <v>24</v>
      </c>
      <c r="J189" t="inlineStr">
        <is>
          <t>No</t>
        </is>
      </c>
      <c r="K189" t="inlineStr">
        <is>
          <t>Yes</t>
        </is>
      </c>
      <c r="L189" t="inlineStr">
        <is>
          <t>North WH</t>
        </is>
      </c>
    </row>
    <row r="190">
      <c r="A190" s="4" t="n">
        <v>20250901</v>
      </c>
      <c r="B190" s="4" t="inlineStr">
        <is>
          <t>P016</t>
        </is>
      </c>
      <c r="C190" t="n">
        <v>67</v>
      </c>
      <c r="D190" t="n">
        <v>9</v>
      </c>
      <c r="E190" t="n">
        <v>1</v>
      </c>
      <c r="F190" t="n">
        <v>0</v>
      </c>
      <c r="G190" t="n">
        <v>1</v>
      </c>
      <c r="H190" t="n">
        <v>74</v>
      </c>
      <c r="I190" t="n">
        <v>24</v>
      </c>
      <c r="J190" t="inlineStr">
        <is>
          <t>No</t>
        </is>
      </c>
      <c r="K190" t="inlineStr">
        <is>
          <t>Yes</t>
        </is>
      </c>
      <c r="L190" t="inlineStr">
        <is>
          <t>North WH</t>
        </is>
      </c>
    </row>
    <row r="191">
      <c r="A191" s="4" t="n">
        <v>20251001</v>
      </c>
      <c r="B191" s="4" t="inlineStr">
        <is>
          <t>P016</t>
        </is>
      </c>
      <c r="C191" t="n">
        <v>74</v>
      </c>
      <c r="D191" t="n">
        <v>6</v>
      </c>
      <c r="E191" t="n">
        <v>5</v>
      </c>
      <c r="F191" t="n">
        <v>1</v>
      </c>
      <c r="G191" t="n">
        <v>1</v>
      </c>
      <c r="H191" t="n">
        <v>75</v>
      </c>
      <c r="I191" t="n">
        <v>24</v>
      </c>
      <c r="J191" t="inlineStr">
        <is>
          <t>No</t>
        </is>
      </c>
      <c r="K191" t="inlineStr">
        <is>
          <t>Yes</t>
        </is>
      </c>
      <c r="L191" t="inlineStr">
        <is>
          <t>Main WH</t>
        </is>
      </c>
    </row>
    <row r="192">
      <c r="A192" s="4" t="n">
        <v>20251101</v>
      </c>
      <c r="B192" s="4" t="inlineStr">
        <is>
          <t>P016</t>
        </is>
      </c>
      <c r="C192" t="n">
        <v>75</v>
      </c>
      <c r="D192" t="n">
        <v>0</v>
      </c>
      <c r="E192" t="n">
        <v>3</v>
      </c>
      <c r="F192" t="n">
        <v>1</v>
      </c>
      <c r="G192" t="n">
        <v>0</v>
      </c>
      <c r="H192" t="n">
        <v>73</v>
      </c>
      <c r="I192" t="n">
        <v>24</v>
      </c>
      <c r="J192" t="inlineStr">
        <is>
          <t>No</t>
        </is>
      </c>
      <c r="K192" t="inlineStr">
        <is>
          <t>Yes</t>
        </is>
      </c>
      <c r="L192" t="inlineStr">
        <is>
          <t>Main WH</t>
        </is>
      </c>
    </row>
    <row r="193">
      <c r="A193" s="4" t="n">
        <v>20251201</v>
      </c>
      <c r="B193" s="4" t="inlineStr">
        <is>
          <t>P016</t>
        </is>
      </c>
      <c r="C193" t="n">
        <v>73</v>
      </c>
      <c r="D193" t="n">
        <v>7</v>
      </c>
      <c r="E193" t="n">
        <v>7</v>
      </c>
      <c r="F193" t="n">
        <v>0</v>
      </c>
      <c r="G193" t="n">
        <v>2</v>
      </c>
      <c r="H193" t="n">
        <v>71</v>
      </c>
      <c r="I193" t="n">
        <v>24</v>
      </c>
      <c r="J193" t="inlineStr">
        <is>
          <t>No</t>
        </is>
      </c>
      <c r="K193" t="inlineStr">
        <is>
          <t>Yes</t>
        </is>
      </c>
      <c r="L193" t="inlineStr">
        <is>
          <t>Main WH</t>
        </is>
      </c>
    </row>
    <row r="194">
      <c r="A194" s="4" t="n">
        <v>20250101</v>
      </c>
      <c r="B194" s="4" t="inlineStr">
        <is>
          <t>P017</t>
        </is>
      </c>
      <c r="C194" t="n">
        <v>60</v>
      </c>
      <c r="D194" t="n">
        <v>21</v>
      </c>
      <c r="E194" t="n">
        <v>4</v>
      </c>
      <c r="F194" t="n">
        <v>0</v>
      </c>
      <c r="G194" t="n">
        <v>0</v>
      </c>
      <c r="H194" t="n">
        <v>77</v>
      </c>
      <c r="I194" t="n">
        <v>30</v>
      </c>
      <c r="J194" t="inlineStr">
        <is>
          <t>No</t>
        </is>
      </c>
      <c r="K194" t="inlineStr">
        <is>
          <t>Yes</t>
        </is>
      </c>
      <c r="L194" t="inlineStr">
        <is>
          <t>Main WH</t>
        </is>
      </c>
    </row>
    <row r="195">
      <c r="A195" s="4" t="n">
        <v>20250201</v>
      </c>
      <c r="B195" s="4" t="inlineStr">
        <is>
          <t>P017</t>
        </is>
      </c>
      <c r="C195" t="n">
        <v>77</v>
      </c>
      <c r="D195" t="n">
        <v>0</v>
      </c>
      <c r="E195" t="n">
        <v>5</v>
      </c>
      <c r="F195" t="n">
        <v>0</v>
      </c>
      <c r="G195" t="n">
        <v>0</v>
      </c>
      <c r="H195" t="n">
        <v>72</v>
      </c>
      <c r="I195" t="n">
        <v>30</v>
      </c>
      <c r="J195" t="inlineStr">
        <is>
          <t>No</t>
        </is>
      </c>
      <c r="K195" t="inlineStr">
        <is>
          <t>Yes</t>
        </is>
      </c>
      <c r="L195" t="inlineStr">
        <is>
          <t>North WH</t>
        </is>
      </c>
    </row>
    <row r="196">
      <c r="A196" s="4" t="n">
        <v>20250301</v>
      </c>
      <c r="B196" s="4" t="inlineStr">
        <is>
          <t>P017</t>
        </is>
      </c>
      <c r="C196" t="n">
        <v>72</v>
      </c>
      <c r="D196" t="n">
        <v>13</v>
      </c>
      <c r="E196" t="n">
        <v>4</v>
      </c>
      <c r="F196" t="n">
        <v>1</v>
      </c>
      <c r="G196" t="n">
        <v>0</v>
      </c>
      <c r="H196" t="n">
        <v>82</v>
      </c>
      <c r="I196" t="n">
        <v>30</v>
      </c>
      <c r="J196" t="inlineStr">
        <is>
          <t>No</t>
        </is>
      </c>
      <c r="K196" t="inlineStr">
        <is>
          <t>Yes</t>
        </is>
      </c>
      <c r="L196" t="inlineStr">
        <is>
          <t>Main WH</t>
        </is>
      </c>
    </row>
    <row r="197">
      <c r="A197" s="4" t="n">
        <v>20250401</v>
      </c>
      <c r="B197" s="4" t="inlineStr">
        <is>
          <t>P017</t>
        </is>
      </c>
      <c r="C197" t="n">
        <v>82</v>
      </c>
      <c r="D197" t="n">
        <v>0</v>
      </c>
      <c r="E197" t="n">
        <v>4</v>
      </c>
      <c r="F197" t="n">
        <v>0</v>
      </c>
      <c r="G197" t="n">
        <v>0</v>
      </c>
      <c r="H197" t="n">
        <v>78</v>
      </c>
      <c r="I197" t="n">
        <v>30</v>
      </c>
      <c r="J197" t="inlineStr">
        <is>
          <t>No</t>
        </is>
      </c>
      <c r="K197" t="inlineStr">
        <is>
          <t>Yes</t>
        </is>
      </c>
      <c r="L197" t="inlineStr">
        <is>
          <t>North WH</t>
        </is>
      </c>
    </row>
    <row r="198">
      <c r="A198" s="4" t="n">
        <v>20250501</v>
      </c>
      <c r="B198" s="4" t="inlineStr">
        <is>
          <t>P017</t>
        </is>
      </c>
      <c r="C198" t="n">
        <v>78</v>
      </c>
      <c r="D198" t="n">
        <v>0</v>
      </c>
      <c r="E198" t="n">
        <v>2</v>
      </c>
      <c r="F198" t="n">
        <v>0</v>
      </c>
      <c r="G198" t="n">
        <v>1</v>
      </c>
      <c r="H198" t="n">
        <v>75</v>
      </c>
      <c r="I198" t="n">
        <v>30</v>
      </c>
      <c r="J198" t="inlineStr">
        <is>
          <t>No</t>
        </is>
      </c>
      <c r="K198" t="inlineStr">
        <is>
          <t>Yes</t>
        </is>
      </c>
      <c r="L198" t="inlineStr">
        <is>
          <t>Main WH</t>
        </is>
      </c>
    </row>
    <row r="199">
      <c r="A199" s="4" t="n">
        <v>20250601</v>
      </c>
      <c r="B199" s="4" t="inlineStr">
        <is>
          <t>P017</t>
        </is>
      </c>
      <c r="C199" t="n">
        <v>75</v>
      </c>
      <c r="D199" t="n">
        <v>2</v>
      </c>
      <c r="E199" t="n">
        <v>1</v>
      </c>
      <c r="F199" t="n">
        <v>0</v>
      </c>
      <c r="G199" t="n">
        <v>0</v>
      </c>
      <c r="H199" t="n">
        <v>76</v>
      </c>
      <c r="I199" t="n">
        <v>30</v>
      </c>
      <c r="J199" t="inlineStr">
        <is>
          <t>No</t>
        </is>
      </c>
      <c r="K199" t="inlineStr">
        <is>
          <t>Yes</t>
        </is>
      </c>
      <c r="L199" t="inlineStr">
        <is>
          <t>Main WH</t>
        </is>
      </c>
    </row>
    <row r="200">
      <c r="A200" s="4" t="n">
        <v>20250701</v>
      </c>
      <c r="B200" s="4" t="inlineStr">
        <is>
          <t>P017</t>
        </is>
      </c>
      <c r="C200" t="n">
        <v>76</v>
      </c>
      <c r="D200" t="n">
        <v>0</v>
      </c>
      <c r="E200" t="n">
        <v>0</v>
      </c>
      <c r="F200" t="n">
        <v>0</v>
      </c>
      <c r="G200" t="n">
        <v>0</v>
      </c>
      <c r="H200" t="n">
        <v>76</v>
      </c>
      <c r="I200" t="n">
        <v>30</v>
      </c>
      <c r="J200" t="inlineStr">
        <is>
          <t>No</t>
        </is>
      </c>
      <c r="K200" t="inlineStr">
        <is>
          <t>Yes</t>
        </is>
      </c>
      <c r="L200" t="inlineStr">
        <is>
          <t>Main WH</t>
        </is>
      </c>
    </row>
    <row r="201">
      <c r="A201" s="4" t="n">
        <v>20250801</v>
      </c>
      <c r="B201" s="4" t="inlineStr">
        <is>
          <t>P017</t>
        </is>
      </c>
      <c r="C201" t="n">
        <v>76</v>
      </c>
      <c r="D201" t="n">
        <v>0</v>
      </c>
      <c r="E201" t="n">
        <v>2</v>
      </c>
      <c r="F201" t="n">
        <v>0</v>
      </c>
      <c r="G201" t="n">
        <v>0</v>
      </c>
      <c r="H201" t="n">
        <v>74</v>
      </c>
      <c r="I201" t="n">
        <v>30</v>
      </c>
      <c r="J201" t="inlineStr">
        <is>
          <t>No</t>
        </is>
      </c>
      <c r="K201" t="inlineStr">
        <is>
          <t>Yes</t>
        </is>
      </c>
      <c r="L201" t="inlineStr">
        <is>
          <t>Main WH</t>
        </is>
      </c>
    </row>
    <row r="202">
      <c r="A202" s="4" t="n">
        <v>20250901</v>
      </c>
      <c r="B202" s="4" t="inlineStr">
        <is>
          <t>P017</t>
        </is>
      </c>
      <c r="C202" t="n">
        <v>74</v>
      </c>
      <c r="D202" t="n">
        <v>0</v>
      </c>
      <c r="E202" t="n">
        <v>5</v>
      </c>
      <c r="F202" t="n">
        <v>0</v>
      </c>
      <c r="G202" t="n">
        <v>0</v>
      </c>
      <c r="H202" t="n">
        <v>69</v>
      </c>
      <c r="I202" t="n">
        <v>30</v>
      </c>
      <c r="J202" t="inlineStr">
        <is>
          <t>No</t>
        </is>
      </c>
      <c r="K202" t="inlineStr">
        <is>
          <t>Yes</t>
        </is>
      </c>
      <c r="L202" t="inlineStr">
        <is>
          <t>Main WH</t>
        </is>
      </c>
    </row>
    <row r="203">
      <c r="A203" s="4" t="n">
        <v>20251001</v>
      </c>
      <c r="B203" s="4" t="inlineStr">
        <is>
          <t>P017</t>
        </is>
      </c>
      <c r="C203" t="n">
        <v>69</v>
      </c>
      <c r="D203" t="n">
        <v>1</v>
      </c>
      <c r="E203" t="n">
        <v>1</v>
      </c>
      <c r="F203" t="n">
        <v>0</v>
      </c>
      <c r="G203" t="n">
        <v>0</v>
      </c>
      <c r="H203" t="n">
        <v>69</v>
      </c>
      <c r="I203" t="n">
        <v>30</v>
      </c>
      <c r="J203" t="inlineStr">
        <is>
          <t>No</t>
        </is>
      </c>
      <c r="K203" t="inlineStr">
        <is>
          <t>Yes</t>
        </is>
      </c>
      <c r="L203" t="inlineStr">
        <is>
          <t>Main WH</t>
        </is>
      </c>
    </row>
    <row r="204">
      <c r="A204" s="4" t="n">
        <v>20251101</v>
      </c>
      <c r="B204" s="4" t="inlineStr">
        <is>
          <t>P017</t>
        </is>
      </c>
      <c r="C204" t="n">
        <v>69</v>
      </c>
      <c r="D204" t="n">
        <v>4</v>
      </c>
      <c r="E204" t="n">
        <v>11</v>
      </c>
      <c r="F204" t="n">
        <v>0</v>
      </c>
      <c r="G204" t="n">
        <v>0</v>
      </c>
      <c r="H204" t="n">
        <v>62</v>
      </c>
      <c r="I204" t="n">
        <v>30</v>
      </c>
      <c r="J204" t="inlineStr">
        <is>
          <t>No</t>
        </is>
      </c>
      <c r="K204" t="inlineStr">
        <is>
          <t>No</t>
        </is>
      </c>
      <c r="L204" t="inlineStr">
        <is>
          <t>North WH</t>
        </is>
      </c>
    </row>
    <row r="205">
      <c r="A205" s="4" t="n">
        <v>20251201</v>
      </c>
      <c r="B205" s="4" t="inlineStr">
        <is>
          <t>P017</t>
        </is>
      </c>
      <c r="C205" t="n">
        <v>62</v>
      </c>
      <c r="D205" t="n">
        <v>10</v>
      </c>
      <c r="E205" t="n">
        <v>3</v>
      </c>
      <c r="F205" t="n">
        <v>0</v>
      </c>
      <c r="G205" t="n">
        <v>0</v>
      </c>
      <c r="H205" t="n">
        <v>69</v>
      </c>
      <c r="I205" t="n">
        <v>30</v>
      </c>
      <c r="J205" t="inlineStr">
        <is>
          <t>No</t>
        </is>
      </c>
      <c r="K205" t="inlineStr">
        <is>
          <t>Yes</t>
        </is>
      </c>
      <c r="L205" t="inlineStr">
        <is>
          <t>Main WH</t>
        </is>
      </c>
    </row>
    <row r="206">
      <c r="A206" s="4" t="n">
        <v>20250101</v>
      </c>
      <c r="B206" s="4" t="inlineStr">
        <is>
          <t>P018</t>
        </is>
      </c>
      <c r="C206" t="n">
        <v>64</v>
      </c>
      <c r="D206" t="n">
        <v>4</v>
      </c>
      <c r="E206" t="n">
        <v>0</v>
      </c>
      <c r="F206" t="n">
        <v>0</v>
      </c>
      <c r="G206" t="n">
        <v>0</v>
      </c>
      <c r="H206" t="n">
        <v>68</v>
      </c>
      <c r="I206" t="n">
        <v>30</v>
      </c>
      <c r="J206" t="inlineStr">
        <is>
          <t>No</t>
        </is>
      </c>
      <c r="K206" t="inlineStr">
        <is>
          <t>No</t>
        </is>
      </c>
      <c r="L206" t="inlineStr">
        <is>
          <t>North WH</t>
        </is>
      </c>
    </row>
    <row r="207">
      <c r="A207" s="4" t="n">
        <v>20250201</v>
      </c>
      <c r="B207" s="4" t="inlineStr">
        <is>
          <t>P018</t>
        </is>
      </c>
      <c r="C207" t="n">
        <v>68</v>
      </c>
      <c r="D207" t="n">
        <v>16</v>
      </c>
      <c r="E207" t="n">
        <v>1</v>
      </c>
      <c r="F207" t="n">
        <v>0</v>
      </c>
      <c r="G207" t="n">
        <v>2</v>
      </c>
      <c r="H207" t="n">
        <v>81</v>
      </c>
      <c r="I207" t="n">
        <v>30</v>
      </c>
      <c r="J207" t="inlineStr">
        <is>
          <t>No</t>
        </is>
      </c>
      <c r="K207" t="inlineStr">
        <is>
          <t>Yes</t>
        </is>
      </c>
      <c r="L207" t="inlineStr">
        <is>
          <t>Main WH</t>
        </is>
      </c>
    </row>
    <row r="208">
      <c r="A208" s="4" t="n">
        <v>20250301</v>
      </c>
      <c r="B208" s="4" t="inlineStr">
        <is>
          <t>P018</t>
        </is>
      </c>
      <c r="C208" t="n">
        <v>81</v>
      </c>
      <c r="D208" t="n">
        <v>0</v>
      </c>
      <c r="E208" t="n">
        <v>1</v>
      </c>
      <c r="F208" t="n">
        <v>0</v>
      </c>
      <c r="G208" t="n">
        <v>1</v>
      </c>
      <c r="H208" t="n">
        <v>79</v>
      </c>
      <c r="I208" t="n">
        <v>30</v>
      </c>
      <c r="J208" t="inlineStr">
        <is>
          <t>No</t>
        </is>
      </c>
      <c r="K208" t="inlineStr">
        <is>
          <t>Yes</t>
        </is>
      </c>
      <c r="L208" t="inlineStr">
        <is>
          <t>North WH</t>
        </is>
      </c>
    </row>
    <row r="209">
      <c r="A209" s="4" t="n">
        <v>20250401</v>
      </c>
      <c r="B209" s="4" t="inlineStr">
        <is>
          <t>P018</t>
        </is>
      </c>
      <c r="C209" t="n">
        <v>79</v>
      </c>
      <c r="D209" t="n">
        <v>4</v>
      </c>
      <c r="E209" t="n">
        <v>3</v>
      </c>
      <c r="F209" t="n">
        <v>0</v>
      </c>
      <c r="G209" t="n">
        <v>0</v>
      </c>
      <c r="H209" t="n">
        <v>80</v>
      </c>
      <c r="I209" t="n">
        <v>30</v>
      </c>
      <c r="J209" t="inlineStr">
        <is>
          <t>No</t>
        </is>
      </c>
      <c r="K209" t="inlineStr">
        <is>
          <t>Yes</t>
        </is>
      </c>
      <c r="L209" t="inlineStr">
        <is>
          <t>Main WH</t>
        </is>
      </c>
    </row>
    <row r="210">
      <c r="A210" s="4" t="n">
        <v>20250501</v>
      </c>
      <c r="B210" s="4" t="inlineStr">
        <is>
          <t>P018</t>
        </is>
      </c>
      <c r="C210" t="n">
        <v>80</v>
      </c>
      <c r="D210" t="n">
        <v>2</v>
      </c>
      <c r="E210" t="n">
        <v>0</v>
      </c>
      <c r="F210" t="n">
        <v>0</v>
      </c>
      <c r="G210" t="n">
        <v>0</v>
      </c>
      <c r="H210" t="n">
        <v>82</v>
      </c>
      <c r="I210" t="n">
        <v>30</v>
      </c>
      <c r="J210" t="inlineStr">
        <is>
          <t>No</t>
        </is>
      </c>
      <c r="K210" t="inlineStr">
        <is>
          <t>Yes</t>
        </is>
      </c>
      <c r="L210" t="inlineStr">
        <is>
          <t>Main WH</t>
        </is>
      </c>
    </row>
    <row r="211">
      <c r="A211" s="4" t="n">
        <v>20250601</v>
      </c>
      <c r="B211" s="4" t="inlineStr">
        <is>
          <t>P018</t>
        </is>
      </c>
      <c r="C211" t="n">
        <v>82</v>
      </c>
      <c r="D211" t="n">
        <v>0</v>
      </c>
      <c r="E211" t="n">
        <v>1</v>
      </c>
      <c r="F211" t="n">
        <v>0</v>
      </c>
      <c r="G211" t="n">
        <v>0</v>
      </c>
      <c r="H211" t="n">
        <v>81</v>
      </c>
      <c r="I211" t="n">
        <v>30</v>
      </c>
      <c r="J211" t="inlineStr">
        <is>
          <t>No</t>
        </is>
      </c>
      <c r="K211" t="inlineStr">
        <is>
          <t>Yes</t>
        </is>
      </c>
      <c r="L211" t="inlineStr">
        <is>
          <t>Main WH</t>
        </is>
      </c>
    </row>
    <row r="212">
      <c r="A212" s="4" t="n">
        <v>20250701</v>
      </c>
      <c r="B212" s="4" t="inlineStr">
        <is>
          <t>P018</t>
        </is>
      </c>
      <c r="C212" t="n">
        <v>81</v>
      </c>
      <c r="D212" t="n">
        <v>0</v>
      </c>
      <c r="E212" t="n">
        <v>0</v>
      </c>
      <c r="F212" t="n">
        <v>0</v>
      </c>
      <c r="G212" t="n">
        <v>0</v>
      </c>
      <c r="H212" t="n">
        <v>81</v>
      </c>
      <c r="I212" t="n">
        <v>30</v>
      </c>
      <c r="J212" t="inlineStr">
        <is>
          <t>No</t>
        </is>
      </c>
      <c r="K212" t="inlineStr">
        <is>
          <t>Yes</t>
        </is>
      </c>
      <c r="L212" t="inlineStr">
        <is>
          <t>North WH</t>
        </is>
      </c>
    </row>
    <row r="213">
      <c r="A213" s="4" t="n">
        <v>20250801</v>
      </c>
      <c r="B213" s="4" t="inlineStr">
        <is>
          <t>P018</t>
        </is>
      </c>
      <c r="C213" t="n">
        <v>81</v>
      </c>
      <c r="D213" t="n">
        <v>0</v>
      </c>
      <c r="E213" t="n">
        <v>6</v>
      </c>
      <c r="F213" t="n">
        <v>0</v>
      </c>
      <c r="G213" t="n">
        <v>0</v>
      </c>
      <c r="H213" t="n">
        <v>75</v>
      </c>
      <c r="I213" t="n">
        <v>30</v>
      </c>
      <c r="J213" t="inlineStr">
        <is>
          <t>No</t>
        </is>
      </c>
      <c r="K213" t="inlineStr">
        <is>
          <t>Yes</t>
        </is>
      </c>
      <c r="L213" t="inlineStr">
        <is>
          <t>Main WH</t>
        </is>
      </c>
    </row>
    <row r="214">
      <c r="A214" s="4" t="n">
        <v>20250901</v>
      </c>
      <c r="B214" s="4" t="inlineStr">
        <is>
          <t>P018</t>
        </is>
      </c>
      <c r="C214" t="n">
        <v>75</v>
      </c>
      <c r="D214" t="n">
        <v>0</v>
      </c>
      <c r="E214" t="n">
        <v>0</v>
      </c>
      <c r="F214" t="n">
        <v>0</v>
      </c>
      <c r="G214" t="n">
        <v>1</v>
      </c>
      <c r="H214" t="n">
        <v>74</v>
      </c>
      <c r="I214" t="n">
        <v>30</v>
      </c>
      <c r="J214" t="inlineStr">
        <is>
          <t>No</t>
        </is>
      </c>
      <c r="K214" t="inlineStr">
        <is>
          <t>Yes</t>
        </is>
      </c>
      <c r="L214" t="inlineStr">
        <is>
          <t>Main WH</t>
        </is>
      </c>
    </row>
    <row r="215">
      <c r="A215" s="4" t="n">
        <v>20251001</v>
      </c>
      <c r="B215" s="4" t="inlineStr">
        <is>
          <t>P018</t>
        </is>
      </c>
      <c r="C215" t="n">
        <v>74</v>
      </c>
      <c r="D215" t="n">
        <v>0</v>
      </c>
      <c r="E215" t="n">
        <v>4</v>
      </c>
      <c r="F215" t="n">
        <v>0</v>
      </c>
      <c r="G215" t="n">
        <v>0</v>
      </c>
      <c r="H215" t="n">
        <v>70</v>
      </c>
      <c r="I215" t="n">
        <v>30</v>
      </c>
      <c r="J215" t="inlineStr">
        <is>
          <t>No</t>
        </is>
      </c>
      <c r="K215" t="inlineStr">
        <is>
          <t>Yes</t>
        </is>
      </c>
      <c r="L215" t="inlineStr">
        <is>
          <t>North WH</t>
        </is>
      </c>
    </row>
    <row r="216">
      <c r="A216" s="4" t="n">
        <v>20251101</v>
      </c>
      <c r="B216" s="4" t="inlineStr">
        <is>
          <t>P018</t>
        </is>
      </c>
      <c r="C216" t="n">
        <v>70</v>
      </c>
      <c r="D216" t="n">
        <v>16</v>
      </c>
      <c r="E216" t="n">
        <v>4</v>
      </c>
      <c r="F216" t="n">
        <v>0</v>
      </c>
      <c r="G216" t="n">
        <v>0</v>
      </c>
      <c r="H216" t="n">
        <v>82</v>
      </c>
      <c r="I216" t="n">
        <v>30</v>
      </c>
      <c r="J216" t="inlineStr">
        <is>
          <t>No</t>
        </is>
      </c>
      <c r="K216" t="inlineStr">
        <is>
          <t>Yes</t>
        </is>
      </c>
      <c r="L216" t="inlineStr">
        <is>
          <t>Main WH</t>
        </is>
      </c>
    </row>
    <row r="217">
      <c r="A217" s="4" t="n">
        <v>20251201</v>
      </c>
      <c r="B217" s="4" t="inlineStr">
        <is>
          <t>P018</t>
        </is>
      </c>
      <c r="C217" t="n">
        <v>82</v>
      </c>
      <c r="D217" t="n">
        <v>0</v>
      </c>
      <c r="E217" t="n">
        <v>3</v>
      </c>
      <c r="F217" t="n">
        <v>0</v>
      </c>
      <c r="G217" t="n">
        <v>1</v>
      </c>
      <c r="H217" t="n">
        <v>78</v>
      </c>
      <c r="I217" t="n">
        <v>30</v>
      </c>
      <c r="J217" t="inlineStr">
        <is>
          <t>No</t>
        </is>
      </c>
      <c r="K217" t="inlineStr">
        <is>
          <t>Yes</t>
        </is>
      </c>
      <c r="L217" t="inlineStr">
        <is>
          <t>Main WH</t>
        </is>
      </c>
    </row>
    <row r="218">
      <c r="A218" s="4" t="n">
        <v>20250101</v>
      </c>
      <c r="B218" s="4" t="inlineStr">
        <is>
          <t>P019</t>
        </is>
      </c>
      <c r="C218" t="n">
        <v>78</v>
      </c>
      <c r="D218" t="n">
        <v>15</v>
      </c>
      <c r="E218" t="n">
        <v>5</v>
      </c>
      <c r="F218" t="n">
        <v>0</v>
      </c>
      <c r="G218" t="n">
        <v>0</v>
      </c>
      <c r="H218" t="n">
        <v>88</v>
      </c>
      <c r="I218" t="n">
        <v>36</v>
      </c>
      <c r="J218" t="inlineStr">
        <is>
          <t>No</t>
        </is>
      </c>
      <c r="K218" t="inlineStr">
        <is>
          <t>Yes</t>
        </is>
      </c>
      <c r="L218" t="inlineStr">
        <is>
          <t>North WH</t>
        </is>
      </c>
    </row>
    <row r="219">
      <c r="A219" s="4" t="n">
        <v>20250201</v>
      </c>
      <c r="B219" s="4" t="inlineStr">
        <is>
          <t>P019</t>
        </is>
      </c>
      <c r="C219" t="n">
        <v>88</v>
      </c>
      <c r="D219" t="n">
        <v>0</v>
      </c>
      <c r="E219" t="n">
        <v>3</v>
      </c>
      <c r="F219" t="n">
        <v>1</v>
      </c>
      <c r="G219" t="n">
        <v>1</v>
      </c>
      <c r="H219" t="n">
        <v>85</v>
      </c>
      <c r="I219" t="n">
        <v>36</v>
      </c>
      <c r="J219" t="inlineStr">
        <is>
          <t>No</t>
        </is>
      </c>
      <c r="K219" t="inlineStr">
        <is>
          <t>Yes</t>
        </is>
      </c>
      <c r="L219" t="inlineStr">
        <is>
          <t>Main WH</t>
        </is>
      </c>
    </row>
    <row r="220">
      <c r="A220" s="4" t="n">
        <v>20250301</v>
      </c>
      <c r="B220" s="4" t="inlineStr">
        <is>
          <t>P019</t>
        </is>
      </c>
      <c r="C220" t="n">
        <v>85</v>
      </c>
      <c r="D220" t="n">
        <v>0</v>
      </c>
      <c r="E220" t="n">
        <v>2</v>
      </c>
      <c r="F220" t="n">
        <v>0</v>
      </c>
      <c r="G220" t="n">
        <v>0</v>
      </c>
      <c r="H220" t="n">
        <v>83</v>
      </c>
      <c r="I220" t="n">
        <v>36</v>
      </c>
      <c r="J220" t="inlineStr">
        <is>
          <t>No</t>
        </is>
      </c>
      <c r="K220" t="inlineStr">
        <is>
          <t>Yes</t>
        </is>
      </c>
      <c r="L220" t="inlineStr">
        <is>
          <t>Main WH</t>
        </is>
      </c>
    </row>
    <row r="221">
      <c r="A221" s="4" t="n">
        <v>20250401</v>
      </c>
      <c r="B221" s="4" t="inlineStr">
        <is>
          <t>P019</t>
        </is>
      </c>
      <c r="C221" t="n">
        <v>83</v>
      </c>
      <c r="D221" t="n">
        <v>0</v>
      </c>
      <c r="E221" t="n">
        <v>4</v>
      </c>
      <c r="F221" t="n">
        <v>1</v>
      </c>
      <c r="G221" t="n">
        <v>1</v>
      </c>
      <c r="H221" t="n">
        <v>79</v>
      </c>
      <c r="I221" t="n">
        <v>36</v>
      </c>
      <c r="J221" t="inlineStr">
        <is>
          <t>No</t>
        </is>
      </c>
      <c r="K221" t="inlineStr">
        <is>
          <t>No</t>
        </is>
      </c>
      <c r="L221" t="inlineStr">
        <is>
          <t>North WH</t>
        </is>
      </c>
    </row>
    <row r="222">
      <c r="A222" s="4" t="n">
        <v>20250501</v>
      </c>
      <c r="B222" s="4" t="inlineStr">
        <is>
          <t>P019</t>
        </is>
      </c>
      <c r="C222" t="n">
        <v>79</v>
      </c>
      <c r="D222" t="n">
        <v>0</v>
      </c>
      <c r="E222" t="n">
        <v>2</v>
      </c>
      <c r="F222" t="n">
        <v>0</v>
      </c>
      <c r="G222" t="n">
        <v>0</v>
      </c>
      <c r="H222" t="n">
        <v>77</v>
      </c>
      <c r="I222" t="n">
        <v>36</v>
      </c>
      <c r="J222" t="inlineStr">
        <is>
          <t>No</t>
        </is>
      </c>
      <c r="K222" t="inlineStr">
        <is>
          <t>No</t>
        </is>
      </c>
      <c r="L222" t="inlineStr">
        <is>
          <t>North WH</t>
        </is>
      </c>
    </row>
    <row r="223">
      <c r="A223" s="4" t="n">
        <v>20250601</v>
      </c>
      <c r="B223" s="4" t="inlineStr">
        <is>
          <t>P019</t>
        </is>
      </c>
      <c r="C223" t="n">
        <v>77</v>
      </c>
      <c r="D223" t="n">
        <v>2</v>
      </c>
      <c r="E223" t="n">
        <v>1</v>
      </c>
      <c r="F223" t="n">
        <v>0</v>
      </c>
      <c r="G223" t="n">
        <v>0</v>
      </c>
      <c r="H223" t="n">
        <v>78</v>
      </c>
      <c r="I223" t="n">
        <v>36</v>
      </c>
      <c r="J223" t="inlineStr">
        <is>
          <t>No</t>
        </is>
      </c>
      <c r="K223" t="inlineStr">
        <is>
          <t>No</t>
        </is>
      </c>
      <c r="L223" t="inlineStr">
        <is>
          <t>North WH</t>
        </is>
      </c>
    </row>
    <row r="224">
      <c r="A224" s="4" t="n">
        <v>20250701</v>
      </c>
      <c r="B224" s="4" t="inlineStr">
        <is>
          <t>P019</t>
        </is>
      </c>
      <c r="C224" t="n">
        <v>78</v>
      </c>
      <c r="D224" t="n">
        <v>0</v>
      </c>
      <c r="E224" t="n">
        <v>1</v>
      </c>
      <c r="F224" t="n">
        <v>0</v>
      </c>
      <c r="G224" t="n">
        <v>0</v>
      </c>
      <c r="H224" t="n">
        <v>77</v>
      </c>
      <c r="I224" t="n">
        <v>36</v>
      </c>
      <c r="J224" t="inlineStr">
        <is>
          <t>No</t>
        </is>
      </c>
      <c r="K224" t="inlineStr">
        <is>
          <t>No</t>
        </is>
      </c>
      <c r="L224" t="inlineStr">
        <is>
          <t>Main WH</t>
        </is>
      </c>
    </row>
    <row r="225">
      <c r="A225" s="4" t="n">
        <v>20250801</v>
      </c>
      <c r="B225" s="4" t="inlineStr">
        <is>
          <t>P019</t>
        </is>
      </c>
      <c r="C225" t="n">
        <v>77</v>
      </c>
      <c r="D225" t="n">
        <v>0</v>
      </c>
      <c r="E225" t="n">
        <v>1</v>
      </c>
      <c r="F225" t="n">
        <v>0</v>
      </c>
      <c r="G225" t="n">
        <v>1</v>
      </c>
      <c r="H225" t="n">
        <v>75</v>
      </c>
      <c r="I225" t="n">
        <v>36</v>
      </c>
      <c r="J225" t="inlineStr">
        <is>
          <t>No</t>
        </is>
      </c>
      <c r="K225" t="inlineStr">
        <is>
          <t>No</t>
        </is>
      </c>
      <c r="L225" t="inlineStr">
        <is>
          <t>Main WH</t>
        </is>
      </c>
    </row>
    <row r="226">
      <c r="A226" s="4" t="n">
        <v>20250901</v>
      </c>
      <c r="B226" s="4" t="inlineStr">
        <is>
          <t>P019</t>
        </is>
      </c>
      <c r="C226" t="n">
        <v>75</v>
      </c>
      <c r="D226" t="n">
        <v>9</v>
      </c>
      <c r="E226" t="n">
        <v>2</v>
      </c>
      <c r="F226" t="n">
        <v>1</v>
      </c>
      <c r="G226" t="n">
        <v>0</v>
      </c>
      <c r="H226" t="n">
        <v>83</v>
      </c>
      <c r="I226" t="n">
        <v>36</v>
      </c>
      <c r="J226" t="inlineStr">
        <is>
          <t>No</t>
        </is>
      </c>
      <c r="K226" t="inlineStr">
        <is>
          <t>Yes</t>
        </is>
      </c>
      <c r="L226" t="inlineStr">
        <is>
          <t>Main WH</t>
        </is>
      </c>
    </row>
    <row r="227">
      <c r="A227" s="4" t="n">
        <v>20251001</v>
      </c>
      <c r="B227" s="4" t="inlineStr">
        <is>
          <t>P019</t>
        </is>
      </c>
      <c r="C227" t="n">
        <v>83</v>
      </c>
      <c r="D227" t="n">
        <v>0</v>
      </c>
      <c r="E227" t="n">
        <v>1</v>
      </c>
      <c r="F227" t="n">
        <v>0</v>
      </c>
      <c r="G227" t="n">
        <v>0</v>
      </c>
      <c r="H227" t="n">
        <v>82</v>
      </c>
      <c r="I227" t="n">
        <v>36</v>
      </c>
      <c r="J227" t="inlineStr">
        <is>
          <t>No</t>
        </is>
      </c>
      <c r="K227" t="inlineStr">
        <is>
          <t>No</t>
        </is>
      </c>
      <c r="L227" t="inlineStr">
        <is>
          <t>North WH</t>
        </is>
      </c>
    </row>
    <row r="228">
      <c r="A228" s="4" t="n">
        <v>20251101</v>
      </c>
      <c r="B228" s="4" t="inlineStr">
        <is>
          <t>P019</t>
        </is>
      </c>
      <c r="C228" t="n">
        <v>82</v>
      </c>
      <c r="D228" t="n">
        <v>0</v>
      </c>
      <c r="E228" t="n">
        <v>1</v>
      </c>
      <c r="F228" t="n">
        <v>0</v>
      </c>
      <c r="G228" t="n">
        <v>1</v>
      </c>
      <c r="H228" t="n">
        <v>80</v>
      </c>
      <c r="I228" t="n">
        <v>36</v>
      </c>
      <c r="J228" t="inlineStr">
        <is>
          <t>No</t>
        </is>
      </c>
      <c r="K228" t="inlineStr">
        <is>
          <t>No</t>
        </is>
      </c>
      <c r="L228" t="inlineStr">
        <is>
          <t>Main WH</t>
        </is>
      </c>
    </row>
    <row r="229">
      <c r="A229" s="4" t="n">
        <v>20251201</v>
      </c>
      <c r="B229" s="4" t="inlineStr">
        <is>
          <t>P019</t>
        </is>
      </c>
      <c r="C229" t="n">
        <v>80</v>
      </c>
      <c r="D229" t="n">
        <v>10</v>
      </c>
      <c r="E229" t="n">
        <v>8</v>
      </c>
      <c r="F229" t="n">
        <v>0</v>
      </c>
      <c r="G229" t="n">
        <v>0</v>
      </c>
      <c r="H229" t="n">
        <v>82</v>
      </c>
      <c r="I229" t="n">
        <v>36</v>
      </c>
      <c r="J229" t="inlineStr">
        <is>
          <t>No</t>
        </is>
      </c>
      <c r="K229" t="inlineStr">
        <is>
          <t>No</t>
        </is>
      </c>
      <c r="L229" t="inlineStr">
        <is>
          <t>Main WH</t>
        </is>
      </c>
    </row>
    <row r="230">
      <c r="A230" s="4" t="n">
        <v>20250101</v>
      </c>
      <c r="B230" s="4" t="inlineStr">
        <is>
          <t>P020</t>
        </is>
      </c>
      <c r="C230" t="n">
        <v>75</v>
      </c>
      <c r="D230" t="n">
        <v>0</v>
      </c>
      <c r="E230" t="n">
        <v>5</v>
      </c>
      <c r="F230" t="n">
        <v>0</v>
      </c>
      <c r="G230" t="n">
        <v>0</v>
      </c>
      <c r="H230" t="n">
        <v>70</v>
      </c>
      <c r="I230" t="n">
        <v>18</v>
      </c>
      <c r="J230" t="inlineStr">
        <is>
          <t>No</t>
        </is>
      </c>
      <c r="K230" t="inlineStr">
        <is>
          <t>Yes</t>
        </is>
      </c>
      <c r="L230" t="inlineStr">
        <is>
          <t>Main WH</t>
        </is>
      </c>
    </row>
    <row r="231">
      <c r="A231" s="4" t="n">
        <v>20250201</v>
      </c>
      <c r="B231" s="4" t="inlineStr">
        <is>
          <t>P020</t>
        </is>
      </c>
      <c r="C231" t="n">
        <v>70</v>
      </c>
      <c r="D231" t="n">
        <v>0</v>
      </c>
      <c r="E231" t="n">
        <v>2</v>
      </c>
      <c r="F231" t="n">
        <v>0</v>
      </c>
      <c r="G231" t="n">
        <v>1</v>
      </c>
      <c r="H231" t="n">
        <v>67</v>
      </c>
      <c r="I231" t="n">
        <v>18</v>
      </c>
      <c r="J231" t="inlineStr">
        <is>
          <t>No</t>
        </is>
      </c>
      <c r="K231" t="inlineStr">
        <is>
          <t>Yes</t>
        </is>
      </c>
      <c r="L231" t="inlineStr">
        <is>
          <t>North WH</t>
        </is>
      </c>
    </row>
    <row r="232">
      <c r="A232" s="4" t="n">
        <v>20250301</v>
      </c>
      <c r="B232" s="4" t="inlineStr">
        <is>
          <t>P020</t>
        </is>
      </c>
      <c r="C232" t="n">
        <v>67</v>
      </c>
      <c r="D232" t="n">
        <v>0</v>
      </c>
      <c r="E232" t="n">
        <v>4</v>
      </c>
      <c r="F232" t="n">
        <v>0</v>
      </c>
      <c r="G232" t="n">
        <v>2</v>
      </c>
      <c r="H232" t="n">
        <v>61</v>
      </c>
      <c r="I232" t="n">
        <v>18</v>
      </c>
      <c r="J232" t="inlineStr">
        <is>
          <t>No</t>
        </is>
      </c>
      <c r="K232" t="inlineStr">
        <is>
          <t>Yes</t>
        </is>
      </c>
      <c r="L232" t="inlineStr">
        <is>
          <t>North WH</t>
        </is>
      </c>
    </row>
    <row r="233">
      <c r="A233" s="4" t="n">
        <v>20250401</v>
      </c>
      <c r="B233" s="4" t="inlineStr">
        <is>
          <t>P020</t>
        </is>
      </c>
      <c r="C233" t="n">
        <v>61</v>
      </c>
      <c r="D233" t="n">
        <v>0</v>
      </c>
      <c r="E233" t="n">
        <v>6</v>
      </c>
      <c r="F233" t="n">
        <v>0</v>
      </c>
      <c r="G233" t="n">
        <v>1</v>
      </c>
      <c r="H233" t="n">
        <v>54</v>
      </c>
      <c r="I233" t="n">
        <v>18</v>
      </c>
      <c r="J233" t="inlineStr">
        <is>
          <t>No</t>
        </is>
      </c>
      <c r="K233" t="inlineStr">
        <is>
          <t>Yes</t>
        </is>
      </c>
      <c r="L233" t="inlineStr">
        <is>
          <t>North WH</t>
        </is>
      </c>
    </row>
    <row r="234">
      <c r="A234" s="4" t="n">
        <v>20250501</v>
      </c>
      <c r="B234" s="4" t="inlineStr">
        <is>
          <t>P020</t>
        </is>
      </c>
      <c r="C234" t="n">
        <v>54</v>
      </c>
      <c r="D234" t="n">
        <v>11</v>
      </c>
      <c r="E234" t="n">
        <v>4</v>
      </c>
      <c r="F234" t="n">
        <v>0</v>
      </c>
      <c r="G234" t="n">
        <v>0</v>
      </c>
      <c r="H234" t="n">
        <v>61</v>
      </c>
      <c r="I234" t="n">
        <v>18</v>
      </c>
      <c r="J234" t="inlineStr">
        <is>
          <t>No</t>
        </is>
      </c>
      <c r="K234" t="inlineStr">
        <is>
          <t>Yes</t>
        </is>
      </c>
      <c r="L234" t="inlineStr">
        <is>
          <t>Main WH</t>
        </is>
      </c>
    </row>
    <row r="235">
      <c r="A235" s="4" t="n">
        <v>20250601</v>
      </c>
      <c r="B235" s="4" t="inlineStr">
        <is>
          <t>P020</t>
        </is>
      </c>
      <c r="C235" t="n">
        <v>61</v>
      </c>
      <c r="D235" t="n">
        <v>7</v>
      </c>
      <c r="E235" t="n">
        <v>1</v>
      </c>
      <c r="F235" t="n">
        <v>0</v>
      </c>
      <c r="G235" t="n">
        <v>1</v>
      </c>
      <c r="H235" t="n">
        <v>66</v>
      </c>
      <c r="I235" t="n">
        <v>18</v>
      </c>
      <c r="J235" t="inlineStr">
        <is>
          <t>No</t>
        </is>
      </c>
      <c r="K235" t="inlineStr">
        <is>
          <t>Yes</t>
        </is>
      </c>
      <c r="L235" t="inlineStr">
        <is>
          <t>North WH</t>
        </is>
      </c>
    </row>
    <row r="236">
      <c r="A236" s="4" t="n">
        <v>20250701</v>
      </c>
      <c r="B236" s="4" t="inlineStr">
        <is>
          <t>P020</t>
        </is>
      </c>
      <c r="C236" t="n">
        <v>66</v>
      </c>
      <c r="D236" t="n">
        <v>0</v>
      </c>
      <c r="E236" t="n">
        <v>0</v>
      </c>
      <c r="F236" t="n">
        <v>0</v>
      </c>
      <c r="G236" t="n">
        <v>1</v>
      </c>
      <c r="H236" t="n">
        <v>65</v>
      </c>
      <c r="I236" t="n">
        <v>18</v>
      </c>
      <c r="J236" t="inlineStr">
        <is>
          <t>No</t>
        </is>
      </c>
      <c r="K236" t="inlineStr">
        <is>
          <t>Yes</t>
        </is>
      </c>
      <c r="L236" t="inlineStr">
        <is>
          <t>Main WH</t>
        </is>
      </c>
    </row>
    <row r="237">
      <c r="A237" s="4" t="n">
        <v>20250801</v>
      </c>
      <c r="B237" s="4" t="inlineStr">
        <is>
          <t>P020</t>
        </is>
      </c>
      <c r="C237" t="n">
        <v>65</v>
      </c>
      <c r="D237" t="n">
        <v>0</v>
      </c>
      <c r="E237" t="n">
        <v>4</v>
      </c>
      <c r="F237" t="n">
        <v>1</v>
      </c>
      <c r="G237" t="n">
        <v>2</v>
      </c>
      <c r="H237" t="n">
        <v>60</v>
      </c>
      <c r="I237" t="n">
        <v>18</v>
      </c>
      <c r="J237" t="inlineStr">
        <is>
          <t>No</t>
        </is>
      </c>
      <c r="K237" t="inlineStr">
        <is>
          <t>Yes</t>
        </is>
      </c>
      <c r="L237" t="inlineStr">
        <is>
          <t>Main WH</t>
        </is>
      </c>
    </row>
    <row r="238">
      <c r="A238" s="4" t="n">
        <v>20250901</v>
      </c>
      <c r="B238" s="4" t="inlineStr">
        <is>
          <t>P020</t>
        </is>
      </c>
      <c r="C238" t="n">
        <v>60</v>
      </c>
      <c r="D238" t="n">
        <v>11</v>
      </c>
      <c r="E238" t="n">
        <v>6</v>
      </c>
      <c r="F238" t="n">
        <v>0</v>
      </c>
      <c r="G238" t="n">
        <v>1</v>
      </c>
      <c r="H238" t="n">
        <v>64</v>
      </c>
      <c r="I238" t="n">
        <v>18</v>
      </c>
      <c r="J238" t="inlineStr">
        <is>
          <t>No</t>
        </is>
      </c>
      <c r="K238" t="inlineStr">
        <is>
          <t>Yes</t>
        </is>
      </c>
      <c r="L238" t="inlineStr">
        <is>
          <t>Main WH</t>
        </is>
      </c>
    </row>
    <row r="239">
      <c r="A239" s="4" t="n">
        <v>20251001</v>
      </c>
      <c r="B239" s="4" t="inlineStr">
        <is>
          <t>P020</t>
        </is>
      </c>
      <c r="C239" t="n">
        <v>64</v>
      </c>
      <c r="D239" t="n">
        <v>0</v>
      </c>
      <c r="E239" t="n">
        <v>5</v>
      </c>
      <c r="F239" t="n">
        <v>1</v>
      </c>
      <c r="G239" t="n">
        <v>0</v>
      </c>
      <c r="H239" t="n">
        <v>60</v>
      </c>
      <c r="I239" t="n">
        <v>18</v>
      </c>
      <c r="J239" t="inlineStr">
        <is>
          <t>No</t>
        </is>
      </c>
      <c r="K239" t="inlineStr">
        <is>
          <t>Yes</t>
        </is>
      </c>
      <c r="L239" t="inlineStr">
        <is>
          <t>Main WH</t>
        </is>
      </c>
    </row>
    <row r="240">
      <c r="A240" s="4" t="n">
        <v>20251101</v>
      </c>
      <c r="B240" s="4" t="inlineStr">
        <is>
          <t>P020</t>
        </is>
      </c>
      <c r="C240" t="n">
        <v>60</v>
      </c>
      <c r="D240" t="n">
        <v>0</v>
      </c>
      <c r="E240" t="n">
        <v>9</v>
      </c>
      <c r="F240" t="n">
        <v>1</v>
      </c>
      <c r="G240" t="n">
        <v>1</v>
      </c>
      <c r="H240" t="n">
        <v>51</v>
      </c>
      <c r="I240" t="n">
        <v>18</v>
      </c>
      <c r="J240" t="inlineStr">
        <is>
          <t>No</t>
        </is>
      </c>
      <c r="K240" t="inlineStr">
        <is>
          <t>Yes</t>
        </is>
      </c>
      <c r="L240" t="inlineStr">
        <is>
          <t>Main WH</t>
        </is>
      </c>
    </row>
    <row r="241">
      <c r="A241" s="4" t="n">
        <v>20251201</v>
      </c>
      <c r="B241" s="4" t="inlineStr">
        <is>
          <t>P020</t>
        </is>
      </c>
      <c r="C241" t="n">
        <v>51</v>
      </c>
      <c r="D241" t="n">
        <v>20</v>
      </c>
      <c r="E241" t="n">
        <v>4</v>
      </c>
      <c r="F241" t="n">
        <v>0</v>
      </c>
      <c r="G241" t="n">
        <v>2</v>
      </c>
      <c r="H241" t="n">
        <v>65</v>
      </c>
      <c r="I241" t="n">
        <v>18</v>
      </c>
      <c r="J241" t="inlineStr">
        <is>
          <t>No</t>
        </is>
      </c>
      <c r="K241" t="inlineStr">
        <is>
          <t>Yes</t>
        </is>
      </c>
      <c r="L241" t="inlineStr">
        <is>
          <t>North WH</t>
        </is>
      </c>
    </row>
    <row r="242">
      <c r="A242" s="4" t="n">
        <v>20250101</v>
      </c>
      <c r="B242" s="4" t="inlineStr">
        <is>
          <t>P021</t>
        </is>
      </c>
      <c r="C242" t="n">
        <v>70</v>
      </c>
      <c r="D242" t="n">
        <v>26</v>
      </c>
      <c r="E242" t="n">
        <v>5</v>
      </c>
      <c r="F242" t="n">
        <v>0</v>
      </c>
      <c r="G242" t="n">
        <v>0</v>
      </c>
      <c r="H242" t="n">
        <v>91</v>
      </c>
      <c r="I242" t="n">
        <v>36</v>
      </c>
      <c r="J242" t="inlineStr">
        <is>
          <t>No</t>
        </is>
      </c>
      <c r="K242" t="inlineStr">
        <is>
          <t>Yes</t>
        </is>
      </c>
      <c r="L242" t="inlineStr">
        <is>
          <t>North WH</t>
        </is>
      </c>
    </row>
    <row r="243">
      <c r="A243" s="4" t="n">
        <v>20250201</v>
      </c>
      <c r="B243" s="4" t="inlineStr">
        <is>
          <t>P021</t>
        </is>
      </c>
      <c r="C243" t="n">
        <v>91</v>
      </c>
      <c r="D243" t="n">
        <v>0</v>
      </c>
      <c r="E243" t="n">
        <v>2</v>
      </c>
      <c r="F243" t="n">
        <v>0</v>
      </c>
      <c r="G243" t="n">
        <v>0</v>
      </c>
      <c r="H243" t="n">
        <v>89</v>
      </c>
      <c r="I243" t="n">
        <v>36</v>
      </c>
      <c r="J243" t="inlineStr">
        <is>
          <t>No</t>
        </is>
      </c>
      <c r="K243" t="inlineStr">
        <is>
          <t>Yes</t>
        </is>
      </c>
      <c r="L243" t="inlineStr">
        <is>
          <t>Main WH</t>
        </is>
      </c>
    </row>
    <row r="244">
      <c r="A244" s="4" t="n">
        <v>20250301</v>
      </c>
      <c r="B244" s="4" t="inlineStr">
        <is>
          <t>P021</t>
        </is>
      </c>
      <c r="C244" t="n">
        <v>89</v>
      </c>
      <c r="D244" t="n">
        <v>0</v>
      </c>
      <c r="E244" t="n">
        <v>0</v>
      </c>
      <c r="F244" t="n">
        <v>0</v>
      </c>
      <c r="G244" t="n">
        <v>0</v>
      </c>
      <c r="H244" t="n">
        <v>89</v>
      </c>
      <c r="I244" t="n">
        <v>36</v>
      </c>
      <c r="J244" t="inlineStr">
        <is>
          <t>No</t>
        </is>
      </c>
      <c r="K244" t="inlineStr">
        <is>
          <t>Yes</t>
        </is>
      </c>
      <c r="L244" t="inlineStr">
        <is>
          <t>Main WH</t>
        </is>
      </c>
    </row>
    <row r="245">
      <c r="A245" s="4" t="n">
        <v>20250401</v>
      </c>
      <c r="B245" s="4" t="inlineStr">
        <is>
          <t>P021</t>
        </is>
      </c>
      <c r="C245" t="n">
        <v>89</v>
      </c>
      <c r="D245" t="n">
        <v>0</v>
      </c>
      <c r="E245" t="n">
        <v>4</v>
      </c>
      <c r="F245" t="n">
        <v>0</v>
      </c>
      <c r="G245" t="n">
        <v>2</v>
      </c>
      <c r="H245" t="n">
        <v>83</v>
      </c>
      <c r="I245" t="n">
        <v>36</v>
      </c>
      <c r="J245" t="inlineStr">
        <is>
          <t>No</t>
        </is>
      </c>
      <c r="K245" t="inlineStr">
        <is>
          <t>Yes</t>
        </is>
      </c>
      <c r="L245" t="inlineStr">
        <is>
          <t>Main WH</t>
        </is>
      </c>
    </row>
    <row r="246">
      <c r="A246" s="4" t="n">
        <v>20250501</v>
      </c>
      <c r="B246" s="4" t="inlineStr">
        <is>
          <t>P021</t>
        </is>
      </c>
      <c r="C246" t="n">
        <v>83</v>
      </c>
      <c r="D246" t="n">
        <v>10</v>
      </c>
      <c r="E246" t="n">
        <v>3</v>
      </c>
      <c r="F246" t="n">
        <v>1</v>
      </c>
      <c r="G246" t="n">
        <v>0</v>
      </c>
      <c r="H246" t="n">
        <v>91</v>
      </c>
      <c r="I246" t="n">
        <v>36</v>
      </c>
      <c r="J246" t="inlineStr">
        <is>
          <t>No</t>
        </is>
      </c>
      <c r="K246" t="inlineStr">
        <is>
          <t>Yes</t>
        </is>
      </c>
      <c r="L246" t="inlineStr">
        <is>
          <t>North WH</t>
        </is>
      </c>
    </row>
    <row r="247">
      <c r="A247" s="4" t="n">
        <v>20250601</v>
      </c>
      <c r="B247" s="4" t="inlineStr">
        <is>
          <t>P021</t>
        </is>
      </c>
      <c r="C247" t="n">
        <v>91</v>
      </c>
      <c r="D247" t="n">
        <v>0</v>
      </c>
      <c r="E247" t="n">
        <v>5</v>
      </c>
      <c r="F247" t="n">
        <v>0</v>
      </c>
      <c r="G247" t="n">
        <v>0</v>
      </c>
      <c r="H247" t="n">
        <v>86</v>
      </c>
      <c r="I247" t="n">
        <v>36</v>
      </c>
      <c r="J247" t="inlineStr">
        <is>
          <t>No</t>
        </is>
      </c>
      <c r="K247" t="inlineStr">
        <is>
          <t>Yes</t>
        </is>
      </c>
      <c r="L247" t="inlineStr">
        <is>
          <t>Main WH</t>
        </is>
      </c>
    </row>
    <row r="248">
      <c r="A248" s="4" t="n">
        <v>20250701</v>
      </c>
      <c r="B248" s="4" t="inlineStr">
        <is>
          <t>P021</t>
        </is>
      </c>
      <c r="C248" t="n">
        <v>86</v>
      </c>
      <c r="D248" t="n">
        <v>0</v>
      </c>
      <c r="E248" t="n">
        <v>3</v>
      </c>
      <c r="F248" t="n">
        <v>0</v>
      </c>
      <c r="G248" t="n">
        <v>0</v>
      </c>
      <c r="H248" t="n">
        <v>83</v>
      </c>
      <c r="I248" t="n">
        <v>36</v>
      </c>
      <c r="J248" t="inlineStr">
        <is>
          <t>No</t>
        </is>
      </c>
      <c r="K248" t="inlineStr">
        <is>
          <t>Yes</t>
        </is>
      </c>
      <c r="L248" t="inlineStr">
        <is>
          <t>Main WH</t>
        </is>
      </c>
    </row>
    <row r="249">
      <c r="A249" s="4" t="n">
        <v>20250801</v>
      </c>
      <c r="B249" s="4" t="inlineStr">
        <is>
          <t>P021</t>
        </is>
      </c>
      <c r="C249" t="n">
        <v>83</v>
      </c>
      <c r="D249" t="n">
        <v>0</v>
      </c>
      <c r="E249" t="n">
        <v>4</v>
      </c>
      <c r="F249" t="n">
        <v>1</v>
      </c>
      <c r="G249" t="n">
        <v>1</v>
      </c>
      <c r="H249" t="n">
        <v>79</v>
      </c>
      <c r="I249" t="n">
        <v>36</v>
      </c>
      <c r="J249" t="inlineStr">
        <is>
          <t>No</t>
        </is>
      </c>
      <c r="K249" t="inlineStr">
        <is>
          <t>No</t>
        </is>
      </c>
      <c r="L249" t="inlineStr">
        <is>
          <t>Main WH</t>
        </is>
      </c>
    </row>
    <row r="250">
      <c r="A250" s="4" t="n">
        <v>20250901</v>
      </c>
      <c r="B250" s="4" t="inlineStr">
        <is>
          <t>P021</t>
        </is>
      </c>
      <c r="C250" t="n">
        <v>79</v>
      </c>
      <c r="D250" t="n">
        <v>0</v>
      </c>
      <c r="E250" t="n">
        <v>1</v>
      </c>
      <c r="F250" t="n">
        <v>0</v>
      </c>
      <c r="G250" t="n">
        <v>0</v>
      </c>
      <c r="H250" t="n">
        <v>78</v>
      </c>
      <c r="I250" t="n">
        <v>36</v>
      </c>
      <c r="J250" t="inlineStr">
        <is>
          <t>No</t>
        </is>
      </c>
      <c r="K250" t="inlineStr">
        <is>
          <t>No</t>
        </is>
      </c>
      <c r="L250" t="inlineStr">
        <is>
          <t>Main WH</t>
        </is>
      </c>
    </row>
    <row r="251">
      <c r="A251" s="4" t="n">
        <v>20251001</v>
      </c>
      <c r="B251" s="4" t="inlineStr">
        <is>
          <t>P021</t>
        </is>
      </c>
      <c r="C251" t="n">
        <v>78</v>
      </c>
      <c r="D251" t="n">
        <v>10</v>
      </c>
      <c r="E251" t="n">
        <v>8</v>
      </c>
      <c r="F251" t="n">
        <v>0</v>
      </c>
      <c r="G251" t="n">
        <v>1</v>
      </c>
      <c r="H251" t="n">
        <v>79</v>
      </c>
      <c r="I251" t="n">
        <v>36</v>
      </c>
      <c r="J251" t="inlineStr">
        <is>
          <t>No</t>
        </is>
      </c>
      <c r="K251" t="inlineStr">
        <is>
          <t>No</t>
        </is>
      </c>
      <c r="L251" t="inlineStr">
        <is>
          <t>North WH</t>
        </is>
      </c>
    </row>
    <row r="252">
      <c r="A252" s="4" t="n">
        <v>20251101</v>
      </c>
      <c r="B252" s="4" t="inlineStr">
        <is>
          <t>P021</t>
        </is>
      </c>
      <c r="C252" t="n">
        <v>79</v>
      </c>
      <c r="D252" t="n">
        <v>7</v>
      </c>
      <c r="E252" t="n">
        <v>4</v>
      </c>
      <c r="F252" t="n">
        <v>0</v>
      </c>
      <c r="G252" t="n">
        <v>1</v>
      </c>
      <c r="H252" t="n">
        <v>81</v>
      </c>
      <c r="I252" t="n">
        <v>36</v>
      </c>
      <c r="J252" t="inlineStr">
        <is>
          <t>No</t>
        </is>
      </c>
      <c r="K252" t="inlineStr">
        <is>
          <t>No</t>
        </is>
      </c>
      <c r="L252" t="inlineStr">
        <is>
          <t>Main WH</t>
        </is>
      </c>
    </row>
    <row r="253">
      <c r="A253" s="4" t="n">
        <v>20251201</v>
      </c>
      <c r="B253" s="4" t="inlineStr">
        <is>
          <t>P021</t>
        </is>
      </c>
      <c r="C253" t="n">
        <v>81</v>
      </c>
      <c r="D253" t="n">
        <v>0</v>
      </c>
      <c r="E253" t="n">
        <v>3</v>
      </c>
      <c r="F253" t="n">
        <v>0</v>
      </c>
      <c r="G253" t="n">
        <v>1</v>
      </c>
      <c r="H253" t="n">
        <v>77</v>
      </c>
      <c r="I253" t="n">
        <v>36</v>
      </c>
      <c r="J253" t="inlineStr">
        <is>
          <t>No</t>
        </is>
      </c>
      <c r="K253" t="inlineStr">
        <is>
          <t>No</t>
        </is>
      </c>
      <c r="L253" t="inlineStr">
        <is>
          <t>Main WH</t>
        </is>
      </c>
    </row>
    <row r="254">
      <c r="A254" s="4" t="n">
        <v>20250101</v>
      </c>
      <c r="B254" s="4" t="inlineStr">
        <is>
          <t>P022</t>
        </is>
      </c>
      <c r="C254" t="n">
        <v>73</v>
      </c>
      <c r="D254" t="n">
        <v>0</v>
      </c>
      <c r="E254" t="n">
        <v>4</v>
      </c>
      <c r="F254" t="n">
        <v>0</v>
      </c>
      <c r="G254" t="n">
        <v>2</v>
      </c>
      <c r="H254" t="n">
        <v>67</v>
      </c>
      <c r="I254" t="n">
        <v>18</v>
      </c>
      <c r="J254" t="inlineStr">
        <is>
          <t>No</t>
        </is>
      </c>
      <c r="K254" t="inlineStr">
        <is>
          <t>Yes</t>
        </is>
      </c>
      <c r="L254" t="inlineStr">
        <is>
          <t>North WH</t>
        </is>
      </c>
    </row>
    <row r="255">
      <c r="A255" s="4" t="n">
        <v>20250201</v>
      </c>
      <c r="B255" s="4" t="inlineStr">
        <is>
          <t>P022</t>
        </is>
      </c>
      <c r="C255" t="n">
        <v>67</v>
      </c>
      <c r="D255" t="n">
        <v>7</v>
      </c>
      <c r="E255" t="n">
        <v>1</v>
      </c>
      <c r="F255" t="n">
        <v>0</v>
      </c>
      <c r="G255" t="n">
        <v>0</v>
      </c>
      <c r="H255" t="n">
        <v>73</v>
      </c>
      <c r="I255" t="n">
        <v>18</v>
      </c>
      <c r="J255" t="inlineStr">
        <is>
          <t>No</t>
        </is>
      </c>
      <c r="K255" t="inlineStr">
        <is>
          <t>Yes</t>
        </is>
      </c>
      <c r="L255" t="inlineStr">
        <is>
          <t>Main WH</t>
        </is>
      </c>
    </row>
    <row r="256">
      <c r="A256" s="4" t="n">
        <v>20250301</v>
      </c>
      <c r="B256" s="4" t="inlineStr">
        <is>
          <t>P022</t>
        </is>
      </c>
      <c r="C256" t="n">
        <v>73</v>
      </c>
      <c r="D256" t="n">
        <v>0</v>
      </c>
      <c r="E256" t="n">
        <v>2</v>
      </c>
      <c r="F256" t="n">
        <v>0</v>
      </c>
      <c r="G256" t="n">
        <v>1</v>
      </c>
      <c r="H256" t="n">
        <v>70</v>
      </c>
      <c r="I256" t="n">
        <v>18</v>
      </c>
      <c r="J256" t="inlineStr">
        <is>
          <t>No</t>
        </is>
      </c>
      <c r="K256" t="inlineStr">
        <is>
          <t>Yes</t>
        </is>
      </c>
      <c r="L256" t="inlineStr">
        <is>
          <t>Main WH</t>
        </is>
      </c>
    </row>
    <row r="257">
      <c r="A257" s="4" t="n">
        <v>20250401</v>
      </c>
      <c r="B257" s="4" t="inlineStr">
        <is>
          <t>P022</t>
        </is>
      </c>
      <c r="C257" t="n">
        <v>70</v>
      </c>
      <c r="D257" t="n">
        <v>1</v>
      </c>
      <c r="E257" t="n">
        <v>4</v>
      </c>
      <c r="F257" t="n">
        <v>1</v>
      </c>
      <c r="G257" t="n">
        <v>0</v>
      </c>
      <c r="H257" t="n">
        <v>68</v>
      </c>
      <c r="I257" t="n">
        <v>18</v>
      </c>
      <c r="J257" t="inlineStr">
        <is>
          <t>No</t>
        </is>
      </c>
      <c r="K257" t="inlineStr">
        <is>
          <t>Yes</t>
        </is>
      </c>
      <c r="L257" t="inlineStr">
        <is>
          <t>North WH</t>
        </is>
      </c>
    </row>
    <row r="258">
      <c r="A258" s="4" t="n">
        <v>20250501</v>
      </c>
      <c r="B258" s="4" t="inlineStr">
        <is>
          <t>P022</t>
        </is>
      </c>
      <c r="C258" t="n">
        <v>68</v>
      </c>
      <c r="D258" t="n">
        <v>2</v>
      </c>
      <c r="E258" t="n">
        <v>2</v>
      </c>
      <c r="F258" t="n">
        <v>0</v>
      </c>
      <c r="G258" t="n">
        <v>1</v>
      </c>
      <c r="H258" t="n">
        <v>67</v>
      </c>
      <c r="I258" t="n">
        <v>18</v>
      </c>
      <c r="J258" t="inlineStr">
        <is>
          <t>No</t>
        </is>
      </c>
      <c r="K258" t="inlineStr">
        <is>
          <t>Yes</t>
        </is>
      </c>
      <c r="L258" t="inlineStr">
        <is>
          <t>Main WH</t>
        </is>
      </c>
    </row>
    <row r="259">
      <c r="A259" s="4" t="n">
        <v>20250601</v>
      </c>
      <c r="B259" s="4" t="inlineStr">
        <is>
          <t>P022</t>
        </is>
      </c>
      <c r="C259" t="n">
        <v>67</v>
      </c>
      <c r="D259" t="n">
        <v>0</v>
      </c>
      <c r="E259" t="n">
        <v>3</v>
      </c>
      <c r="F259" t="n">
        <v>0</v>
      </c>
      <c r="G259" t="n">
        <v>0</v>
      </c>
      <c r="H259" t="n">
        <v>64</v>
      </c>
      <c r="I259" t="n">
        <v>18</v>
      </c>
      <c r="J259" t="inlineStr">
        <is>
          <t>No</t>
        </is>
      </c>
      <c r="K259" t="inlineStr">
        <is>
          <t>Yes</t>
        </is>
      </c>
      <c r="L259" t="inlineStr">
        <is>
          <t>Main WH</t>
        </is>
      </c>
    </row>
    <row r="260">
      <c r="A260" s="4" t="n">
        <v>20250701</v>
      </c>
      <c r="B260" s="4" t="inlineStr">
        <is>
          <t>P022</t>
        </is>
      </c>
      <c r="C260" t="n">
        <v>64</v>
      </c>
      <c r="D260" t="n">
        <v>0</v>
      </c>
      <c r="E260" t="n">
        <v>2</v>
      </c>
      <c r="F260" t="n">
        <v>0</v>
      </c>
      <c r="G260" t="n">
        <v>1</v>
      </c>
      <c r="H260" t="n">
        <v>61</v>
      </c>
      <c r="I260" t="n">
        <v>18</v>
      </c>
      <c r="J260" t="inlineStr">
        <is>
          <t>No</t>
        </is>
      </c>
      <c r="K260" t="inlineStr">
        <is>
          <t>Yes</t>
        </is>
      </c>
      <c r="L260" t="inlineStr">
        <is>
          <t>North WH</t>
        </is>
      </c>
    </row>
    <row r="261">
      <c r="A261" s="4" t="n">
        <v>20250801</v>
      </c>
      <c r="B261" s="4" t="inlineStr">
        <is>
          <t>P022</t>
        </is>
      </c>
      <c r="C261" t="n">
        <v>61</v>
      </c>
      <c r="D261" t="n">
        <v>3</v>
      </c>
      <c r="E261" t="n">
        <v>3</v>
      </c>
      <c r="F261" t="n">
        <v>0</v>
      </c>
      <c r="G261" t="n">
        <v>0</v>
      </c>
      <c r="H261" t="n">
        <v>61</v>
      </c>
      <c r="I261" t="n">
        <v>18</v>
      </c>
      <c r="J261" t="inlineStr">
        <is>
          <t>No</t>
        </is>
      </c>
      <c r="K261" t="inlineStr">
        <is>
          <t>Yes</t>
        </is>
      </c>
      <c r="L261" t="inlineStr">
        <is>
          <t>North WH</t>
        </is>
      </c>
    </row>
    <row r="262">
      <c r="A262" s="4" t="n">
        <v>20250901</v>
      </c>
      <c r="B262" s="4" t="inlineStr">
        <is>
          <t>P022</t>
        </is>
      </c>
      <c r="C262" t="n">
        <v>61</v>
      </c>
      <c r="D262" t="n">
        <v>2</v>
      </c>
      <c r="E262" t="n">
        <v>2</v>
      </c>
      <c r="F262" t="n">
        <v>0</v>
      </c>
      <c r="G262" t="n">
        <v>2</v>
      </c>
      <c r="H262" t="n">
        <v>59</v>
      </c>
      <c r="I262" t="n">
        <v>18</v>
      </c>
      <c r="J262" t="inlineStr">
        <is>
          <t>No</t>
        </is>
      </c>
      <c r="K262" t="inlineStr">
        <is>
          <t>Yes</t>
        </is>
      </c>
      <c r="L262" t="inlineStr">
        <is>
          <t>North WH</t>
        </is>
      </c>
    </row>
    <row r="263">
      <c r="A263" s="4" t="n">
        <v>20251001</v>
      </c>
      <c r="B263" s="4" t="inlineStr">
        <is>
          <t>P022</t>
        </is>
      </c>
      <c r="C263" t="n">
        <v>59</v>
      </c>
      <c r="D263" t="n">
        <v>13</v>
      </c>
      <c r="E263" t="n">
        <v>0</v>
      </c>
      <c r="F263" t="n">
        <v>0</v>
      </c>
      <c r="G263" t="n">
        <v>1</v>
      </c>
      <c r="H263" t="n">
        <v>71</v>
      </c>
      <c r="I263" t="n">
        <v>18</v>
      </c>
      <c r="J263" t="inlineStr">
        <is>
          <t>No</t>
        </is>
      </c>
      <c r="K263" t="inlineStr">
        <is>
          <t>Yes</t>
        </is>
      </c>
      <c r="L263" t="inlineStr">
        <is>
          <t>Main WH</t>
        </is>
      </c>
    </row>
    <row r="264">
      <c r="A264" s="4" t="n">
        <v>20251101</v>
      </c>
      <c r="B264" s="4" t="inlineStr">
        <is>
          <t>P022</t>
        </is>
      </c>
      <c r="C264" t="n">
        <v>71</v>
      </c>
      <c r="D264" t="n">
        <v>0</v>
      </c>
      <c r="E264" t="n">
        <v>2</v>
      </c>
      <c r="F264" t="n">
        <v>0</v>
      </c>
      <c r="G264" t="n">
        <v>0</v>
      </c>
      <c r="H264" t="n">
        <v>69</v>
      </c>
      <c r="I264" t="n">
        <v>18</v>
      </c>
      <c r="J264" t="inlineStr">
        <is>
          <t>No</t>
        </is>
      </c>
      <c r="K264" t="inlineStr">
        <is>
          <t>Yes</t>
        </is>
      </c>
      <c r="L264" t="inlineStr">
        <is>
          <t>Main WH</t>
        </is>
      </c>
    </row>
    <row r="265">
      <c r="A265" s="4" t="n">
        <v>20251201</v>
      </c>
      <c r="B265" s="4" t="inlineStr">
        <is>
          <t>P022</t>
        </is>
      </c>
      <c r="C265" t="n">
        <v>69</v>
      </c>
      <c r="D265" t="n">
        <v>1</v>
      </c>
      <c r="E265" t="n">
        <v>7</v>
      </c>
      <c r="F265" t="n">
        <v>1</v>
      </c>
      <c r="G265" t="n">
        <v>1</v>
      </c>
      <c r="H265" t="n">
        <v>63</v>
      </c>
      <c r="I265" t="n">
        <v>18</v>
      </c>
      <c r="J265" t="inlineStr">
        <is>
          <t>No</t>
        </is>
      </c>
      <c r="K265" t="inlineStr">
        <is>
          <t>Yes</t>
        </is>
      </c>
      <c r="L265" t="inlineStr">
        <is>
          <t>North WH</t>
        </is>
      </c>
    </row>
    <row r="266">
      <c r="A266" s="4" t="n">
        <v>20250101</v>
      </c>
      <c r="B266" s="4" t="inlineStr">
        <is>
          <t>P023</t>
        </is>
      </c>
      <c r="C266" t="n">
        <v>72</v>
      </c>
      <c r="D266" t="n">
        <v>0</v>
      </c>
      <c r="E266" t="n">
        <v>1</v>
      </c>
      <c r="F266" t="n">
        <v>0</v>
      </c>
      <c r="G266" t="n">
        <v>0</v>
      </c>
      <c r="H266" t="n">
        <v>71</v>
      </c>
      <c r="I266" t="n">
        <v>36</v>
      </c>
      <c r="J266" t="inlineStr">
        <is>
          <t>No</t>
        </is>
      </c>
      <c r="K266" t="inlineStr">
        <is>
          <t>No</t>
        </is>
      </c>
      <c r="L266" t="inlineStr">
        <is>
          <t>Main WH</t>
        </is>
      </c>
    </row>
    <row r="267">
      <c r="A267" s="4" t="n">
        <v>20250201</v>
      </c>
      <c r="B267" s="4" t="inlineStr">
        <is>
          <t>P023</t>
        </is>
      </c>
      <c r="C267" t="n">
        <v>71</v>
      </c>
      <c r="D267" t="n">
        <v>0</v>
      </c>
      <c r="E267" t="n">
        <v>1</v>
      </c>
      <c r="F267" t="n">
        <v>0</v>
      </c>
      <c r="G267" t="n">
        <v>0</v>
      </c>
      <c r="H267" t="n">
        <v>70</v>
      </c>
      <c r="I267" t="n">
        <v>36</v>
      </c>
      <c r="J267" t="inlineStr">
        <is>
          <t>No</t>
        </is>
      </c>
      <c r="K267" t="inlineStr">
        <is>
          <t>No</t>
        </is>
      </c>
      <c r="L267" t="inlineStr">
        <is>
          <t>North WH</t>
        </is>
      </c>
    </row>
    <row r="268">
      <c r="A268" s="4" t="n">
        <v>20250301</v>
      </c>
      <c r="B268" s="4" t="inlineStr">
        <is>
          <t>P023</t>
        </is>
      </c>
      <c r="C268" t="n">
        <v>70</v>
      </c>
      <c r="D268" t="n">
        <v>17</v>
      </c>
      <c r="E268" t="n">
        <v>1</v>
      </c>
      <c r="F268" t="n">
        <v>0</v>
      </c>
      <c r="G268" t="n">
        <v>1</v>
      </c>
      <c r="H268" t="n">
        <v>85</v>
      </c>
      <c r="I268" t="n">
        <v>36</v>
      </c>
      <c r="J268" t="inlineStr">
        <is>
          <t>No</t>
        </is>
      </c>
      <c r="K268" t="inlineStr">
        <is>
          <t>Yes</t>
        </is>
      </c>
      <c r="L268" t="inlineStr">
        <is>
          <t>North WH</t>
        </is>
      </c>
    </row>
    <row r="269">
      <c r="A269" s="4" t="n">
        <v>20250401</v>
      </c>
      <c r="B269" s="4" t="inlineStr">
        <is>
          <t>P023</t>
        </is>
      </c>
      <c r="C269" t="n">
        <v>85</v>
      </c>
      <c r="D269" t="n">
        <v>0</v>
      </c>
      <c r="E269" t="n">
        <v>4</v>
      </c>
      <c r="F269" t="n">
        <v>0</v>
      </c>
      <c r="G269" t="n">
        <v>0</v>
      </c>
      <c r="H269" t="n">
        <v>81</v>
      </c>
      <c r="I269" t="n">
        <v>36</v>
      </c>
      <c r="J269" t="inlineStr">
        <is>
          <t>No</t>
        </is>
      </c>
      <c r="K269" t="inlineStr">
        <is>
          <t>No</t>
        </is>
      </c>
      <c r="L269" t="inlineStr">
        <is>
          <t>Main WH</t>
        </is>
      </c>
    </row>
    <row r="270">
      <c r="A270" s="4" t="n">
        <v>20250501</v>
      </c>
      <c r="B270" s="4" t="inlineStr">
        <is>
          <t>P023</t>
        </is>
      </c>
      <c r="C270" t="n">
        <v>81</v>
      </c>
      <c r="D270" t="n">
        <v>0</v>
      </c>
      <c r="E270" t="n">
        <v>0</v>
      </c>
      <c r="F270" t="n">
        <v>0</v>
      </c>
      <c r="G270" t="n">
        <v>0</v>
      </c>
      <c r="H270" t="n">
        <v>81</v>
      </c>
      <c r="I270" t="n">
        <v>36</v>
      </c>
      <c r="J270" t="inlineStr">
        <is>
          <t>No</t>
        </is>
      </c>
      <c r="K270" t="inlineStr">
        <is>
          <t>No</t>
        </is>
      </c>
      <c r="L270" t="inlineStr">
        <is>
          <t>North WH</t>
        </is>
      </c>
    </row>
    <row r="271">
      <c r="A271" s="4" t="n">
        <v>20250601</v>
      </c>
      <c r="B271" s="4" t="inlineStr">
        <is>
          <t>P023</t>
        </is>
      </c>
      <c r="C271" t="n">
        <v>81</v>
      </c>
      <c r="D271" t="n">
        <v>7</v>
      </c>
      <c r="E271" t="n">
        <v>1</v>
      </c>
      <c r="F271" t="n">
        <v>0</v>
      </c>
      <c r="G271" t="n">
        <v>1</v>
      </c>
      <c r="H271" t="n">
        <v>86</v>
      </c>
      <c r="I271" t="n">
        <v>36</v>
      </c>
      <c r="J271" t="inlineStr">
        <is>
          <t>No</t>
        </is>
      </c>
      <c r="K271" t="inlineStr">
        <is>
          <t>Yes</t>
        </is>
      </c>
      <c r="L271" t="inlineStr">
        <is>
          <t>Main WH</t>
        </is>
      </c>
    </row>
    <row r="272">
      <c r="A272" s="4" t="n">
        <v>20250701</v>
      </c>
      <c r="B272" s="4" t="inlineStr">
        <is>
          <t>P023</t>
        </is>
      </c>
      <c r="C272" t="n">
        <v>86</v>
      </c>
      <c r="D272" t="n">
        <v>7</v>
      </c>
      <c r="E272" t="n">
        <v>3</v>
      </c>
      <c r="F272" t="n">
        <v>0</v>
      </c>
      <c r="G272" t="n">
        <v>2</v>
      </c>
      <c r="H272" t="n">
        <v>88</v>
      </c>
      <c r="I272" t="n">
        <v>36</v>
      </c>
      <c r="J272" t="inlineStr">
        <is>
          <t>No</t>
        </is>
      </c>
      <c r="K272" t="inlineStr">
        <is>
          <t>Yes</t>
        </is>
      </c>
      <c r="L272" t="inlineStr">
        <is>
          <t>Main WH</t>
        </is>
      </c>
    </row>
    <row r="273">
      <c r="A273" s="4" t="n">
        <v>20250801</v>
      </c>
      <c r="B273" s="4" t="inlineStr">
        <is>
          <t>P023</t>
        </is>
      </c>
      <c r="C273" t="n">
        <v>88</v>
      </c>
      <c r="D273" t="n">
        <v>2</v>
      </c>
      <c r="E273" t="n">
        <v>2</v>
      </c>
      <c r="F273" t="n">
        <v>0</v>
      </c>
      <c r="G273" t="n">
        <v>0</v>
      </c>
      <c r="H273" t="n">
        <v>88</v>
      </c>
      <c r="I273" t="n">
        <v>36</v>
      </c>
      <c r="J273" t="inlineStr">
        <is>
          <t>No</t>
        </is>
      </c>
      <c r="K273" t="inlineStr">
        <is>
          <t>Yes</t>
        </is>
      </c>
      <c r="L273" t="inlineStr">
        <is>
          <t>North WH</t>
        </is>
      </c>
    </row>
    <row r="274">
      <c r="A274" s="4" t="n">
        <v>20250901</v>
      </c>
      <c r="B274" s="4" t="inlineStr">
        <is>
          <t>P023</t>
        </is>
      </c>
      <c r="C274" t="n">
        <v>88</v>
      </c>
      <c r="D274" t="n">
        <v>0</v>
      </c>
      <c r="E274" t="n">
        <v>2</v>
      </c>
      <c r="F274" t="n">
        <v>0</v>
      </c>
      <c r="G274" t="n">
        <v>1</v>
      </c>
      <c r="H274" t="n">
        <v>85</v>
      </c>
      <c r="I274" t="n">
        <v>36</v>
      </c>
      <c r="J274" t="inlineStr">
        <is>
          <t>No</t>
        </is>
      </c>
      <c r="K274" t="inlineStr">
        <is>
          <t>Yes</t>
        </is>
      </c>
      <c r="L274" t="inlineStr">
        <is>
          <t>Main WH</t>
        </is>
      </c>
    </row>
    <row r="275">
      <c r="A275" s="4" t="n">
        <v>20251001</v>
      </c>
      <c r="B275" s="4" t="inlineStr">
        <is>
          <t>P023</t>
        </is>
      </c>
      <c r="C275" t="n">
        <v>85</v>
      </c>
      <c r="D275" t="n">
        <v>0</v>
      </c>
      <c r="E275" t="n">
        <v>2</v>
      </c>
      <c r="F275" t="n">
        <v>0</v>
      </c>
      <c r="G275" t="n">
        <v>0</v>
      </c>
      <c r="H275" t="n">
        <v>83</v>
      </c>
      <c r="I275" t="n">
        <v>36</v>
      </c>
      <c r="J275" t="inlineStr">
        <is>
          <t>No</t>
        </is>
      </c>
      <c r="K275" t="inlineStr">
        <is>
          <t>Yes</t>
        </is>
      </c>
      <c r="L275" t="inlineStr">
        <is>
          <t>Main WH</t>
        </is>
      </c>
    </row>
    <row r="276">
      <c r="A276" s="4" t="n">
        <v>20251101</v>
      </c>
      <c r="B276" s="4" t="inlineStr">
        <is>
          <t>P023</t>
        </is>
      </c>
      <c r="C276" t="n">
        <v>83</v>
      </c>
      <c r="D276" t="n">
        <v>8</v>
      </c>
      <c r="E276" t="n">
        <v>4</v>
      </c>
      <c r="F276" t="n">
        <v>0</v>
      </c>
      <c r="G276" t="n">
        <v>1</v>
      </c>
      <c r="H276" t="n">
        <v>86</v>
      </c>
      <c r="I276" t="n">
        <v>36</v>
      </c>
      <c r="J276" t="inlineStr">
        <is>
          <t>No</t>
        </is>
      </c>
      <c r="K276" t="inlineStr">
        <is>
          <t>Yes</t>
        </is>
      </c>
      <c r="L276" t="inlineStr">
        <is>
          <t>North WH</t>
        </is>
      </c>
    </row>
    <row r="277">
      <c r="A277" s="4" t="n">
        <v>20251201</v>
      </c>
      <c r="B277" s="4" t="inlineStr">
        <is>
          <t>P023</t>
        </is>
      </c>
      <c r="C277" t="n">
        <v>86</v>
      </c>
      <c r="D277" t="n">
        <v>0</v>
      </c>
      <c r="E277" t="n">
        <v>4</v>
      </c>
      <c r="F277" t="n">
        <v>0</v>
      </c>
      <c r="G277" t="n">
        <v>1</v>
      </c>
      <c r="H277" t="n">
        <v>81</v>
      </c>
      <c r="I277" t="n">
        <v>36</v>
      </c>
      <c r="J277" t="inlineStr">
        <is>
          <t>No</t>
        </is>
      </c>
      <c r="K277" t="inlineStr">
        <is>
          <t>No</t>
        </is>
      </c>
      <c r="L277" t="inlineStr">
        <is>
          <t>Main WH</t>
        </is>
      </c>
    </row>
    <row r="278">
      <c r="A278" s="4" t="n">
        <v>20250101</v>
      </c>
      <c r="B278" s="4" t="inlineStr">
        <is>
          <t>P024</t>
        </is>
      </c>
      <c r="C278" t="n">
        <v>60</v>
      </c>
      <c r="D278" t="n">
        <v>13</v>
      </c>
      <c r="E278" t="n">
        <v>10</v>
      </c>
      <c r="F278" t="n">
        <v>0</v>
      </c>
      <c r="G278" t="n">
        <v>0</v>
      </c>
      <c r="H278" t="n">
        <v>63</v>
      </c>
      <c r="I278" t="n">
        <v>24</v>
      </c>
      <c r="J278" t="inlineStr">
        <is>
          <t>No</t>
        </is>
      </c>
      <c r="K278" t="inlineStr">
        <is>
          <t>Yes</t>
        </is>
      </c>
      <c r="L278" t="inlineStr">
        <is>
          <t>Main WH</t>
        </is>
      </c>
    </row>
    <row r="279">
      <c r="A279" s="4" t="n">
        <v>20250201</v>
      </c>
      <c r="B279" s="4" t="inlineStr">
        <is>
          <t>P024</t>
        </is>
      </c>
      <c r="C279" t="n">
        <v>63</v>
      </c>
      <c r="D279" t="n">
        <v>21</v>
      </c>
      <c r="E279" t="n">
        <v>5</v>
      </c>
      <c r="F279" t="n">
        <v>0</v>
      </c>
      <c r="G279" t="n">
        <v>2</v>
      </c>
      <c r="H279" t="n">
        <v>77</v>
      </c>
      <c r="I279" t="n">
        <v>24</v>
      </c>
      <c r="J279" t="inlineStr">
        <is>
          <t>No</t>
        </is>
      </c>
      <c r="K279" t="inlineStr">
        <is>
          <t>Yes</t>
        </is>
      </c>
      <c r="L279" t="inlineStr">
        <is>
          <t>North WH</t>
        </is>
      </c>
    </row>
    <row r="280">
      <c r="A280" s="4" t="n">
        <v>20250301</v>
      </c>
      <c r="B280" s="4" t="inlineStr">
        <is>
          <t>P024</t>
        </is>
      </c>
      <c r="C280" t="n">
        <v>77</v>
      </c>
      <c r="D280" t="n">
        <v>3</v>
      </c>
      <c r="E280" t="n">
        <v>5</v>
      </c>
      <c r="F280" t="n">
        <v>0</v>
      </c>
      <c r="G280" t="n">
        <v>0</v>
      </c>
      <c r="H280" t="n">
        <v>75</v>
      </c>
      <c r="I280" t="n">
        <v>24</v>
      </c>
      <c r="J280" t="inlineStr">
        <is>
          <t>No</t>
        </is>
      </c>
      <c r="K280" t="inlineStr">
        <is>
          <t>Yes</t>
        </is>
      </c>
      <c r="L280" t="inlineStr">
        <is>
          <t>Main WH</t>
        </is>
      </c>
    </row>
    <row r="281">
      <c r="A281" s="4" t="n">
        <v>20250401</v>
      </c>
      <c r="B281" s="4" t="inlineStr">
        <is>
          <t>P024</t>
        </is>
      </c>
      <c r="C281" t="n">
        <v>75</v>
      </c>
      <c r="D281" t="n">
        <v>4</v>
      </c>
      <c r="E281" t="n">
        <v>2</v>
      </c>
      <c r="F281" t="n">
        <v>0</v>
      </c>
      <c r="G281" t="n">
        <v>1</v>
      </c>
      <c r="H281" t="n">
        <v>76</v>
      </c>
      <c r="I281" t="n">
        <v>24</v>
      </c>
      <c r="J281" t="inlineStr">
        <is>
          <t>No</t>
        </is>
      </c>
      <c r="K281" t="inlineStr">
        <is>
          <t>Yes</t>
        </is>
      </c>
      <c r="L281" t="inlineStr">
        <is>
          <t>North WH</t>
        </is>
      </c>
    </row>
    <row r="282">
      <c r="A282" s="4" t="n">
        <v>20250501</v>
      </c>
      <c r="B282" s="4" t="inlineStr">
        <is>
          <t>P024</t>
        </is>
      </c>
      <c r="C282" t="n">
        <v>76</v>
      </c>
      <c r="D282" t="n">
        <v>0</v>
      </c>
      <c r="E282" t="n">
        <v>6</v>
      </c>
      <c r="F282" t="n">
        <v>0</v>
      </c>
      <c r="G282" t="n">
        <v>1</v>
      </c>
      <c r="H282" t="n">
        <v>69</v>
      </c>
      <c r="I282" t="n">
        <v>24</v>
      </c>
      <c r="J282" t="inlineStr">
        <is>
          <t>No</t>
        </is>
      </c>
      <c r="K282" t="inlineStr">
        <is>
          <t>Yes</t>
        </is>
      </c>
      <c r="L282" t="inlineStr">
        <is>
          <t>Main WH</t>
        </is>
      </c>
    </row>
    <row r="283">
      <c r="A283" s="4" t="n">
        <v>20250601</v>
      </c>
      <c r="B283" s="4" t="inlineStr">
        <is>
          <t>P024</t>
        </is>
      </c>
      <c r="C283" t="n">
        <v>69</v>
      </c>
      <c r="D283" t="n">
        <v>0</v>
      </c>
      <c r="E283" t="n">
        <v>5</v>
      </c>
      <c r="F283" t="n">
        <v>0</v>
      </c>
      <c r="G283" t="n">
        <v>0</v>
      </c>
      <c r="H283" t="n">
        <v>64</v>
      </c>
      <c r="I283" t="n">
        <v>24</v>
      </c>
      <c r="J283" t="inlineStr">
        <is>
          <t>No</t>
        </is>
      </c>
      <c r="K283" t="inlineStr">
        <is>
          <t>Yes</t>
        </is>
      </c>
      <c r="L283" t="inlineStr">
        <is>
          <t>North WH</t>
        </is>
      </c>
    </row>
    <row r="284">
      <c r="A284" s="4" t="n">
        <v>20250701</v>
      </c>
      <c r="B284" s="4" t="inlineStr">
        <is>
          <t>P024</t>
        </is>
      </c>
      <c r="C284" t="n">
        <v>64</v>
      </c>
      <c r="D284" t="n">
        <v>0</v>
      </c>
      <c r="E284" t="n">
        <v>3</v>
      </c>
      <c r="F284" t="n">
        <v>2</v>
      </c>
      <c r="G284" t="n">
        <v>0</v>
      </c>
      <c r="H284" t="n">
        <v>63</v>
      </c>
      <c r="I284" t="n">
        <v>24</v>
      </c>
      <c r="J284" t="inlineStr">
        <is>
          <t>No</t>
        </is>
      </c>
      <c r="K284" t="inlineStr">
        <is>
          <t>Yes</t>
        </is>
      </c>
      <c r="L284" t="inlineStr">
        <is>
          <t>Main WH</t>
        </is>
      </c>
    </row>
    <row r="285">
      <c r="A285" s="4" t="n">
        <v>20250801</v>
      </c>
      <c r="B285" s="4" t="inlineStr">
        <is>
          <t>P024</t>
        </is>
      </c>
      <c r="C285" t="n">
        <v>63</v>
      </c>
      <c r="D285" t="n">
        <v>3</v>
      </c>
      <c r="E285" t="n">
        <v>3</v>
      </c>
      <c r="F285" t="n">
        <v>0</v>
      </c>
      <c r="G285" t="n">
        <v>2</v>
      </c>
      <c r="H285" t="n">
        <v>61</v>
      </c>
      <c r="I285" t="n">
        <v>24</v>
      </c>
      <c r="J285" t="inlineStr">
        <is>
          <t>No</t>
        </is>
      </c>
      <c r="K285" t="inlineStr">
        <is>
          <t>Yes</t>
        </is>
      </c>
      <c r="L285" t="inlineStr">
        <is>
          <t>North WH</t>
        </is>
      </c>
    </row>
    <row r="286">
      <c r="A286" s="4" t="n">
        <v>20250901</v>
      </c>
      <c r="B286" s="4" t="inlineStr">
        <is>
          <t>P024</t>
        </is>
      </c>
      <c r="C286" t="n">
        <v>61</v>
      </c>
      <c r="D286" t="n">
        <v>0</v>
      </c>
      <c r="E286" t="n">
        <v>0</v>
      </c>
      <c r="F286" t="n">
        <v>0</v>
      </c>
      <c r="G286" t="n">
        <v>0</v>
      </c>
      <c r="H286" t="n">
        <v>61</v>
      </c>
      <c r="I286" t="n">
        <v>24</v>
      </c>
      <c r="J286" t="inlineStr">
        <is>
          <t>No</t>
        </is>
      </c>
      <c r="K286" t="inlineStr">
        <is>
          <t>Yes</t>
        </is>
      </c>
      <c r="L286" t="inlineStr">
        <is>
          <t>North WH</t>
        </is>
      </c>
    </row>
    <row r="287">
      <c r="A287" s="4" t="n">
        <v>20251001</v>
      </c>
      <c r="B287" s="4" t="inlineStr">
        <is>
          <t>P024</t>
        </is>
      </c>
      <c r="C287" t="n">
        <v>61</v>
      </c>
      <c r="D287" t="n">
        <v>0</v>
      </c>
      <c r="E287" t="n">
        <v>4</v>
      </c>
      <c r="F287" t="n">
        <v>2</v>
      </c>
      <c r="G287" t="n">
        <v>1</v>
      </c>
      <c r="H287" t="n">
        <v>58</v>
      </c>
      <c r="I287" t="n">
        <v>24</v>
      </c>
      <c r="J287" t="inlineStr">
        <is>
          <t>No</t>
        </is>
      </c>
      <c r="K287" t="inlineStr">
        <is>
          <t>Yes</t>
        </is>
      </c>
      <c r="L287" t="inlineStr">
        <is>
          <t>North WH</t>
        </is>
      </c>
    </row>
    <row r="288">
      <c r="A288" s="4" t="n">
        <v>20251101</v>
      </c>
      <c r="B288" s="4" t="inlineStr">
        <is>
          <t>P024</t>
        </is>
      </c>
      <c r="C288" t="n">
        <v>58</v>
      </c>
      <c r="D288" t="n">
        <v>4</v>
      </c>
      <c r="E288" t="n">
        <v>4</v>
      </c>
      <c r="F288" t="n">
        <v>0</v>
      </c>
      <c r="G288" t="n">
        <v>1</v>
      </c>
      <c r="H288" t="n">
        <v>57</v>
      </c>
      <c r="I288" t="n">
        <v>24</v>
      </c>
      <c r="J288" t="inlineStr">
        <is>
          <t>No</t>
        </is>
      </c>
      <c r="K288" t="inlineStr">
        <is>
          <t>Yes</t>
        </is>
      </c>
      <c r="L288" t="inlineStr">
        <is>
          <t>North WH</t>
        </is>
      </c>
    </row>
    <row r="289">
      <c r="A289" s="4" t="n">
        <v>20251201</v>
      </c>
      <c r="B289" s="4" t="inlineStr">
        <is>
          <t>P024</t>
        </is>
      </c>
      <c r="C289" t="n">
        <v>57</v>
      </c>
      <c r="D289" t="n">
        <v>3</v>
      </c>
      <c r="E289" t="n">
        <v>3</v>
      </c>
      <c r="F289" t="n">
        <v>0</v>
      </c>
      <c r="G289" t="n">
        <v>2</v>
      </c>
      <c r="H289" t="n">
        <v>55</v>
      </c>
      <c r="I289" t="n">
        <v>24</v>
      </c>
      <c r="J289" t="inlineStr">
        <is>
          <t>No</t>
        </is>
      </c>
      <c r="K289" t="inlineStr">
        <is>
          <t>No</t>
        </is>
      </c>
      <c r="L289" t="inlineStr">
        <is>
          <t>Main WH</t>
        </is>
      </c>
    </row>
    <row r="290">
      <c r="A290" s="4" t="n">
        <v>20250101</v>
      </c>
      <c r="B290" s="4" t="inlineStr">
        <is>
          <t>P025</t>
        </is>
      </c>
      <c r="C290" t="n">
        <v>55</v>
      </c>
      <c r="D290" t="n">
        <v>36</v>
      </c>
      <c r="E290" t="n">
        <v>0</v>
      </c>
      <c r="F290" t="n">
        <v>0</v>
      </c>
      <c r="G290" t="n">
        <v>0</v>
      </c>
      <c r="H290" t="n">
        <v>91</v>
      </c>
      <c r="I290" t="n">
        <v>36</v>
      </c>
      <c r="J290" t="inlineStr">
        <is>
          <t>No</t>
        </is>
      </c>
      <c r="K290" t="inlineStr">
        <is>
          <t>Yes</t>
        </is>
      </c>
      <c r="L290" t="inlineStr">
        <is>
          <t>Main WH</t>
        </is>
      </c>
    </row>
    <row r="291">
      <c r="A291" s="4" t="n">
        <v>20250201</v>
      </c>
      <c r="B291" s="4" t="inlineStr">
        <is>
          <t>P025</t>
        </is>
      </c>
      <c r="C291" t="n">
        <v>91</v>
      </c>
      <c r="D291" t="n">
        <v>0</v>
      </c>
      <c r="E291" t="n">
        <v>3</v>
      </c>
      <c r="F291" t="n">
        <v>0</v>
      </c>
      <c r="G291" t="n">
        <v>0</v>
      </c>
      <c r="H291" t="n">
        <v>88</v>
      </c>
      <c r="I291" t="n">
        <v>36</v>
      </c>
      <c r="J291" t="inlineStr">
        <is>
          <t>No</t>
        </is>
      </c>
      <c r="K291" t="inlineStr">
        <is>
          <t>Yes</t>
        </is>
      </c>
      <c r="L291" t="inlineStr">
        <is>
          <t>Main WH</t>
        </is>
      </c>
    </row>
    <row r="292">
      <c r="A292" s="4" t="n">
        <v>20250301</v>
      </c>
      <c r="B292" s="4" t="inlineStr">
        <is>
          <t>P025</t>
        </is>
      </c>
      <c r="C292" t="n">
        <v>88</v>
      </c>
      <c r="D292" t="n">
        <v>0</v>
      </c>
      <c r="E292" t="n">
        <v>0</v>
      </c>
      <c r="F292" t="n">
        <v>0</v>
      </c>
      <c r="G292" t="n">
        <v>1</v>
      </c>
      <c r="H292" t="n">
        <v>87</v>
      </c>
      <c r="I292" t="n">
        <v>36</v>
      </c>
      <c r="J292" t="inlineStr">
        <is>
          <t>No</t>
        </is>
      </c>
      <c r="K292" t="inlineStr">
        <is>
          <t>Yes</t>
        </is>
      </c>
      <c r="L292" t="inlineStr">
        <is>
          <t>Main WH</t>
        </is>
      </c>
    </row>
    <row r="293">
      <c r="A293" s="4" t="n">
        <v>20250401</v>
      </c>
      <c r="B293" s="4" t="inlineStr">
        <is>
          <t>P025</t>
        </is>
      </c>
      <c r="C293" t="n">
        <v>87</v>
      </c>
      <c r="D293" t="n">
        <v>0</v>
      </c>
      <c r="E293" t="n">
        <v>0</v>
      </c>
      <c r="F293" t="n">
        <v>0</v>
      </c>
      <c r="G293" t="n">
        <v>0</v>
      </c>
      <c r="H293" t="n">
        <v>87</v>
      </c>
      <c r="I293" t="n">
        <v>36</v>
      </c>
      <c r="J293" t="inlineStr">
        <is>
          <t>No</t>
        </is>
      </c>
      <c r="K293" t="inlineStr">
        <is>
          <t>Yes</t>
        </is>
      </c>
      <c r="L293" t="inlineStr">
        <is>
          <t>Main WH</t>
        </is>
      </c>
    </row>
    <row r="294">
      <c r="A294" s="4" t="n">
        <v>20250501</v>
      </c>
      <c r="B294" s="4" t="inlineStr">
        <is>
          <t>P025</t>
        </is>
      </c>
      <c r="C294" t="n">
        <v>87</v>
      </c>
      <c r="D294" t="n">
        <v>0</v>
      </c>
      <c r="E294" t="n">
        <v>2</v>
      </c>
      <c r="F294" t="n">
        <v>1</v>
      </c>
      <c r="G294" t="n">
        <v>2</v>
      </c>
      <c r="H294" t="n">
        <v>84</v>
      </c>
      <c r="I294" t="n">
        <v>36</v>
      </c>
      <c r="J294" t="inlineStr">
        <is>
          <t>No</t>
        </is>
      </c>
      <c r="K294" t="inlineStr">
        <is>
          <t>Yes</t>
        </is>
      </c>
      <c r="L294" t="inlineStr">
        <is>
          <t>North WH</t>
        </is>
      </c>
    </row>
    <row r="295">
      <c r="A295" s="4" t="n">
        <v>20250601</v>
      </c>
      <c r="B295" s="4" t="inlineStr">
        <is>
          <t>P025</t>
        </is>
      </c>
      <c r="C295" t="n">
        <v>84</v>
      </c>
      <c r="D295" t="n">
        <v>0</v>
      </c>
      <c r="E295" t="n">
        <v>7</v>
      </c>
      <c r="F295" t="n">
        <v>0</v>
      </c>
      <c r="G295" t="n">
        <v>0</v>
      </c>
      <c r="H295" t="n">
        <v>77</v>
      </c>
      <c r="I295" t="n">
        <v>36</v>
      </c>
      <c r="J295" t="inlineStr">
        <is>
          <t>No</t>
        </is>
      </c>
      <c r="K295" t="inlineStr">
        <is>
          <t>No</t>
        </is>
      </c>
      <c r="L295" t="inlineStr">
        <is>
          <t>North WH</t>
        </is>
      </c>
    </row>
    <row r="296">
      <c r="A296" s="4" t="n">
        <v>20250701</v>
      </c>
      <c r="B296" s="4" t="inlineStr">
        <is>
          <t>P025</t>
        </is>
      </c>
      <c r="C296" t="n">
        <v>77</v>
      </c>
      <c r="D296" t="n">
        <v>0</v>
      </c>
      <c r="E296" t="n">
        <v>0</v>
      </c>
      <c r="F296" t="n">
        <v>0</v>
      </c>
      <c r="G296" t="n">
        <v>0</v>
      </c>
      <c r="H296" t="n">
        <v>77</v>
      </c>
      <c r="I296" t="n">
        <v>36</v>
      </c>
      <c r="J296" t="inlineStr">
        <is>
          <t>No</t>
        </is>
      </c>
      <c r="K296" t="inlineStr">
        <is>
          <t>No</t>
        </is>
      </c>
      <c r="L296" t="inlineStr">
        <is>
          <t>North WH</t>
        </is>
      </c>
    </row>
    <row r="297">
      <c r="A297" s="4" t="n">
        <v>20250801</v>
      </c>
      <c r="B297" s="4" t="inlineStr">
        <is>
          <t>P025</t>
        </is>
      </c>
      <c r="C297" t="n">
        <v>77</v>
      </c>
      <c r="D297" t="n">
        <v>4</v>
      </c>
      <c r="E297" t="n">
        <v>5</v>
      </c>
      <c r="F297" t="n">
        <v>0</v>
      </c>
      <c r="G297" t="n">
        <v>0</v>
      </c>
      <c r="H297" t="n">
        <v>76</v>
      </c>
      <c r="I297" t="n">
        <v>36</v>
      </c>
      <c r="J297" t="inlineStr">
        <is>
          <t>No</t>
        </is>
      </c>
      <c r="K297" t="inlineStr">
        <is>
          <t>No</t>
        </is>
      </c>
      <c r="L297" t="inlineStr">
        <is>
          <t>North WH</t>
        </is>
      </c>
    </row>
    <row r="298">
      <c r="A298" s="4" t="n">
        <v>20250901</v>
      </c>
      <c r="B298" s="4" t="inlineStr">
        <is>
          <t>P025</t>
        </is>
      </c>
      <c r="C298" t="n">
        <v>76</v>
      </c>
      <c r="D298" t="n">
        <v>15</v>
      </c>
      <c r="E298" t="n">
        <v>1</v>
      </c>
      <c r="F298" t="n">
        <v>0</v>
      </c>
      <c r="G298" t="n">
        <v>0</v>
      </c>
      <c r="H298" t="n">
        <v>90</v>
      </c>
      <c r="I298" t="n">
        <v>36</v>
      </c>
      <c r="J298" t="inlineStr">
        <is>
          <t>No</t>
        </is>
      </c>
      <c r="K298" t="inlineStr">
        <is>
          <t>Yes</t>
        </is>
      </c>
      <c r="L298" t="inlineStr">
        <is>
          <t>Main WH</t>
        </is>
      </c>
    </row>
    <row r="299">
      <c r="A299" s="4" t="n">
        <v>20251001</v>
      </c>
      <c r="B299" s="4" t="inlineStr">
        <is>
          <t>P025</t>
        </is>
      </c>
      <c r="C299" t="n">
        <v>90</v>
      </c>
      <c r="D299" t="n">
        <v>0</v>
      </c>
      <c r="E299" t="n">
        <v>1</v>
      </c>
      <c r="F299" t="n">
        <v>0</v>
      </c>
      <c r="G299" t="n">
        <v>0</v>
      </c>
      <c r="H299" t="n">
        <v>89</v>
      </c>
      <c r="I299" t="n">
        <v>36</v>
      </c>
      <c r="J299" t="inlineStr">
        <is>
          <t>No</t>
        </is>
      </c>
      <c r="K299" t="inlineStr">
        <is>
          <t>Yes</t>
        </is>
      </c>
      <c r="L299" t="inlineStr">
        <is>
          <t>North WH</t>
        </is>
      </c>
    </row>
    <row r="300">
      <c r="A300" s="4" t="n">
        <v>20251101</v>
      </c>
      <c r="B300" s="4" t="inlineStr">
        <is>
          <t>P025</t>
        </is>
      </c>
      <c r="C300" t="n">
        <v>89</v>
      </c>
      <c r="D300" t="n">
        <v>0</v>
      </c>
      <c r="E300" t="n">
        <v>9</v>
      </c>
      <c r="F300" t="n">
        <v>1</v>
      </c>
      <c r="G300" t="n">
        <v>0</v>
      </c>
      <c r="H300" t="n">
        <v>81</v>
      </c>
      <c r="I300" t="n">
        <v>36</v>
      </c>
      <c r="J300" t="inlineStr">
        <is>
          <t>No</t>
        </is>
      </c>
      <c r="K300" t="inlineStr">
        <is>
          <t>No</t>
        </is>
      </c>
      <c r="L300" t="inlineStr">
        <is>
          <t>Main WH</t>
        </is>
      </c>
    </row>
    <row r="301">
      <c r="A301" s="4" t="n">
        <v>20251201</v>
      </c>
      <c r="B301" s="4" t="inlineStr">
        <is>
          <t>P025</t>
        </is>
      </c>
      <c r="C301" t="n">
        <v>81</v>
      </c>
      <c r="D301" t="n">
        <v>3</v>
      </c>
      <c r="E301" t="n">
        <v>5</v>
      </c>
      <c r="F301" t="n">
        <v>0</v>
      </c>
      <c r="G301" t="n">
        <v>0</v>
      </c>
      <c r="H301" t="n">
        <v>79</v>
      </c>
      <c r="I301" t="n">
        <v>36</v>
      </c>
      <c r="J301" t="inlineStr">
        <is>
          <t>No</t>
        </is>
      </c>
      <c r="K301" t="inlineStr">
        <is>
          <t>No</t>
        </is>
      </c>
      <c r="L301" t="inlineStr">
        <is>
          <t>Main WH</t>
        </is>
      </c>
    </row>
    <row r="302">
      <c r="A302" s="4" t="n">
        <v>20250101</v>
      </c>
      <c r="B302" s="4" t="inlineStr">
        <is>
          <t>P026</t>
        </is>
      </c>
      <c r="C302" t="n">
        <v>51</v>
      </c>
      <c r="D302" t="n">
        <v>19</v>
      </c>
      <c r="E302" t="n">
        <v>2</v>
      </c>
      <c r="F302" t="n">
        <v>0</v>
      </c>
      <c r="G302" t="n">
        <v>0</v>
      </c>
      <c r="H302" t="n">
        <v>68</v>
      </c>
      <c r="I302" t="n">
        <v>18</v>
      </c>
      <c r="J302" t="inlineStr">
        <is>
          <t>No</t>
        </is>
      </c>
      <c r="K302" t="inlineStr">
        <is>
          <t>Yes</t>
        </is>
      </c>
      <c r="L302" t="inlineStr">
        <is>
          <t>Main WH</t>
        </is>
      </c>
    </row>
    <row r="303">
      <c r="A303" s="4" t="n">
        <v>20250201</v>
      </c>
      <c r="B303" s="4" t="inlineStr">
        <is>
          <t>P026</t>
        </is>
      </c>
      <c r="C303" t="n">
        <v>68</v>
      </c>
      <c r="D303" t="n">
        <v>0</v>
      </c>
      <c r="E303" t="n">
        <v>4</v>
      </c>
      <c r="F303" t="n">
        <v>0</v>
      </c>
      <c r="G303" t="n">
        <v>2</v>
      </c>
      <c r="H303" t="n">
        <v>62</v>
      </c>
      <c r="I303" t="n">
        <v>18</v>
      </c>
      <c r="J303" t="inlineStr">
        <is>
          <t>No</t>
        </is>
      </c>
      <c r="K303" t="inlineStr">
        <is>
          <t>Yes</t>
        </is>
      </c>
      <c r="L303" t="inlineStr">
        <is>
          <t>Main WH</t>
        </is>
      </c>
    </row>
    <row r="304">
      <c r="A304" s="4" t="n">
        <v>20250301</v>
      </c>
      <c r="B304" s="4" t="inlineStr">
        <is>
          <t>P026</t>
        </is>
      </c>
      <c r="C304" t="n">
        <v>62</v>
      </c>
      <c r="D304" t="n">
        <v>2</v>
      </c>
      <c r="E304" t="n">
        <v>0</v>
      </c>
      <c r="F304" t="n">
        <v>0</v>
      </c>
      <c r="G304" t="n">
        <v>0</v>
      </c>
      <c r="H304" t="n">
        <v>64</v>
      </c>
      <c r="I304" t="n">
        <v>18</v>
      </c>
      <c r="J304" t="inlineStr">
        <is>
          <t>No</t>
        </is>
      </c>
      <c r="K304" t="inlineStr">
        <is>
          <t>Yes</t>
        </is>
      </c>
      <c r="L304" t="inlineStr">
        <is>
          <t>Main WH</t>
        </is>
      </c>
    </row>
    <row r="305">
      <c r="A305" s="4" t="n">
        <v>20250401</v>
      </c>
      <c r="B305" s="4" t="inlineStr">
        <is>
          <t>P026</t>
        </is>
      </c>
      <c r="C305" t="n">
        <v>64</v>
      </c>
      <c r="D305" t="n">
        <v>0</v>
      </c>
      <c r="E305" t="n">
        <v>0</v>
      </c>
      <c r="F305" t="n">
        <v>0</v>
      </c>
      <c r="G305" t="n">
        <v>0</v>
      </c>
      <c r="H305" t="n">
        <v>64</v>
      </c>
      <c r="I305" t="n">
        <v>18</v>
      </c>
      <c r="J305" t="inlineStr">
        <is>
          <t>No</t>
        </is>
      </c>
      <c r="K305" t="inlineStr">
        <is>
          <t>Yes</t>
        </is>
      </c>
      <c r="L305" t="inlineStr">
        <is>
          <t>Main WH</t>
        </is>
      </c>
    </row>
    <row r="306">
      <c r="A306" s="4" t="n">
        <v>20250501</v>
      </c>
      <c r="B306" s="4" t="inlineStr">
        <is>
          <t>P026</t>
        </is>
      </c>
      <c r="C306" t="n">
        <v>64</v>
      </c>
      <c r="D306" t="n">
        <v>0</v>
      </c>
      <c r="E306" t="n">
        <v>0</v>
      </c>
      <c r="F306" t="n">
        <v>0</v>
      </c>
      <c r="G306" t="n">
        <v>0</v>
      </c>
      <c r="H306" t="n">
        <v>64</v>
      </c>
      <c r="I306" t="n">
        <v>18</v>
      </c>
      <c r="J306" t="inlineStr">
        <is>
          <t>No</t>
        </is>
      </c>
      <c r="K306" t="inlineStr">
        <is>
          <t>Yes</t>
        </is>
      </c>
      <c r="L306" t="inlineStr">
        <is>
          <t>North WH</t>
        </is>
      </c>
    </row>
    <row r="307">
      <c r="A307" s="4" t="n">
        <v>20250601</v>
      </c>
      <c r="B307" s="4" t="inlineStr">
        <is>
          <t>P026</t>
        </is>
      </c>
      <c r="C307" t="n">
        <v>64</v>
      </c>
      <c r="D307" t="n">
        <v>11</v>
      </c>
      <c r="E307" t="n">
        <v>3</v>
      </c>
      <c r="F307" t="n">
        <v>0</v>
      </c>
      <c r="G307" t="n">
        <v>1</v>
      </c>
      <c r="H307" t="n">
        <v>71</v>
      </c>
      <c r="I307" t="n">
        <v>18</v>
      </c>
      <c r="J307" t="inlineStr">
        <is>
          <t>No</t>
        </is>
      </c>
      <c r="K307" t="inlineStr">
        <is>
          <t>Yes</t>
        </is>
      </c>
      <c r="L307" t="inlineStr">
        <is>
          <t>Main WH</t>
        </is>
      </c>
    </row>
    <row r="308">
      <c r="A308" s="4" t="n">
        <v>20250701</v>
      </c>
      <c r="B308" s="4" t="inlineStr">
        <is>
          <t>P026</t>
        </is>
      </c>
      <c r="C308" t="n">
        <v>71</v>
      </c>
      <c r="D308" t="n">
        <v>0</v>
      </c>
      <c r="E308" t="n">
        <v>6</v>
      </c>
      <c r="F308" t="n">
        <v>1</v>
      </c>
      <c r="G308" t="n">
        <v>1</v>
      </c>
      <c r="H308" t="n">
        <v>65</v>
      </c>
      <c r="I308" t="n">
        <v>18</v>
      </c>
      <c r="J308" t="inlineStr">
        <is>
          <t>No</t>
        </is>
      </c>
      <c r="K308" t="inlineStr">
        <is>
          <t>Yes</t>
        </is>
      </c>
      <c r="L308" t="inlineStr">
        <is>
          <t>Main WH</t>
        </is>
      </c>
    </row>
    <row r="309">
      <c r="A309" s="4" t="n">
        <v>20250801</v>
      </c>
      <c r="B309" s="4" t="inlineStr">
        <is>
          <t>P026</t>
        </is>
      </c>
      <c r="C309" t="n">
        <v>65</v>
      </c>
      <c r="D309" t="n">
        <v>0</v>
      </c>
      <c r="E309" t="n">
        <v>1</v>
      </c>
      <c r="F309" t="n">
        <v>0</v>
      </c>
      <c r="G309" t="n">
        <v>0</v>
      </c>
      <c r="H309" t="n">
        <v>64</v>
      </c>
      <c r="I309" t="n">
        <v>18</v>
      </c>
      <c r="J309" t="inlineStr">
        <is>
          <t>No</t>
        </is>
      </c>
      <c r="K309" t="inlineStr">
        <is>
          <t>Yes</t>
        </is>
      </c>
      <c r="L309" t="inlineStr">
        <is>
          <t>Main WH</t>
        </is>
      </c>
    </row>
    <row r="310">
      <c r="A310" s="4" t="n">
        <v>20250901</v>
      </c>
      <c r="B310" s="4" t="inlineStr">
        <is>
          <t>P026</t>
        </is>
      </c>
      <c r="C310" t="n">
        <v>64</v>
      </c>
      <c r="D310" t="n">
        <v>0</v>
      </c>
      <c r="E310" t="n">
        <v>0</v>
      </c>
      <c r="F310" t="n">
        <v>0</v>
      </c>
      <c r="G310" t="n">
        <v>0</v>
      </c>
      <c r="H310" t="n">
        <v>64</v>
      </c>
      <c r="I310" t="n">
        <v>18</v>
      </c>
      <c r="J310" t="inlineStr">
        <is>
          <t>No</t>
        </is>
      </c>
      <c r="K310" t="inlineStr">
        <is>
          <t>Yes</t>
        </is>
      </c>
      <c r="L310" t="inlineStr">
        <is>
          <t>Main WH</t>
        </is>
      </c>
    </row>
    <row r="311">
      <c r="A311" s="4" t="n">
        <v>20251001</v>
      </c>
      <c r="B311" s="4" t="inlineStr">
        <is>
          <t>P026</t>
        </is>
      </c>
      <c r="C311" t="n">
        <v>64</v>
      </c>
      <c r="D311" t="n">
        <v>0</v>
      </c>
      <c r="E311" t="n">
        <v>5</v>
      </c>
      <c r="F311" t="n">
        <v>1</v>
      </c>
      <c r="G311" t="n">
        <v>1</v>
      </c>
      <c r="H311" t="n">
        <v>59</v>
      </c>
      <c r="I311" t="n">
        <v>18</v>
      </c>
      <c r="J311" t="inlineStr">
        <is>
          <t>No</t>
        </is>
      </c>
      <c r="K311" t="inlineStr">
        <is>
          <t>Yes</t>
        </is>
      </c>
      <c r="L311" t="inlineStr">
        <is>
          <t>Main WH</t>
        </is>
      </c>
    </row>
    <row r="312">
      <c r="A312" s="4" t="n">
        <v>20251101</v>
      </c>
      <c r="B312" s="4" t="inlineStr">
        <is>
          <t>P026</t>
        </is>
      </c>
      <c r="C312" t="n">
        <v>59</v>
      </c>
      <c r="D312" t="n">
        <v>0</v>
      </c>
      <c r="E312" t="n">
        <v>3</v>
      </c>
      <c r="F312" t="n">
        <v>0</v>
      </c>
      <c r="G312" t="n">
        <v>1</v>
      </c>
      <c r="H312" t="n">
        <v>55</v>
      </c>
      <c r="I312" t="n">
        <v>18</v>
      </c>
      <c r="J312" t="inlineStr">
        <is>
          <t>No</t>
        </is>
      </c>
      <c r="K312" t="inlineStr">
        <is>
          <t>Yes</t>
        </is>
      </c>
      <c r="L312" t="inlineStr">
        <is>
          <t>North WH</t>
        </is>
      </c>
    </row>
    <row r="313">
      <c r="A313" s="4" t="n">
        <v>20251201</v>
      </c>
      <c r="B313" s="4" t="inlineStr">
        <is>
          <t>P026</t>
        </is>
      </c>
      <c r="C313" t="n">
        <v>55</v>
      </c>
      <c r="D313" t="n">
        <v>10</v>
      </c>
      <c r="E313" t="n">
        <v>7</v>
      </c>
      <c r="F313" t="n">
        <v>0</v>
      </c>
      <c r="G313" t="n">
        <v>0</v>
      </c>
      <c r="H313" t="n">
        <v>58</v>
      </c>
      <c r="I313" t="n">
        <v>18</v>
      </c>
      <c r="J313" t="inlineStr">
        <is>
          <t>No</t>
        </is>
      </c>
      <c r="K313" t="inlineStr">
        <is>
          <t>Yes</t>
        </is>
      </c>
      <c r="L313" t="inlineStr">
        <is>
          <t>North WH</t>
        </is>
      </c>
    </row>
    <row r="314">
      <c r="A314" s="4" t="n">
        <v>20250101</v>
      </c>
      <c r="B314" s="4" t="inlineStr">
        <is>
          <t>P027</t>
        </is>
      </c>
      <c r="C314" t="n">
        <v>53</v>
      </c>
      <c r="D314" t="n">
        <v>23</v>
      </c>
      <c r="E314" t="n">
        <v>3</v>
      </c>
      <c r="F314" t="n">
        <v>0</v>
      </c>
      <c r="G314" t="n">
        <v>1</v>
      </c>
      <c r="H314" t="n">
        <v>72</v>
      </c>
      <c r="I314" t="n">
        <v>30</v>
      </c>
      <c r="J314" t="inlineStr">
        <is>
          <t>No</t>
        </is>
      </c>
      <c r="K314" t="inlineStr">
        <is>
          <t>Yes</t>
        </is>
      </c>
      <c r="L314" t="inlineStr">
        <is>
          <t>Main WH</t>
        </is>
      </c>
    </row>
    <row r="315">
      <c r="A315" s="4" t="n">
        <v>20250201</v>
      </c>
      <c r="B315" s="4" t="inlineStr">
        <is>
          <t>P027</t>
        </is>
      </c>
      <c r="C315" t="n">
        <v>72</v>
      </c>
      <c r="D315" t="n">
        <v>9</v>
      </c>
      <c r="E315" t="n">
        <v>11</v>
      </c>
      <c r="F315" t="n">
        <v>0</v>
      </c>
      <c r="G315" t="n">
        <v>0</v>
      </c>
      <c r="H315" t="n">
        <v>70</v>
      </c>
      <c r="I315" t="n">
        <v>30</v>
      </c>
      <c r="J315" t="inlineStr">
        <is>
          <t>No</t>
        </is>
      </c>
      <c r="K315" t="inlineStr">
        <is>
          <t>Yes</t>
        </is>
      </c>
      <c r="L315" t="inlineStr">
        <is>
          <t>Main WH</t>
        </is>
      </c>
    </row>
    <row r="316">
      <c r="A316" s="4" t="n">
        <v>20250301</v>
      </c>
      <c r="B316" s="4" t="inlineStr">
        <is>
          <t>P027</t>
        </is>
      </c>
      <c r="C316" t="n">
        <v>70</v>
      </c>
      <c r="D316" t="n">
        <v>12</v>
      </c>
      <c r="E316" t="n">
        <v>2</v>
      </c>
      <c r="F316" t="n">
        <v>0</v>
      </c>
      <c r="G316" t="n">
        <v>1</v>
      </c>
      <c r="H316" t="n">
        <v>79</v>
      </c>
      <c r="I316" t="n">
        <v>30</v>
      </c>
      <c r="J316" t="inlineStr">
        <is>
          <t>No</t>
        </is>
      </c>
      <c r="K316" t="inlineStr">
        <is>
          <t>Yes</t>
        </is>
      </c>
      <c r="L316" t="inlineStr">
        <is>
          <t>North WH</t>
        </is>
      </c>
    </row>
    <row r="317">
      <c r="A317" s="4" t="n">
        <v>20250401</v>
      </c>
      <c r="B317" s="4" t="inlineStr">
        <is>
          <t>P027</t>
        </is>
      </c>
      <c r="C317" t="n">
        <v>79</v>
      </c>
      <c r="D317" t="n">
        <v>0</v>
      </c>
      <c r="E317" t="n">
        <v>5</v>
      </c>
      <c r="F317" t="n">
        <v>0</v>
      </c>
      <c r="G317" t="n">
        <v>0</v>
      </c>
      <c r="H317" t="n">
        <v>74</v>
      </c>
      <c r="I317" t="n">
        <v>30</v>
      </c>
      <c r="J317" t="inlineStr">
        <is>
          <t>No</t>
        </is>
      </c>
      <c r="K317" t="inlineStr">
        <is>
          <t>Yes</t>
        </is>
      </c>
      <c r="L317" t="inlineStr">
        <is>
          <t>North WH</t>
        </is>
      </c>
    </row>
    <row r="318">
      <c r="A318" s="4" t="n">
        <v>20250501</v>
      </c>
      <c r="B318" s="4" t="inlineStr">
        <is>
          <t>P027</t>
        </is>
      </c>
      <c r="C318" t="n">
        <v>74</v>
      </c>
      <c r="D318" t="n">
        <v>0</v>
      </c>
      <c r="E318" t="n">
        <v>1</v>
      </c>
      <c r="F318" t="n">
        <v>0</v>
      </c>
      <c r="G318" t="n">
        <v>1</v>
      </c>
      <c r="H318" t="n">
        <v>72</v>
      </c>
      <c r="I318" t="n">
        <v>30</v>
      </c>
      <c r="J318" t="inlineStr">
        <is>
          <t>No</t>
        </is>
      </c>
      <c r="K318" t="inlineStr">
        <is>
          <t>Yes</t>
        </is>
      </c>
      <c r="L318" t="inlineStr">
        <is>
          <t>Main WH</t>
        </is>
      </c>
    </row>
    <row r="319">
      <c r="A319" s="4" t="n">
        <v>20250601</v>
      </c>
      <c r="B319" s="4" t="inlineStr">
        <is>
          <t>P027</t>
        </is>
      </c>
      <c r="C319" t="n">
        <v>72</v>
      </c>
      <c r="D319" t="n">
        <v>0</v>
      </c>
      <c r="E319" t="n">
        <v>4</v>
      </c>
      <c r="F319" t="n">
        <v>0</v>
      </c>
      <c r="G319" t="n">
        <v>0</v>
      </c>
      <c r="H319" t="n">
        <v>68</v>
      </c>
      <c r="I319" t="n">
        <v>30</v>
      </c>
      <c r="J319" t="inlineStr">
        <is>
          <t>No</t>
        </is>
      </c>
      <c r="K319" t="inlineStr">
        <is>
          <t>No</t>
        </is>
      </c>
      <c r="L319" t="inlineStr">
        <is>
          <t>North WH</t>
        </is>
      </c>
    </row>
    <row r="320">
      <c r="A320" s="4" t="n">
        <v>20250701</v>
      </c>
      <c r="B320" s="4" t="inlineStr">
        <is>
          <t>P027</t>
        </is>
      </c>
      <c r="C320" t="n">
        <v>68</v>
      </c>
      <c r="D320" t="n">
        <v>0</v>
      </c>
      <c r="E320" t="n">
        <v>1</v>
      </c>
      <c r="F320" t="n">
        <v>0</v>
      </c>
      <c r="G320" t="n">
        <v>1</v>
      </c>
      <c r="H320" t="n">
        <v>66</v>
      </c>
      <c r="I320" t="n">
        <v>30</v>
      </c>
      <c r="J320" t="inlineStr">
        <is>
          <t>No</t>
        </is>
      </c>
      <c r="K320" t="inlineStr">
        <is>
          <t>No</t>
        </is>
      </c>
      <c r="L320" t="inlineStr">
        <is>
          <t>North WH</t>
        </is>
      </c>
    </row>
    <row r="321">
      <c r="A321" s="4" t="n">
        <v>20250801</v>
      </c>
      <c r="B321" s="4" t="inlineStr">
        <is>
          <t>P027</t>
        </is>
      </c>
      <c r="C321" t="n">
        <v>66</v>
      </c>
      <c r="D321" t="n">
        <v>14</v>
      </c>
      <c r="E321" t="n">
        <v>1</v>
      </c>
      <c r="F321" t="n">
        <v>0</v>
      </c>
      <c r="G321" t="n">
        <v>0</v>
      </c>
      <c r="H321" t="n">
        <v>79</v>
      </c>
      <c r="I321" t="n">
        <v>30</v>
      </c>
      <c r="J321" t="inlineStr">
        <is>
          <t>No</t>
        </is>
      </c>
      <c r="K321" t="inlineStr">
        <is>
          <t>Yes</t>
        </is>
      </c>
      <c r="L321" t="inlineStr">
        <is>
          <t>Main WH</t>
        </is>
      </c>
    </row>
    <row r="322">
      <c r="A322" s="4" t="n">
        <v>20250901</v>
      </c>
      <c r="B322" s="4" t="inlineStr">
        <is>
          <t>P027</t>
        </is>
      </c>
      <c r="C322" t="n">
        <v>79</v>
      </c>
      <c r="D322" t="n">
        <v>4</v>
      </c>
      <c r="E322" t="n">
        <v>4</v>
      </c>
      <c r="F322" t="n">
        <v>0</v>
      </c>
      <c r="G322" t="n">
        <v>0</v>
      </c>
      <c r="H322" t="n">
        <v>79</v>
      </c>
      <c r="I322" t="n">
        <v>30</v>
      </c>
      <c r="J322" t="inlineStr">
        <is>
          <t>No</t>
        </is>
      </c>
      <c r="K322" t="inlineStr">
        <is>
          <t>Yes</t>
        </is>
      </c>
      <c r="L322" t="inlineStr">
        <is>
          <t>Main WH</t>
        </is>
      </c>
    </row>
    <row r="323">
      <c r="A323" s="4" t="n">
        <v>20251001</v>
      </c>
      <c r="B323" s="4" t="inlineStr">
        <is>
          <t>P027</t>
        </is>
      </c>
      <c r="C323" t="n">
        <v>79</v>
      </c>
      <c r="D323" t="n">
        <v>9</v>
      </c>
      <c r="E323" t="n">
        <v>3</v>
      </c>
      <c r="F323" t="n">
        <v>0</v>
      </c>
      <c r="G323" t="n">
        <v>0</v>
      </c>
      <c r="H323" t="n">
        <v>85</v>
      </c>
      <c r="I323" t="n">
        <v>30</v>
      </c>
      <c r="J323" t="inlineStr">
        <is>
          <t>No</t>
        </is>
      </c>
      <c r="K323" t="inlineStr">
        <is>
          <t>Yes</t>
        </is>
      </c>
      <c r="L323" t="inlineStr">
        <is>
          <t>North WH</t>
        </is>
      </c>
    </row>
    <row r="324">
      <c r="A324" s="4" t="n">
        <v>20251101</v>
      </c>
      <c r="B324" s="4" t="inlineStr">
        <is>
          <t>P027</t>
        </is>
      </c>
      <c r="C324" t="n">
        <v>85</v>
      </c>
      <c r="D324" t="n">
        <v>0</v>
      </c>
      <c r="E324" t="n">
        <v>4</v>
      </c>
      <c r="F324" t="n">
        <v>0</v>
      </c>
      <c r="G324" t="n">
        <v>0</v>
      </c>
      <c r="H324" t="n">
        <v>81</v>
      </c>
      <c r="I324" t="n">
        <v>30</v>
      </c>
      <c r="J324" t="inlineStr">
        <is>
          <t>No</t>
        </is>
      </c>
      <c r="K324" t="inlineStr">
        <is>
          <t>Yes</t>
        </is>
      </c>
      <c r="L324" t="inlineStr">
        <is>
          <t>North WH</t>
        </is>
      </c>
    </row>
    <row r="325">
      <c r="A325" s="4" t="n">
        <v>20251201</v>
      </c>
      <c r="B325" s="4" t="inlineStr">
        <is>
          <t>P027</t>
        </is>
      </c>
      <c r="C325" t="n">
        <v>81</v>
      </c>
      <c r="D325" t="n">
        <v>0</v>
      </c>
      <c r="E325" t="n">
        <v>4</v>
      </c>
      <c r="F325" t="n">
        <v>1</v>
      </c>
      <c r="G325" t="n">
        <v>2</v>
      </c>
      <c r="H325" t="n">
        <v>76</v>
      </c>
      <c r="I325" t="n">
        <v>30</v>
      </c>
      <c r="J325" t="inlineStr">
        <is>
          <t>No</t>
        </is>
      </c>
      <c r="K325" t="inlineStr">
        <is>
          <t>Yes</t>
        </is>
      </c>
      <c r="L325" t="inlineStr">
        <is>
          <t>Main WH</t>
        </is>
      </c>
    </row>
    <row r="326">
      <c r="A326" s="4" t="n">
        <v>20250101</v>
      </c>
      <c r="B326" s="4" t="inlineStr">
        <is>
          <t>P028</t>
        </is>
      </c>
      <c r="C326" t="n">
        <v>77</v>
      </c>
      <c r="D326" t="n">
        <v>0</v>
      </c>
      <c r="E326" t="n">
        <v>0</v>
      </c>
      <c r="F326" t="n">
        <v>0</v>
      </c>
      <c r="G326" t="n">
        <v>0</v>
      </c>
      <c r="H326" t="n">
        <v>77</v>
      </c>
      <c r="I326" t="n">
        <v>18</v>
      </c>
      <c r="J326" t="inlineStr">
        <is>
          <t>No</t>
        </is>
      </c>
      <c r="K326" t="inlineStr">
        <is>
          <t>Yes</t>
        </is>
      </c>
      <c r="L326" t="inlineStr">
        <is>
          <t>Main WH</t>
        </is>
      </c>
    </row>
    <row r="327">
      <c r="A327" s="4" t="n">
        <v>20250201</v>
      </c>
      <c r="B327" s="4" t="inlineStr">
        <is>
          <t>P028</t>
        </is>
      </c>
      <c r="C327" t="n">
        <v>77</v>
      </c>
      <c r="D327" t="n">
        <v>0</v>
      </c>
      <c r="E327" t="n">
        <v>0</v>
      </c>
      <c r="F327" t="n">
        <v>0</v>
      </c>
      <c r="G327" t="n">
        <v>0</v>
      </c>
      <c r="H327" t="n">
        <v>77</v>
      </c>
      <c r="I327" t="n">
        <v>18</v>
      </c>
      <c r="J327" t="inlineStr">
        <is>
          <t>No</t>
        </is>
      </c>
      <c r="K327" t="inlineStr">
        <is>
          <t>Yes</t>
        </is>
      </c>
      <c r="L327" t="inlineStr">
        <is>
          <t>North WH</t>
        </is>
      </c>
    </row>
    <row r="328">
      <c r="A328" s="4" t="n">
        <v>20250301</v>
      </c>
      <c r="B328" s="4" t="inlineStr">
        <is>
          <t>P028</t>
        </is>
      </c>
      <c r="C328" t="n">
        <v>77</v>
      </c>
      <c r="D328" t="n">
        <v>0</v>
      </c>
      <c r="E328" t="n">
        <v>5</v>
      </c>
      <c r="F328" t="n">
        <v>0</v>
      </c>
      <c r="G328" t="n">
        <v>0</v>
      </c>
      <c r="H328" t="n">
        <v>72</v>
      </c>
      <c r="I328" t="n">
        <v>18</v>
      </c>
      <c r="J328" t="inlineStr">
        <is>
          <t>No</t>
        </is>
      </c>
      <c r="K328" t="inlineStr">
        <is>
          <t>Yes</t>
        </is>
      </c>
      <c r="L328" t="inlineStr">
        <is>
          <t>North WH</t>
        </is>
      </c>
    </row>
    <row r="329">
      <c r="A329" s="4" t="n">
        <v>20250401</v>
      </c>
      <c r="B329" s="4" t="inlineStr">
        <is>
          <t>P028</t>
        </is>
      </c>
      <c r="C329" t="n">
        <v>72</v>
      </c>
      <c r="D329" t="n">
        <v>0</v>
      </c>
      <c r="E329" t="n">
        <v>2</v>
      </c>
      <c r="F329" t="n">
        <v>0</v>
      </c>
      <c r="G329" t="n">
        <v>2</v>
      </c>
      <c r="H329" t="n">
        <v>68</v>
      </c>
      <c r="I329" t="n">
        <v>18</v>
      </c>
      <c r="J329" t="inlineStr">
        <is>
          <t>No</t>
        </is>
      </c>
      <c r="K329" t="inlineStr">
        <is>
          <t>Yes</t>
        </is>
      </c>
      <c r="L329" t="inlineStr">
        <is>
          <t>Main WH</t>
        </is>
      </c>
    </row>
    <row r="330">
      <c r="A330" s="4" t="n">
        <v>20250501</v>
      </c>
      <c r="B330" s="4" t="inlineStr">
        <is>
          <t>P028</t>
        </is>
      </c>
      <c r="C330" t="n">
        <v>68</v>
      </c>
      <c r="D330" t="n">
        <v>0</v>
      </c>
      <c r="E330" t="n">
        <v>3</v>
      </c>
      <c r="F330" t="n">
        <v>0</v>
      </c>
      <c r="G330" t="n">
        <v>0</v>
      </c>
      <c r="H330" t="n">
        <v>65</v>
      </c>
      <c r="I330" t="n">
        <v>18</v>
      </c>
      <c r="J330" t="inlineStr">
        <is>
          <t>No</t>
        </is>
      </c>
      <c r="K330" t="inlineStr">
        <is>
          <t>Yes</t>
        </is>
      </c>
      <c r="L330" t="inlineStr">
        <is>
          <t>North WH</t>
        </is>
      </c>
    </row>
    <row r="331">
      <c r="A331" s="4" t="n">
        <v>20250601</v>
      </c>
      <c r="B331" s="4" t="inlineStr">
        <is>
          <t>P028</t>
        </is>
      </c>
      <c r="C331" t="n">
        <v>65</v>
      </c>
      <c r="D331" t="n">
        <v>0</v>
      </c>
      <c r="E331" t="n">
        <v>2</v>
      </c>
      <c r="F331" t="n">
        <v>0</v>
      </c>
      <c r="G331" t="n">
        <v>2</v>
      </c>
      <c r="H331" t="n">
        <v>61</v>
      </c>
      <c r="I331" t="n">
        <v>18</v>
      </c>
      <c r="J331" t="inlineStr">
        <is>
          <t>No</t>
        </is>
      </c>
      <c r="K331" t="inlineStr">
        <is>
          <t>Yes</t>
        </is>
      </c>
      <c r="L331" t="inlineStr">
        <is>
          <t>North WH</t>
        </is>
      </c>
    </row>
    <row r="332">
      <c r="A332" s="4" t="n">
        <v>20250701</v>
      </c>
      <c r="B332" s="4" t="inlineStr">
        <is>
          <t>P028</t>
        </is>
      </c>
      <c r="C332" t="n">
        <v>61</v>
      </c>
      <c r="D332" t="n">
        <v>5</v>
      </c>
      <c r="E332" t="n">
        <v>4</v>
      </c>
      <c r="F332" t="n">
        <v>0</v>
      </c>
      <c r="G332" t="n">
        <v>0</v>
      </c>
      <c r="H332" t="n">
        <v>62</v>
      </c>
      <c r="I332" t="n">
        <v>18</v>
      </c>
      <c r="J332" t="inlineStr">
        <is>
          <t>No</t>
        </is>
      </c>
      <c r="K332" t="inlineStr">
        <is>
          <t>Yes</t>
        </is>
      </c>
      <c r="L332" t="inlineStr">
        <is>
          <t>North WH</t>
        </is>
      </c>
    </row>
    <row r="333">
      <c r="A333" s="4" t="n">
        <v>20250801</v>
      </c>
      <c r="B333" s="4" t="inlineStr">
        <is>
          <t>P028</t>
        </is>
      </c>
      <c r="C333" t="n">
        <v>62</v>
      </c>
      <c r="D333" t="n">
        <v>0</v>
      </c>
      <c r="E333" t="n">
        <v>1</v>
      </c>
      <c r="F333" t="n">
        <v>0</v>
      </c>
      <c r="G333" t="n">
        <v>0</v>
      </c>
      <c r="H333" t="n">
        <v>61</v>
      </c>
      <c r="I333" t="n">
        <v>18</v>
      </c>
      <c r="J333" t="inlineStr">
        <is>
          <t>No</t>
        </is>
      </c>
      <c r="K333" t="inlineStr">
        <is>
          <t>Yes</t>
        </is>
      </c>
      <c r="L333" t="inlineStr">
        <is>
          <t>North WH</t>
        </is>
      </c>
    </row>
    <row r="334">
      <c r="A334" s="4" t="n">
        <v>20250901</v>
      </c>
      <c r="B334" s="4" t="inlineStr">
        <is>
          <t>P028</t>
        </is>
      </c>
      <c r="C334" t="n">
        <v>61</v>
      </c>
      <c r="D334" t="n">
        <v>12</v>
      </c>
      <c r="E334" t="n">
        <v>0</v>
      </c>
      <c r="F334" t="n">
        <v>0</v>
      </c>
      <c r="G334" t="n">
        <v>2</v>
      </c>
      <c r="H334" t="n">
        <v>71</v>
      </c>
      <c r="I334" t="n">
        <v>18</v>
      </c>
      <c r="J334" t="inlineStr">
        <is>
          <t>No</t>
        </is>
      </c>
      <c r="K334" t="inlineStr">
        <is>
          <t>Yes</t>
        </is>
      </c>
      <c r="L334" t="inlineStr">
        <is>
          <t>Main WH</t>
        </is>
      </c>
    </row>
    <row r="335">
      <c r="A335" s="4" t="n">
        <v>20251001</v>
      </c>
      <c r="B335" s="4" t="inlineStr">
        <is>
          <t>P028</t>
        </is>
      </c>
      <c r="C335" t="n">
        <v>71</v>
      </c>
      <c r="D335" t="n">
        <v>0</v>
      </c>
      <c r="E335" t="n">
        <v>0</v>
      </c>
      <c r="F335" t="n">
        <v>0</v>
      </c>
      <c r="G335" t="n">
        <v>0</v>
      </c>
      <c r="H335" t="n">
        <v>71</v>
      </c>
      <c r="I335" t="n">
        <v>18</v>
      </c>
      <c r="J335" t="inlineStr">
        <is>
          <t>No</t>
        </is>
      </c>
      <c r="K335" t="inlineStr">
        <is>
          <t>Yes</t>
        </is>
      </c>
      <c r="L335" t="inlineStr">
        <is>
          <t>North WH</t>
        </is>
      </c>
    </row>
    <row r="336">
      <c r="A336" s="4" t="n">
        <v>20251101</v>
      </c>
      <c r="B336" s="4" t="inlineStr">
        <is>
          <t>P028</t>
        </is>
      </c>
      <c r="C336" t="n">
        <v>71</v>
      </c>
      <c r="D336" t="n">
        <v>0</v>
      </c>
      <c r="E336" t="n">
        <v>4</v>
      </c>
      <c r="F336" t="n">
        <v>0</v>
      </c>
      <c r="G336" t="n">
        <v>1</v>
      </c>
      <c r="H336" t="n">
        <v>66</v>
      </c>
      <c r="I336" t="n">
        <v>18</v>
      </c>
      <c r="J336" t="inlineStr">
        <is>
          <t>No</t>
        </is>
      </c>
      <c r="K336" t="inlineStr">
        <is>
          <t>Yes</t>
        </is>
      </c>
      <c r="L336" t="inlineStr">
        <is>
          <t>Main WH</t>
        </is>
      </c>
    </row>
    <row r="337">
      <c r="A337" s="4" t="n">
        <v>20251201</v>
      </c>
      <c r="B337" s="4" t="inlineStr">
        <is>
          <t>P028</t>
        </is>
      </c>
      <c r="C337" t="n">
        <v>66</v>
      </c>
      <c r="D337" t="n">
        <v>7</v>
      </c>
      <c r="E337" t="n">
        <v>1</v>
      </c>
      <c r="F337" t="n">
        <v>0</v>
      </c>
      <c r="G337" t="n">
        <v>0</v>
      </c>
      <c r="H337" t="n">
        <v>72</v>
      </c>
      <c r="I337" t="n">
        <v>18</v>
      </c>
      <c r="J337" t="inlineStr">
        <is>
          <t>No</t>
        </is>
      </c>
      <c r="K337" t="inlineStr">
        <is>
          <t>Yes</t>
        </is>
      </c>
      <c r="L337" t="inlineStr">
        <is>
          <t>North WH</t>
        </is>
      </c>
    </row>
    <row r="338">
      <c r="A338" s="4" t="n">
        <v>20250101</v>
      </c>
      <c r="B338" s="4" t="inlineStr">
        <is>
          <t>P029</t>
        </is>
      </c>
      <c r="C338" t="n">
        <v>54</v>
      </c>
      <c r="D338" t="n">
        <v>25</v>
      </c>
      <c r="E338" t="n">
        <v>0</v>
      </c>
      <c r="F338" t="n">
        <v>0</v>
      </c>
      <c r="G338" t="n">
        <v>0</v>
      </c>
      <c r="H338" t="n">
        <v>79</v>
      </c>
      <c r="I338" t="n">
        <v>36</v>
      </c>
      <c r="J338" t="inlineStr">
        <is>
          <t>No</t>
        </is>
      </c>
      <c r="K338" t="inlineStr">
        <is>
          <t>No</t>
        </is>
      </c>
      <c r="L338" t="inlineStr">
        <is>
          <t>North WH</t>
        </is>
      </c>
    </row>
    <row r="339">
      <c r="A339" s="4" t="n">
        <v>20250201</v>
      </c>
      <c r="B339" s="4" t="inlineStr">
        <is>
          <t>P029</t>
        </is>
      </c>
      <c r="C339" t="n">
        <v>79</v>
      </c>
      <c r="D339" t="n">
        <v>0</v>
      </c>
      <c r="E339" t="n">
        <v>1</v>
      </c>
      <c r="F339" t="n">
        <v>0</v>
      </c>
      <c r="G339" t="n">
        <v>1</v>
      </c>
      <c r="H339" t="n">
        <v>77</v>
      </c>
      <c r="I339" t="n">
        <v>36</v>
      </c>
      <c r="J339" t="inlineStr">
        <is>
          <t>No</t>
        </is>
      </c>
      <c r="K339" t="inlineStr">
        <is>
          <t>No</t>
        </is>
      </c>
      <c r="L339" t="inlineStr">
        <is>
          <t>North WH</t>
        </is>
      </c>
    </row>
    <row r="340">
      <c r="A340" s="4" t="n">
        <v>20250301</v>
      </c>
      <c r="B340" s="4" t="inlineStr">
        <is>
          <t>P029</t>
        </is>
      </c>
      <c r="C340" t="n">
        <v>77</v>
      </c>
      <c r="D340" t="n">
        <v>0</v>
      </c>
      <c r="E340" t="n">
        <v>2</v>
      </c>
      <c r="F340" t="n">
        <v>0</v>
      </c>
      <c r="G340" t="n">
        <v>0</v>
      </c>
      <c r="H340" t="n">
        <v>75</v>
      </c>
      <c r="I340" t="n">
        <v>36</v>
      </c>
      <c r="J340" t="inlineStr">
        <is>
          <t>No</t>
        </is>
      </c>
      <c r="K340" t="inlineStr">
        <is>
          <t>No</t>
        </is>
      </c>
      <c r="L340" t="inlineStr">
        <is>
          <t>North WH</t>
        </is>
      </c>
    </row>
    <row r="341">
      <c r="A341" s="4" t="n">
        <v>20250401</v>
      </c>
      <c r="B341" s="4" t="inlineStr">
        <is>
          <t>P029</t>
        </is>
      </c>
      <c r="C341" t="n">
        <v>75</v>
      </c>
      <c r="D341" t="n">
        <v>8</v>
      </c>
      <c r="E341" t="n">
        <v>0</v>
      </c>
      <c r="F341" t="n">
        <v>0</v>
      </c>
      <c r="G341" t="n">
        <v>1</v>
      </c>
      <c r="H341" t="n">
        <v>82</v>
      </c>
      <c r="I341" t="n">
        <v>36</v>
      </c>
      <c r="J341" t="inlineStr">
        <is>
          <t>No</t>
        </is>
      </c>
      <c r="K341" t="inlineStr">
        <is>
          <t>No</t>
        </is>
      </c>
      <c r="L341" t="inlineStr">
        <is>
          <t>Main WH</t>
        </is>
      </c>
    </row>
    <row r="342">
      <c r="A342" s="4" t="n">
        <v>20250501</v>
      </c>
      <c r="B342" s="4" t="inlineStr">
        <is>
          <t>P029</t>
        </is>
      </c>
      <c r="C342" t="n">
        <v>82</v>
      </c>
      <c r="D342" t="n">
        <v>0</v>
      </c>
      <c r="E342" t="n">
        <v>1</v>
      </c>
      <c r="F342" t="n">
        <v>0</v>
      </c>
      <c r="G342" t="n">
        <v>0</v>
      </c>
      <c r="H342" t="n">
        <v>81</v>
      </c>
      <c r="I342" t="n">
        <v>36</v>
      </c>
      <c r="J342" t="inlineStr">
        <is>
          <t>No</t>
        </is>
      </c>
      <c r="K342" t="inlineStr">
        <is>
          <t>No</t>
        </is>
      </c>
      <c r="L342" t="inlineStr">
        <is>
          <t>Main WH</t>
        </is>
      </c>
    </row>
    <row r="343">
      <c r="A343" s="4" t="n">
        <v>20250601</v>
      </c>
      <c r="B343" s="4" t="inlineStr">
        <is>
          <t>P029</t>
        </is>
      </c>
      <c r="C343" t="n">
        <v>81</v>
      </c>
      <c r="D343" t="n">
        <v>0</v>
      </c>
      <c r="E343" t="n">
        <v>6</v>
      </c>
      <c r="F343" t="n">
        <v>0</v>
      </c>
      <c r="G343" t="n">
        <v>0</v>
      </c>
      <c r="H343" t="n">
        <v>75</v>
      </c>
      <c r="I343" t="n">
        <v>36</v>
      </c>
      <c r="J343" t="inlineStr">
        <is>
          <t>No</t>
        </is>
      </c>
      <c r="K343" t="inlineStr">
        <is>
          <t>No</t>
        </is>
      </c>
      <c r="L343" t="inlineStr">
        <is>
          <t>North WH</t>
        </is>
      </c>
    </row>
    <row r="344">
      <c r="A344" s="4" t="n">
        <v>20250701</v>
      </c>
      <c r="B344" s="4" t="inlineStr">
        <is>
          <t>P029</t>
        </is>
      </c>
      <c r="C344" t="n">
        <v>75</v>
      </c>
      <c r="D344" t="n">
        <v>6</v>
      </c>
      <c r="E344" t="n">
        <v>0</v>
      </c>
      <c r="F344" t="n">
        <v>0</v>
      </c>
      <c r="G344" t="n">
        <v>0</v>
      </c>
      <c r="H344" t="n">
        <v>81</v>
      </c>
      <c r="I344" t="n">
        <v>36</v>
      </c>
      <c r="J344" t="inlineStr">
        <is>
          <t>No</t>
        </is>
      </c>
      <c r="K344" t="inlineStr">
        <is>
          <t>No</t>
        </is>
      </c>
      <c r="L344" t="inlineStr">
        <is>
          <t>North WH</t>
        </is>
      </c>
    </row>
    <row r="345">
      <c r="A345" s="4" t="n">
        <v>20250801</v>
      </c>
      <c r="B345" s="4" t="inlineStr">
        <is>
          <t>P029</t>
        </is>
      </c>
      <c r="C345" t="n">
        <v>81</v>
      </c>
      <c r="D345" t="n">
        <v>0</v>
      </c>
      <c r="E345" t="n">
        <v>2</v>
      </c>
      <c r="F345" t="n">
        <v>0</v>
      </c>
      <c r="G345" t="n">
        <v>0</v>
      </c>
      <c r="H345" t="n">
        <v>79</v>
      </c>
      <c r="I345" t="n">
        <v>36</v>
      </c>
      <c r="J345" t="inlineStr">
        <is>
          <t>No</t>
        </is>
      </c>
      <c r="K345" t="inlineStr">
        <is>
          <t>No</t>
        </is>
      </c>
      <c r="L345" t="inlineStr">
        <is>
          <t>North WH</t>
        </is>
      </c>
    </row>
    <row r="346">
      <c r="A346" s="4" t="n">
        <v>20250901</v>
      </c>
      <c r="B346" s="4" t="inlineStr">
        <is>
          <t>P029</t>
        </is>
      </c>
      <c r="C346" t="n">
        <v>79</v>
      </c>
      <c r="D346" t="n">
        <v>0</v>
      </c>
      <c r="E346" t="n">
        <v>1</v>
      </c>
      <c r="F346" t="n">
        <v>0</v>
      </c>
      <c r="G346" t="n">
        <v>1</v>
      </c>
      <c r="H346" t="n">
        <v>77</v>
      </c>
      <c r="I346" t="n">
        <v>36</v>
      </c>
      <c r="J346" t="inlineStr">
        <is>
          <t>No</t>
        </is>
      </c>
      <c r="K346" t="inlineStr">
        <is>
          <t>No</t>
        </is>
      </c>
      <c r="L346" t="inlineStr">
        <is>
          <t>Main WH</t>
        </is>
      </c>
    </row>
    <row r="347">
      <c r="A347" s="4" t="n">
        <v>20251001</v>
      </c>
      <c r="B347" s="4" t="inlineStr">
        <is>
          <t>P029</t>
        </is>
      </c>
      <c r="C347" t="n">
        <v>77</v>
      </c>
      <c r="D347" t="n">
        <v>0</v>
      </c>
      <c r="E347" t="n">
        <v>3</v>
      </c>
      <c r="F347" t="n">
        <v>0</v>
      </c>
      <c r="G347" t="n">
        <v>0</v>
      </c>
      <c r="H347" t="n">
        <v>74</v>
      </c>
      <c r="I347" t="n">
        <v>36</v>
      </c>
      <c r="J347" t="inlineStr">
        <is>
          <t>No</t>
        </is>
      </c>
      <c r="K347" t="inlineStr">
        <is>
          <t>No</t>
        </is>
      </c>
      <c r="L347" t="inlineStr">
        <is>
          <t>North WH</t>
        </is>
      </c>
    </row>
    <row r="348">
      <c r="A348" s="4" t="n">
        <v>20251101</v>
      </c>
      <c r="B348" s="4" t="inlineStr">
        <is>
          <t>P029</t>
        </is>
      </c>
      <c r="C348" t="n">
        <v>74</v>
      </c>
      <c r="D348" t="n">
        <v>4</v>
      </c>
      <c r="E348" t="n">
        <v>1</v>
      </c>
      <c r="F348" t="n">
        <v>0</v>
      </c>
      <c r="G348" t="n">
        <v>0</v>
      </c>
      <c r="H348" t="n">
        <v>77</v>
      </c>
      <c r="I348" t="n">
        <v>36</v>
      </c>
      <c r="J348" t="inlineStr">
        <is>
          <t>No</t>
        </is>
      </c>
      <c r="K348" t="inlineStr">
        <is>
          <t>No</t>
        </is>
      </c>
      <c r="L348" t="inlineStr">
        <is>
          <t>Main WH</t>
        </is>
      </c>
    </row>
    <row r="349">
      <c r="A349" s="4" t="n">
        <v>20251201</v>
      </c>
      <c r="B349" s="4" t="inlineStr">
        <is>
          <t>P029</t>
        </is>
      </c>
      <c r="C349" t="n">
        <v>77</v>
      </c>
      <c r="D349" t="n">
        <v>6</v>
      </c>
      <c r="E349" t="n">
        <v>3</v>
      </c>
      <c r="F349" t="n">
        <v>0</v>
      </c>
      <c r="G349" t="n">
        <v>1</v>
      </c>
      <c r="H349" t="n">
        <v>79</v>
      </c>
      <c r="I349" t="n">
        <v>36</v>
      </c>
      <c r="J349" t="inlineStr">
        <is>
          <t>No</t>
        </is>
      </c>
      <c r="K349" t="inlineStr">
        <is>
          <t>No</t>
        </is>
      </c>
      <c r="L349" t="inlineStr">
        <is>
          <t>North WH</t>
        </is>
      </c>
    </row>
    <row r="350">
      <c r="A350" s="4" t="n">
        <v>20250101</v>
      </c>
      <c r="B350" s="4" t="inlineStr">
        <is>
          <t>P030</t>
        </is>
      </c>
      <c r="C350" t="n">
        <v>78</v>
      </c>
      <c r="D350" t="n">
        <v>0</v>
      </c>
      <c r="E350" t="n">
        <v>4</v>
      </c>
      <c r="F350" t="n">
        <v>0</v>
      </c>
      <c r="G350" t="n">
        <v>0</v>
      </c>
      <c r="H350" t="n">
        <v>74</v>
      </c>
      <c r="I350" t="n">
        <v>24</v>
      </c>
      <c r="J350" t="inlineStr">
        <is>
          <t>No</t>
        </is>
      </c>
      <c r="K350" t="inlineStr">
        <is>
          <t>Yes</t>
        </is>
      </c>
      <c r="L350" t="inlineStr">
        <is>
          <t>Main WH</t>
        </is>
      </c>
    </row>
    <row r="351">
      <c r="A351" s="4" t="n">
        <v>20250201</v>
      </c>
      <c r="B351" s="4" t="inlineStr">
        <is>
          <t>P030</t>
        </is>
      </c>
      <c r="C351" t="n">
        <v>74</v>
      </c>
      <c r="D351" t="n">
        <v>0</v>
      </c>
      <c r="E351" t="n">
        <v>1</v>
      </c>
      <c r="F351" t="n">
        <v>0</v>
      </c>
      <c r="G351" t="n">
        <v>0</v>
      </c>
      <c r="H351" t="n">
        <v>73</v>
      </c>
      <c r="I351" t="n">
        <v>24</v>
      </c>
      <c r="J351" t="inlineStr">
        <is>
          <t>No</t>
        </is>
      </c>
      <c r="K351" t="inlineStr">
        <is>
          <t>Yes</t>
        </is>
      </c>
      <c r="L351" t="inlineStr">
        <is>
          <t>North WH</t>
        </is>
      </c>
    </row>
    <row r="352">
      <c r="A352" s="4" t="n">
        <v>20250301</v>
      </c>
      <c r="B352" s="4" t="inlineStr">
        <is>
          <t>P030</t>
        </is>
      </c>
      <c r="C352" t="n">
        <v>73</v>
      </c>
      <c r="D352" t="n">
        <v>5</v>
      </c>
      <c r="E352" t="n">
        <v>3</v>
      </c>
      <c r="F352" t="n">
        <v>0</v>
      </c>
      <c r="G352" t="n">
        <v>0</v>
      </c>
      <c r="H352" t="n">
        <v>75</v>
      </c>
      <c r="I352" t="n">
        <v>24</v>
      </c>
      <c r="J352" t="inlineStr">
        <is>
          <t>No</t>
        </is>
      </c>
      <c r="K352" t="inlineStr">
        <is>
          <t>Yes</t>
        </is>
      </c>
      <c r="L352" t="inlineStr">
        <is>
          <t>North WH</t>
        </is>
      </c>
    </row>
    <row r="353">
      <c r="A353" s="4" t="n">
        <v>20250401</v>
      </c>
      <c r="B353" s="4" t="inlineStr">
        <is>
          <t>P030</t>
        </is>
      </c>
      <c r="C353" t="n">
        <v>75</v>
      </c>
      <c r="D353" t="n">
        <v>3</v>
      </c>
      <c r="E353" t="n">
        <v>0</v>
      </c>
      <c r="F353" t="n">
        <v>0</v>
      </c>
      <c r="G353" t="n">
        <v>0</v>
      </c>
      <c r="H353" t="n">
        <v>78</v>
      </c>
      <c r="I353" t="n">
        <v>24</v>
      </c>
      <c r="J353" t="inlineStr">
        <is>
          <t>No</t>
        </is>
      </c>
      <c r="K353" t="inlineStr">
        <is>
          <t>Yes</t>
        </is>
      </c>
      <c r="L353" t="inlineStr">
        <is>
          <t>North WH</t>
        </is>
      </c>
    </row>
    <row r="354">
      <c r="A354" s="4" t="n">
        <v>20250501</v>
      </c>
      <c r="B354" s="4" t="inlineStr">
        <is>
          <t>P030</t>
        </is>
      </c>
      <c r="C354" t="n">
        <v>78</v>
      </c>
      <c r="D354" t="n">
        <v>0</v>
      </c>
      <c r="E354" t="n">
        <v>0</v>
      </c>
      <c r="F354" t="n">
        <v>0</v>
      </c>
      <c r="G354" t="n">
        <v>1</v>
      </c>
      <c r="H354" t="n">
        <v>77</v>
      </c>
      <c r="I354" t="n">
        <v>24</v>
      </c>
      <c r="J354" t="inlineStr">
        <is>
          <t>No</t>
        </is>
      </c>
      <c r="K354" t="inlineStr">
        <is>
          <t>Yes</t>
        </is>
      </c>
      <c r="L354" t="inlineStr">
        <is>
          <t>Main WH</t>
        </is>
      </c>
    </row>
    <row r="355">
      <c r="A355" s="4" t="n">
        <v>20250601</v>
      </c>
      <c r="B355" s="4" t="inlineStr">
        <is>
          <t>P030</t>
        </is>
      </c>
      <c r="C355" t="n">
        <v>77</v>
      </c>
      <c r="D355" t="n">
        <v>0</v>
      </c>
      <c r="E355" t="n">
        <v>1</v>
      </c>
      <c r="F355" t="n">
        <v>0</v>
      </c>
      <c r="G355" t="n">
        <v>2</v>
      </c>
      <c r="H355" t="n">
        <v>74</v>
      </c>
      <c r="I355" t="n">
        <v>24</v>
      </c>
      <c r="J355" t="inlineStr">
        <is>
          <t>No</t>
        </is>
      </c>
      <c r="K355" t="inlineStr">
        <is>
          <t>Yes</t>
        </is>
      </c>
      <c r="L355" t="inlineStr">
        <is>
          <t>North WH</t>
        </is>
      </c>
    </row>
    <row r="356">
      <c r="A356" s="4" t="n">
        <v>20250701</v>
      </c>
      <c r="B356" s="4" t="inlineStr">
        <is>
          <t>P030</t>
        </is>
      </c>
      <c r="C356" t="n">
        <v>74</v>
      </c>
      <c r="D356" t="n">
        <v>0</v>
      </c>
      <c r="E356" t="n">
        <v>0</v>
      </c>
      <c r="F356" t="n">
        <v>0</v>
      </c>
      <c r="G356" t="n">
        <v>0</v>
      </c>
      <c r="H356" t="n">
        <v>74</v>
      </c>
      <c r="I356" t="n">
        <v>24</v>
      </c>
      <c r="J356" t="inlineStr">
        <is>
          <t>No</t>
        </is>
      </c>
      <c r="K356" t="inlineStr">
        <is>
          <t>Yes</t>
        </is>
      </c>
      <c r="L356" t="inlineStr">
        <is>
          <t>North WH</t>
        </is>
      </c>
    </row>
    <row r="357">
      <c r="A357" s="4" t="n">
        <v>20250801</v>
      </c>
      <c r="B357" s="4" t="inlineStr">
        <is>
          <t>P030</t>
        </is>
      </c>
      <c r="C357" t="n">
        <v>74</v>
      </c>
      <c r="D357" t="n">
        <v>2</v>
      </c>
      <c r="E357" t="n">
        <v>1</v>
      </c>
      <c r="F357" t="n">
        <v>0</v>
      </c>
      <c r="G357" t="n">
        <v>2</v>
      </c>
      <c r="H357" t="n">
        <v>73</v>
      </c>
      <c r="I357" t="n">
        <v>24</v>
      </c>
      <c r="J357" t="inlineStr">
        <is>
          <t>No</t>
        </is>
      </c>
      <c r="K357" t="inlineStr">
        <is>
          <t>Yes</t>
        </is>
      </c>
      <c r="L357" t="inlineStr">
        <is>
          <t>North WH</t>
        </is>
      </c>
    </row>
    <row r="358">
      <c r="A358" s="4" t="n">
        <v>20250901</v>
      </c>
      <c r="B358" s="4" t="inlineStr">
        <is>
          <t>P030</t>
        </is>
      </c>
      <c r="C358" t="n">
        <v>73</v>
      </c>
      <c r="D358" t="n">
        <v>0</v>
      </c>
      <c r="E358" t="n">
        <v>0</v>
      </c>
      <c r="F358" t="n">
        <v>0</v>
      </c>
      <c r="G358" t="n">
        <v>2</v>
      </c>
      <c r="H358" t="n">
        <v>71</v>
      </c>
      <c r="I358" t="n">
        <v>24</v>
      </c>
      <c r="J358" t="inlineStr">
        <is>
          <t>No</t>
        </is>
      </c>
      <c r="K358" t="inlineStr">
        <is>
          <t>Yes</t>
        </is>
      </c>
      <c r="L358" t="inlineStr">
        <is>
          <t>Main WH</t>
        </is>
      </c>
    </row>
    <row r="359">
      <c r="A359" s="4" t="n">
        <v>20251001</v>
      </c>
      <c r="B359" s="4" t="inlineStr">
        <is>
          <t>P030</t>
        </is>
      </c>
      <c r="C359" t="n">
        <v>71</v>
      </c>
      <c r="D359" t="n">
        <v>0</v>
      </c>
      <c r="E359" t="n">
        <v>0</v>
      </c>
      <c r="F359" t="n">
        <v>0</v>
      </c>
      <c r="G359" t="n">
        <v>1</v>
      </c>
      <c r="H359" t="n">
        <v>70</v>
      </c>
      <c r="I359" t="n">
        <v>24</v>
      </c>
      <c r="J359" t="inlineStr">
        <is>
          <t>No</t>
        </is>
      </c>
      <c r="K359" t="inlineStr">
        <is>
          <t>Yes</t>
        </is>
      </c>
      <c r="L359" t="inlineStr">
        <is>
          <t>North WH</t>
        </is>
      </c>
    </row>
    <row r="360">
      <c r="A360" s="4" t="n">
        <v>20251101</v>
      </c>
      <c r="B360" s="4" t="inlineStr">
        <is>
          <t>P030</t>
        </is>
      </c>
      <c r="C360" t="n">
        <v>70</v>
      </c>
      <c r="D360" t="n">
        <v>0</v>
      </c>
      <c r="E360" t="n">
        <v>2</v>
      </c>
      <c r="F360" t="n">
        <v>0</v>
      </c>
      <c r="G360" t="n">
        <v>1</v>
      </c>
      <c r="H360" t="n">
        <v>67</v>
      </c>
      <c r="I360" t="n">
        <v>24</v>
      </c>
      <c r="J360" t="inlineStr">
        <is>
          <t>No</t>
        </is>
      </c>
      <c r="K360" t="inlineStr">
        <is>
          <t>Yes</t>
        </is>
      </c>
      <c r="L360" t="inlineStr">
        <is>
          <t>North WH</t>
        </is>
      </c>
    </row>
    <row r="361">
      <c r="A361" s="4" t="n">
        <v>20251201</v>
      </c>
      <c r="B361" s="4" t="inlineStr">
        <is>
          <t>P030</t>
        </is>
      </c>
      <c r="C361" t="n">
        <v>67</v>
      </c>
      <c r="D361" t="n">
        <v>6</v>
      </c>
      <c r="E361" t="n">
        <v>1</v>
      </c>
      <c r="F361" t="n">
        <v>0</v>
      </c>
      <c r="G361" t="n">
        <v>0</v>
      </c>
      <c r="H361" t="n">
        <v>72</v>
      </c>
      <c r="I361" t="n">
        <v>24</v>
      </c>
      <c r="J361" t="inlineStr">
        <is>
          <t>No</t>
        </is>
      </c>
      <c r="K361" t="inlineStr">
        <is>
          <t>Yes</t>
        </is>
      </c>
      <c r="L361" t="inlineStr">
        <is>
          <t>North WH</t>
        </is>
      </c>
    </row>
    <row r="362">
      <c r="A362" s="4" t="n">
        <v>20250101</v>
      </c>
      <c r="B362" s="4" t="inlineStr">
        <is>
          <t>P031</t>
        </is>
      </c>
      <c r="C362" t="n">
        <v>67</v>
      </c>
      <c r="D362" t="n">
        <v>0</v>
      </c>
      <c r="E362" t="n">
        <v>8</v>
      </c>
      <c r="F362" t="n">
        <v>0</v>
      </c>
      <c r="G362" t="n">
        <v>0</v>
      </c>
      <c r="H362" t="n">
        <v>59</v>
      </c>
      <c r="I362" t="n">
        <v>18</v>
      </c>
      <c r="J362" t="inlineStr">
        <is>
          <t>No</t>
        </is>
      </c>
      <c r="K362" t="inlineStr">
        <is>
          <t>Yes</t>
        </is>
      </c>
      <c r="L362" t="inlineStr">
        <is>
          <t>North WH</t>
        </is>
      </c>
    </row>
    <row r="363">
      <c r="A363" s="4" t="n">
        <v>20250201</v>
      </c>
      <c r="B363" s="4" t="inlineStr">
        <is>
          <t>P031</t>
        </is>
      </c>
      <c r="C363" t="n">
        <v>59</v>
      </c>
      <c r="D363" t="n">
        <v>13</v>
      </c>
      <c r="E363" t="n">
        <v>3</v>
      </c>
      <c r="F363" t="n">
        <v>0</v>
      </c>
      <c r="G363" t="n">
        <v>0</v>
      </c>
      <c r="H363" t="n">
        <v>69</v>
      </c>
      <c r="I363" t="n">
        <v>18</v>
      </c>
      <c r="J363" t="inlineStr">
        <is>
          <t>No</t>
        </is>
      </c>
      <c r="K363" t="inlineStr">
        <is>
          <t>Yes</t>
        </is>
      </c>
      <c r="L363" t="inlineStr">
        <is>
          <t>Main WH</t>
        </is>
      </c>
    </row>
    <row r="364">
      <c r="A364" s="4" t="n">
        <v>20250301</v>
      </c>
      <c r="B364" s="4" t="inlineStr">
        <is>
          <t>P031</t>
        </is>
      </c>
      <c r="C364" t="n">
        <v>69</v>
      </c>
      <c r="D364" t="n">
        <v>0</v>
      </c>
      <c r="E364" t="n">
        <v>0</v>
      </c>
      <c r="F364" t="n">
        <v>0</v>
      </c>
      <c r="G364" t="n">
        <v>1</v>
      </c>
      <c r="H364" t="n">
        <v>68</v>
      </c>
      <c r="I364" t="n">
        <v>18</v>
      </c>
      <c r="J364" t="inlineStr">
        <is>
          <t>No</t>
        </is>
      </c>
      <c r="K364" t="inlineStr">
        <is>
          <t>Yes</t>
        </is>
      </c>
      <c r="L364" t="inlineStr">
        <is>
          <t>Main WH</t>
        </is>
      </c>
    </row>
    <row r="365">
      <c r="A365" s="4" t="n">
        <v>20250401</v>
      </c>
      <c r="B365" s="4" t="inlineStr">
        <is>
          <t>P031</t>
        </is>
      </c>
      <c r="C365" t="n">
        <v>68</v>
      </c>
      <c r="D365" t="n">
        <v>6</v>
      </c>
      <c r="E365" t="n">
        <v>2</v>
      </c>
      <c r="F365" t="n">
        <v>0</v>
      </c>
      <c r="G365" t="n">
        <v>0</v>
      </c>
      <c r="H365" t="n">
        <v>72</v>
      </c>
      <c r="I365" t="n">
        <v>18</v>
      </c>
      <c r="J365" t="inlineStr">
        <is>
          <t>No</t>
        </is>
      </c>
      <c r="K365" t="inlineStr">
        <is>
          <t>Yes</t>
        </is>
      </c>
      <c r="L365" t="inlineStr">
        <is>
          <t>Main WH</t>
        </is>
      </c>
    </row>
    <row r="366">
      <c r="A366" s="4" t="n">
        <v>20250501</v>
      </c>
      <c r="B366" s="4" t="inlineStr">
        <is>
          <t>P031</t>
        </is>
      </c>
      <c r="C366" t="n">
        <v>72</v>
      </c>
      <c r="D366" t="n">
        <v>0</v>
      </c>
      <c r="E366" t="n">
        <v>2</v>
      </c>
      <c r="F366" t="n">
        <v>1</v>
      </c>
      <c r="G366" t="n">
        <v>1</v>
      </c>
      <c r="H366" t="n">
        <v>70</v>
      </c>
      <c r="I366" t="n">
        <v>18</v>
      </c>
      <c r="J366" t="inlineStr">
        <is>
          <t>No</t>
        </is>
      </c>
      <c r="K366" t="inlineStr">
        <is>
          <t>Yes</t>
        </is>
      </c>
      <c r="L366" t="inlineStr">
        <is>
          <t>Main WH</t>
        </is>
      </c>
    </row>
    <row r="367">
      <c r="A367" s="4" t="n">
        <v>20250601</v>
      </c>
      <c r="B367" s="4" t="inlineStr">
        <is>
          <t>P031</t>
        </is>
      </c>
      <c r="C367" t="n">
        <v>70</v>
      </c>
      <c r="D367" t="n">
        <v>0</v>
      </c>
      <c r="E367" t="n">
        <v>3</v>
      </c>
      <c r="F367" t="n">
        <v>0</v>
      </c>
      <c r="G367" t="n">
        <v>2</v>
      </c>
      <c r="H367" t="n">
        <v>65</v>
      </c>
      <c r="I367" t="n">
        <v>18</v>
      </c>
      <c r="J367" t="inlineStr">
        <is>
          <t>No</t>
        </is>
      </c>
      <c r="K367" t="inlineStr">
        <is>
          <t>Yes</t>
        </is>
      </c>
      <c r="L367" t="inlineStr">
        <is>
          <t>North WH</t>
        </is>
      </c>
    </row>
    <row r="368">
      <c r="A368" s="4" t="n">
        <v>20250701</v>
      </c>
      <c r="B368" s="4" t="inlineStr">
        <is>
          <t>P031</t>
        </is>
      </c>
      <c r="C368" t="n">
        <v>65</v>
      </c>
      <c r="D368" t="n">
        <v>0</v>
      </c>
      <c r="E368" t="n">
        <v>1</v>
      </c>
      <c r="F368" t="n">
        <v>0</v>
      </c>
      <c r="G368" t="n">
        <v>0</v>
      </c>
      <c r="H368" t="n">
        <v>64</v>
      </c>
      <c r="I368" t="n">
        <v>18</v>
      </c>
      <c r="J368" t="inlineStr">
        <is>
          <t>No</t>
        </is>
      </c>
      <c r="K368" t="inlineStr">
        <is>
          <t>Yes</t>
        </is>
      </c>
      <c r="L368" t="inlineStr">
        <is>
          <t>North WH</t>
        </is>
      </c>
    </row>
    <row r="369">
      <c r="A369" s="4" t="n">
        <v>20250801</v>
      </c>
      <c r="B369" s="4" t="inlineStr">
        <is>
          <t>P031</t>
        </is>
      </c>
      <c r="C369" t="n">
        <v>64</v>
      </c>
      <c r="D369" t="n">
        <v>12</v>
      </c>
      <c r="E369" t="n">
        <v>3</v>
      </c>
      <c r="F369" t="n">
        <v>0</v>
      </c>
      <c r="G369" t="n">
        <v>2</v>
      </c>
      <c r="H369" t="n">
        <v>71</v>
      </c>
      <c r="I369" t="n">
        <v>18</v>
      </c>
      <c r="J369" t="inlineStr">
        <is>
          <t>No</t>
        </is>
      </c>
      <c r="K369" t="inlineStr">
        <is>
          <t>Yes</t>
        </is>
      </c>
      <c r="L369" t="inlineStr">
        <is>
          <t>North WH</t>
        </is>
      </c>
    </row>
    <row r="370">
      <c r="A370" s="4" t="n">
        <v>20250901</v>
      </c>
      <c r="B370" s="4" t="inlineStr">
        <is>
          <t>P031</t>
        </is>
      </c>
      <c r="C370" t="n">
        <v>71</v>
      </c>
      <c r="D370" t="n">
        <v>0</v>
      </c>
      <c r="E370" t="n">
        <v>1</v>
      </c>
      <c r="F370" t="n">
        <v>0</v>
      </c>
      <c r="G370" t="n">
        <v>0</v>
      </c>
      <c r="H370" t="n">
        <v>70</v>
      </c>
      <c r="I370" t="n">
        <v>18</v>
      </c>
      <c r="J370" t="inlineStr">
        <is>
          <t>No</t>
        </is>
      </c>
      <c r="K370" t="inlineStr">
        <is>
          <t>Yes</t>
        </is>
      </c>
      <c r="L370" t="inlineStr">
        <is>
          <t>North WH</t>
        </is>
      </c>
    </row>
    <row r="371">
      <c r="A371" s="4" t="n">
        <v>20251001</v>
      </c>
      <c r="B371" s="4" t="inlineStr">
        <is>
          <t>P031</t>
        </is>
      </c>
      <c r="C371" t="n">
        <v>70</v>
      </c>
      <c r="D371" t="n">
        <v>0</v>
      </c>
      <c r="E371" t="n">
        <v>1</v>
      </c>
      <c r="F371" t="n">
        <v>0</v>
      </c>
      <c r="G371" t="n">
        <v>1</v>
      </c>
      <c r="H371" t="n">
        <v>68</v>
      </c>
      <c r="I371" t="n">
        <v>18</v>
      </c>
      <c r="J371" t="inlineStr">
        <is>
          <t>No</t>
        </is>
      </c>
      <c r="K371" t="inlineStr">
        <is>
          <t>Yes</t>
        </is>
      </c>
      <c r="L371" t="inlineStr">
        <is>
          <t>North WH</t>
        </is>
      </c>
    </row>
    <row r="372">
      <c r="A372" s="4" t="n">
        <v>20251101</v>
      </c>
      <c r="B372" s="4" t="inlineStr">
        <is>
          <t>P031</t>
        </is>
      </c>
      <c r="C372" t="n">
        <v>68</v>
      </c>
      <c r="D372" t="n">
        <v>0</v>
      </c>
      <c r="E372" t="n">
        <v>3</v>
      </c>
      <c r="F372" t="n">
        <v>0</v>
      </c>
      <c r="G372" t="n">
        <v>0</v>
      </c>
      <c r="H372" t="n">
        <v>65</v>
      </c>
      <c r="I372" t="n">
        <v>18</v>
      </c>
      <c r="J372" t="inlineStr">
        <is>
          <t>No</t>
        </is>
      </c>
      <c r="K372" t="inlineStr">
        <is>
          <t>Yes</t>
        </is>
      </c>
      <c r="L372" t="inlineStr">
        <is>
          <t>North WH</t>
        </is>
      </c>
    </row>
    <row r="373">
      <c r="A373" s="4" t="n">
        <v>20251201</v>
      </c>
      <c r="B373" s="4" t="inlineStr">
        <is>
          <t>P031</t>
        </is>
      </c>
      <c r="C373" t="n">
        <v>65</v>
      </c>
      <c r="D373" t="n">
        <v>0</v>
      </c>
      <c r="E373" t="n">
        <v>8</v>
      </c>
      <c r="F373" t="n">
        <v>1</v>
      </c>
      <c r="G373" t="n">
        <v>1</v>
      </c>
      <c r="H373" t="n">
        <v>57</v>
      </c>
      <c r="I373" t="n">
        <v>18</v>
      </c>
      <c r="J373" t="inlineStr">
        <is>
          <t>No</t>
        </is>
      </c>
      <c r="K373" t="inlineStr">
        <is>
          <t>Yes</t>
        </is>
      </c>
      <c r="L373" t="inlineStr">
        <is>
          <t>North WH</t>
        </is>
      </c>
    </row>
    <row r="374">
      <c r="A374" s="4" t="n">
        <v>20250101</v>
      </c>
      <c r="B374" s="4" t="inlineStr">
        <is>
          <t>P032</t>
        </is>
      </c>
      <c r="C374" t="n">
        <v>55</v>
      </c>
      <c r="D374" t="n">
        <v>28</v>
      </c>
      <c r="E374" t="n">
        <v>2</v>
      </c>
      <c r="F374" t="n">
        <v>0</v>
      </c>
      <c r="G374" t="n">
        <v>1</v>
      </c>
      <c r="H374" t="n">
        <v>80</v>
      </c>
      <c r="I374" t="n">
        <v>36</v>
      </c>
      <c r="J374" t="inlineStr">
        <is>
          <t>No</t>
        </is>
      </c>
      <c r="K374" t="inlineStr">
        <is>
          <t>No</t>
        </is>
      </c>
      <c r="L374" t="inlineStr">
        <is>
          <t>North WH</t>
        </is>
      </c>
    </row>
    <row r="375">
      <c r="A375" s="4" t="n">
        <v>20250201</v>
      </c>
      <c r="B375" s="4" t="inlineStr">
        <is>
          <t>P032</t>
        </is>
      </c>
      <c r="C375" t="n">
        <v>80</v>
      </c>
      <c r="D375" t="n">
        <v>3</v>
      </c>
      <c r="E375" t="n">
        <v>6</v>
      </c>
      <c r="F375" t="n">
        <v>0</v>
      </c>
      <c r="G375" t="n">
        <v>0</v>
      </c>
      <c r="H375" t="n">
        <v>77</v>
      </c>
      <c r="I375" t="n">
        <v>36</v>
      </c>
      <c r="J375" t="inlineStr">
        <is>
          <t>No</t>
        </is>
      </c>
      <c r="K375" t="inlineStr">
        <is>
          <t>No</t>
        </is>
      </c>
      <c r="L375" t="inlineStr">
        <is>
          <t>North WH</t>
        </is>
      </c>
    </row>
    <row r="376">
      <c r="A376" s="4" t="n">
        <v>20250301</v>
      </c>
      <c r="B376" s="4" t="inlineStr">
        <is>
          <t>P032</t>
        </is>
      </c>
      <c r="C376" t="n">
        <v>77</v>
      </c>
      <c r="D376" t="n">
        <v>15</v>
      </c>
      <c r="E376" t="n">
        <v>1</v>
      </c>
      <c r="F376" t="n">
        <v>0</v>
      </c>
      <c r="G376" t="n">
        <v>1</v>
      </c>
      <c r="H376" t="n">
        <v>90</v>
      </c>
      <c r="I376" t="n">
        <v>36</v>
      </c>
      <c r="J376" t="inlineStr">
        <is>
          <t>No</t>
        </is>
      </c>
      <c r="K376" t="inlineStr">
        <is>
          <t>Yes</t>
        </is>
      </c>
      <c r="L376" t="inlineStr">
        <is>
          <t>Main WH</t>
        </is>
      </c>
    </row>
    <row r="377">
      <c r="A377" s="4" t="n">
        <v>20250401</v>
      </c>
      <c r="B377" s="4" t="inlineStr">
        <is>
          <t>P032</t>
        </is>
      </c>
      <c r="C377" t="n">
        <v>90</v>
      </c>
      <c r="D377" t="n">
        <v>0</v>
      </c>
      <c r="E377" t="n">
        <v>1</v>
      </c>
      <c r="F377" t="n">
        <v>0</v>
      </c>
      <c r="G377" t="n">
        <v>1</v>
      </c>
      <c r="H377" t="n">
        <v>88</v>
      </c>
      <c r="I377" t="n">
        <v>36</v>
      </c>
      <c r="J377" t="inlineStr">
        <is>
          <t>No</t>
        </is>
      </c>
      <c r="K377" t="inlineStr">
        <is>
          <t>Yes</t>
        </is>
      </c>
      <c r="L377" t="inlineStr">
        <is>
          <t>Main WH</t>
        </is>
      </c>
    </row>
    <row r="378">
      <c r="A378" s="4" t="n">
        <v>20250501</v>
      </c>
      <c r="B378" s="4" t="inlineStr">
        <is>
          <t>P032</t>
        </is>
      </c>
      <c r="C378" t="n">
        <v>88</v>
      </c>
      <c r="D378" t="n">
        <v>0</v>
      </c>
      <c r="E378" t="n">
        <v>5</v>
      </c>
      <c r="F378" t="n">
        <v>0</v>
      </c>
      <c r="G378" t="n">
        <v>1</v>
      </c>
      <c r="H378" t="n">
        <v>82</v>
      </c>
      <c r="I378" t="n">
        <v>36</v>
      </c>
      <c r="J378" t="inlineStr">
        <is>
          <t>No</t>
        </is>
      </c>
      <c r="K378" t="inlineStr">
        <is>
          <t>No</t>
        </is>
      </c>
      <c r="L378" t="inlineStr">
        <is>
          <t>Main WH</t>
        </is>
      </c>
    </row>
    <row r="379">
      <c r="A379" s="4" t="n">
        <v>20250601</v>
      </c>
      <c r="B379" s="4" t="inlineStr">
        <is>
          <t>P032</t>
        </is>
      </c>
      <c r="C379" t="n">
        <v>82</v>
      </c>
      <c r="D379" t="n">
        <v>0</v>
      </c>
      <c r="E379" t="n">
        <v>4</v>
      </c>
      <c r="F379" t="n">
        <v>0</v>
      </c>
      <c r="G379" t="n">
        <v>2</v>
      </c>
      <c r="H379" t="n">
        <v>76</v>
      </c>
      <c r="I379" t="n">
        <v>36</v>
      </c>
      <c r="J379" t="inlineStr">
        <is>
          <t>No</t>
        </is>
      </c>
      <c r="K379" t="inlineStr">
        <is>
          <t>No</t>
        </is>
      </c>
      <c r="L379" t="inlineStr">
        <is>
          <t>North WH</t>
        </is>
      </c>
    </row>
    <row r="380">
      <c r="A380" s="4" t="n">
        <v>20250701</v>
      </c>
      <c r="B380" s="4" t="inlineStr">
        <is>
          <t>P032</t>
        </is>
      </c>
      <c r="C380" t="n">
        <v>76</v>
      </c>
      <c r="D380" t="n">
        <v>10</v>
      </c>
      <c r="E380" t="n">
        <v>0</v>
      </c>
      <c r="F380" t="n">
        <v>0</v>
      </c>
      <c r="G380" t="n">
        <v>0</v>
      </c>
      <c r="H380" t="n">
        <v>86</v>
      </c>
      <c r="I380" t="n">
        <v>36</v>
      </c>
      <c r="J380" t="inlineStr">
        <is>
          <t>No</t>
        </is>
      </c>
      <c r="K380" t="inlineStr">
        <is>
          <t>Yes</t>
        </is>
      </c>
      <c r="L380" t="inlineStr">
        <is>
          <t>North WH</t>
        </is>
      </c>
    </row>
    <row r="381">
      <c r="A381" s="4" t="n">
        <v>20250801</v>
      </c>
      <c r="B381" s="4" t="inlineStr">
        <is>
          <t>P032</t>
        </is>
      </c>
      <c r="C381" t="n">
        <v>86</v>
      </c>
      <c r="D381" t="n">
        <v>5</v>
      </c>
      <c r="E381" t="n">
        <v>1</v>
      </c>
      <c r="F381" t="n">
        <v>0</v>
      </c>
      <c r="G381" t="n">
        <v>1</v>
      </c>
      <c r="H381" t="n">
        <v>89</v>
      </c>
      <c r="I381" t="n">
        <v>36</v>
      </c>
      <c r="J381" t="inlineStr">
        <is>
          <t>No</t>
        </is>
      </c>
      <c r="K381" t="inlineStr">
        <is>
          <t>Yes</t>
        </is>
      </c>
      <c r="L381" t="inlineStr">
        <is>
          <t>Main WH</t>
        </is>
      </c>
    </row>
    <row r="382">
      <c r="A382" s="4" t="n">
        <v>20250901</v>
      </c>
      <c r="B382" s="4" t="inlineStr">
        <is>
          <t>P032</t>
        </is>
      </c>
      <c r="C382" t="n">
        <v>89</v>
      </c>
      <c r="D382" t="n">
        <v>0</v>
      </c>
      <c r="E382" t="n">
        <v>2</v>
      </c>
      <c r="F382" t="n">
        <v>2</v>
      </c>
      <c r="G382" t="n">
        <v>0</v>
      </c>
      <c r="H382" t="n">
        <v>89</v>
      </c>
      <c r="I382" t="n">
        <v>36</v>
      </c>
      <c r="J382" t="inlineStr">
        <is>
          <t>No</t>
        </is>
      </c>
      <c r="K382" t="inlineStr">
        <is>
          <t>Yes</t>
        </is>
      </c>
      <c r="L382" t="inlineStr">
        <is>
          <t>North WH</t>
        </is>
      </c>
    </row>
    <row r="383">
      <c r="A383" s="4" t="n">
        <v>20251001</v>
      </c>
      <c r="B383" s="4" t="inlineStr">
        <is>
          <t>P032</t>
        </is>
      </c>
      <c r="C383" t="n">
        <v>89</v>
      </c>
      <c r="D383" t="n">
        <v>0</v>
      </c>
      <c r="E383" t="n">
        <v>1</v>
      </c>
      <c r="F383" t="n">
        <v>0</v>
      </c>
      <c r="G383" t="n">
        <v>2</v>
      </c>
      <c r="H383" t="n">
        <v>86</v>
      </c>
      <c r="I383" t="n">
        <v>36</v>
      </c>
      <c r="J383" t="inlineStr">
        <is>
          <t>No</t>
        </is>
      </c>
      <c r="K383" t="inlineStr">
        <is>
          <t>Yes</t>
        </is>
      </c>
      <c r="L383" t="inlineStr">
        <is>
          <t>Main WH</t>
        </is>
      </c>
    </row>
    <row r="384">
      <c r="A384" s="4" t="n">
        <v>20251101</v>
      </c>
      <c r="B384" s="4" t="inlineStr">
        <is>
          <t>P032</t>
        </is>
      </c>
      <c r="C384" t="n">
        <v>86</v>
      </c>
      <c r="D384" t="n">
        <v>0</v>
      </c>
      <c r="E384" t="n">
        <v>6</v>
      </c>
      <c r="F384" t="n">
        <v>2</v>
      </c>
      <c r="G384" t="n">
        <v>0</v>
      </c>
      <c r="H384" t="n">
        <v>82</v>
      </c>
      <c r="I384" t="n">
        <v>36</v>
      </c>
      <c r="J384" t="inlineStr">
        <is>
          <t>No</t>
        </is>
      </c>
      <c r="K384" t="inlineStr">
        <is>
          <t>No</t>
        </is>
      </c>
      <c r="L384" t="inlineStr">
        <is>
          <t>Main WH</t>
        </is>
      </c>
    </row>
    <row r="385">
      <c r="A385" s="4" t="n">
        <v>20251201</v>
      </c>
      <c r="B385" s="4" t="inlineStr">
        <is>
          <t>P032</t>
        </is>
      </c>
      <c r="C385" t="n">
        <v>82</v>
      </c>
      <c r="D385" t="n">
        <v>8</v>
      </c>
      <c r="E385" t="n">
        <v>2</v>
      </c>
      <c r="F385" t="n">
        <v>0</v>
      </c>
      <c r="G385" t="n">
        <v>1</v>
      </c>
      <c r="H385" t="n">
        <v>87</v>
      </c>
      <c r="I385" t="n">
        <v>36</v>
      </c>
      <c r="J385" t="inlineStr">
        <is>
          <t>No</t>
        </is>
      </c>
      <c r="K385" t="inlineStr">
        <is>
          <t>Yes</t>
        </is>
      </c>
      <c r="L385" t="inlineStr">
        <is>
          <t>North WH</t>
        </is>
      </c>
    </row>
    <row r="386">
      <c r="A386" s="4" t="n">
        <v>20250101</v>
      </c>
      <c r="B386" s="4" t="inlineStr">
        <is>
          <t>P033</t>
        </is>
      </c>
      <c r="C386" t="n">
        <v>71</v>
      </c>
      <c r="D386" t="n">
        <v>0</v>
      </c>
      <c r="E386" t="n">
        <v>0</v>
      </c>
      <c r="F386" t="n">
        <v>0</v>
      </c>
      <c r="G386" t="n">
        <v>2</v>
      </c>
      <c r="H386" t="n">
        <v>69</v>
      </c>
      <c r="I386" t="n">
        <v>24</v>
      </c>
      <c r="J386" t="inlineStr">
        <is>
          <t>No</t>
        </is>
      </c>
      <c r="K386" t="inlineStr">
        <is>
          <t>Yes</t>
        </is>
      </c>
      <c r="L386" t="inlineStr">
        <is>
          <t>North WH</t>
        </is>
      </c>
    </row>
    <row r="387">
      <c r="A387" s="4" t="n">
        <v>20250201</v>
      </c>
      <c r="B387" s="4" t="inlineStr">
        <is>
          <t>P033</t>
        </is>
      </c>
      <c r="C387" t="n">
        <v>69</v>
      </c>
      <c r="D387" t="n">
        <v>4</v>
      </c>
      <c r="E387" t="n">
        <v>1</v>
      </c>
      <c r="F387" t="n">
        <v>0</v>
      </c>
      <c r="G387" t="n">
        <v>1</v>
      </c>
      <c r="H387" t="n">
        <v>71</v>
      </c>
      <c r="I387" t="n">
        <v>24</v>
      </c>
      <c r="J387" t="inlineStr">
        <is>
          <t>No</t>
        </is>
      </c>
      <c r="K387" t="inlineStr">
        <is>
          <t>Yes</t>
        </is>
      </c>
      <c r="L387" t="inlineStr">
        <is>
          <t>North WH</t>
        </is>
      </c>
    </row>
    <row r="388">
      <c r="A388" s="4" t="n">
        <v>20250301</v>
      </c>
      <c r="B388" s="4" t="inlineStr">
        <is>
          <t>P033</t>
        </is>
      </c>
      <c r="C388" t="n">
        <v>71</v>
      </c>
      <c r="D388" t="n">
        <v>0</v>
      </c>
      <c r="E388" t="n">
        <v>1</v>
      </c>
      <c r="F388" t="n">
        <v>0</v>
      </c>
      <c r="G388" t="n">
        <v>0</v>
      </c>
      <c r="H388" t="n">
        <v>70</v>
      </c>
      <c r="I388" t="n">
        <v>24</v>
      </c>
      <c r="J388" t="inlineStr">
        <is>
          <t>No</t>
        </is>
      </c>
      <c r="K388" t="inlineStr">
        <is>
          <t>Yes</t>
        </is>
      </c>
      <c r="L388" t="inlineStr">
        <is>
          <t>Main WH</t>
        </is>
      </c>
    </row>
    <row r="389">
      <c r="A389" s="4" t="n">
        <v>20250401</v>
      </c>
      <c r="B389" s="4" t="inlineStr">
        <is>
          <t>P033</t>
        </is>
      </c>
      <c r="C389" t="n">
        <v>70</v>
      </c>
      <c r="D389" t="n">
        <v>0</v>
      </c>
      <c r="E389" t="n">
        <v>0</v>
      </c>
      <c r="F389" t="n">
        <v>0</v>
      </c>
      <c r="G389" t="n">
        <v>1</v>
      </c>
      <c r="H389" t="n">
        <v>69</v>
      </c>
      <c r="I389" t="n">
        <v>24</v>
      </c>
      <c r="J389" t="inlineStr">
        <is>
          <t>No</t>
        </is>
      </c>
      <c r="K389" t="inlineStr">
        <is>
          <t>Yes</t>
        </is>
      </c>
      <c r="L389" t="inlineStr">
        <is>
          <t>North WH</t>
        </is>
      </c>
    </row>
    <row r="390">
      <c r="A390" s="4" t="n">
        <v>20250501</v>
      </c>
      <c r="B390" s="4" t="inlineStr">
        <is>
          <t>P033</t>
        </is>
      </c>
      <c r="C390" t="n">
        <v>69</v>
      </c>
      <c r="D390" t="n">
        <v>0</v>
      </c>
      <c r="E390" t="n">
        <v>0</v>
      </c>
      <c r="F390" t="n">
        <v>0</v>
      </c>
      <c r="G390" t="n">
        <v>0</v>
      </c>
      <c r="H390" t="n">
        <v>69</v>
      </c>
      <c r="I390" t="n">
        <v>24</v>
      </c>
      <c r="J390" t="inlineStr">
        <is>
          <t>No</t>
        </is>
      </c>
      <c r="K390" t="inlineStr">
        <is>
          <t>Yes</t>
        </is>
      </c>
      <c r="L390" t="inlineStr">
        <is>
          <t>Main WH</t>
        </is>
      </c>
    </row>
    <row r="391">
      <c r="A391" s="4" t="n">
        <v>20250601</v>
      </c>
      <c r="B391" s="4" t="inlineStr">
        <is>
          <t>P033</t>
        </is>
      </c>
      <c r="C391" t="n">
        <v>69</v>
      </c>
      <c r="D391" t="n">
        <v>0</v>
      </c>
      <c r="E391" t="n">
        <v>2</v>
      </c>
      <c r="F391" t="n">
        <v>0</v>
      </c>
      <c r="G391" t="n">
        <v>2</v>
      </c>
      <c r="H391" t="n">
        <v>65</v>
      </c>
      <c r="I391" t="n">
        <v>24</v>
      </c>
      <c r="J391" t="inlineStr">
        <is>
          <t>No</t>
        </is>
      </c>
      <c r="K391" t="inlineStr">
        <is>
          <t>Yes</t>
        </is>
      </c>
      <c r="L391" t="inlineStr">
        <is>
          <t>Main WH</t>
        </is>
      </c>
    </row>
    <row r="392">
      <c r="A392" s="4" t="n">
        <v>20250701</v>
      </c>
      <c r="B392" s="4" t="inlineStr">
        <is>
          <t>P033</t>
        </is>
      </c>
      <c r="C392" t="n">
        <v>65</v>
      </c>
      <c r="D392" t="n">
        <v>2</v>
      </c>
      <c r="E392" t="n">
        <v>1</v>
      </c>
      <c r="F392" t="n">
        <v>0</v>
      </c>
      <c r="G392" t="n">
        <v>0</v>
      </c>
      <c r="H392" t="n">
        <v>66</v>
      </c>
      <c r="I392" t="n">
        <v>24</v>
      </c>
      <c r="J392" t="inlineStr">
        <is>
          <t>No</t>
        </is>
      </c>
      <c r="K392" t="inlineStr">
        <is>
          <t>Yes</t>
        </is>
      </c>
      <c r="L392" t="inlineStr">
        <is>
          <t>North WH</t>
        </is>
      </c>
    </row>
    <row r="393">
      <c r="A393" s="4" t="n">
        <v>20250801</v>
      </c>
      <c r="B393" s="4" t="inlineStr">
        <is>
          <t>P033</t>
        </is>
      </c>
      <c r="C393" t="n">
        <v>66</v>
      </c>
      <c r="D393" t="n">
        <v>9</v>
      </c>
      <c r="E393" t="n">
        <v>5</v>
      </c>
      <c r="F393" t="n">
        <v>0</v>
      </c>
      <c r="G393" t="n">
        <v>1</v>
      </c>
      <c r="H393" t="n">
        <v>69</v>
      </c>
      <c r="I393" t="n">
        <v>24</v>
      </c>
      <c r="J393" t="inlineStr">
        <is>
          <t>No</t>
        </is>
      </c>
      <c r="K393" t="inlineStr">
        <is>
          <t>Yes</t>
        </is>
      </c>
      <c r="L393" t="inlineStr">
        <is>
          <t>Main WH</t>
        </is>
      </c>
    </row>
    <row r="394">
      <c r="A394" s="4" t="n">
        <v>20250901</v>
      </c>
      <c r="B394" s="4" t="inlineStr">
        <is>
          <t>P033</t>
        </is>
      </c>
      <c r="C394" t="n">
        <v>69</v>
      </c>
      <c r="D394" t="n">
        <v>0</v>
      </c>
      <c r="E394" t="n">
        <v>6</v>
      </c>
      <c r="F394" t="n">
        <v>1</v>
      </c>
      <c r="G394" t="n">
        <v>0</v>
      </c>
      <c r="H394" t="n">
        <v>64</v>
      </c>
      <c r="I394" t="n">
        <v>24</v>
      </c>
      <c r="J394" t="inlineStr">
        <is>
          <t>No</t>
        </is>
      </c>
      <c r="K394" t="inlineStr">
        <is>
          <t>Yes</t>
        </is>
      </c>
      <c r="L394" t="inlineStr">
        <is>
          <t>North WH</t>
        </is>
      </c>
    </row>
    <row r="395">
      <c r="A395" s="4" t="n">
        <v>20251001</v>
      </c>
      <c r="B395" s="4" t="inlineStr">
        <is>
          <t>P033</t>
        </is>
      </c>
      <c r="C395" t="n">
        <v>64</v>
      </c>
      <c r="D395" t="n">
        <v>6</v>
      </c>
      <c r="E395" t="n">
        <v>3</v>
      </c>
      <c r="F395" t="n">
        <v>0</v>
      </c>
      <c r="G395" t="n">
        <v>2</v>
      </c>
      <c r="H395" t="n">
        <v>65</v>
      </c>
      <c r="I395" t="n">
        <v>24</v>
      </c>
      <c r="J395" t="inlineStr">
        <is>
          <t>No</t>
        </is>
      </c>
      <c r="K395" t="inlineStr">
        <is>
          <t>Yes</t>
        </is>
      </c>
      <c r="L395" t="inlineStr">
        <is>
          <t>North WH</t>
        </is>
      </c>
    </row>
    <row r="396">
      <c r="A396" s="4" t="n">
        <v>20251101</v>
      </c>
      <c r="B396" s="4" t="inlineStr">
        <is>
          <t>P033</t>
        </is>
      </c>
      <c r="C396" t="n">
        <v>65</v>
      </c>
      <c r="D396" t="n">
        <v>11</v>
      </c>
      <c r="E396" t="n">
        <v>3</v>
      </c>
      <c r="F396" t="n">
        <v>0</v>
      </c>
      <c r="G396" t="n">
        <v>0</v>
      </c>
      <c r="H396" t="n">
        <v>73</v>
      </c>
      <c r="I396" t="n">
        <v>24</v>
      </c>
      <c r="J396" t="inlineStr">
        <is>
          <t>No</t>
        </is>
      </c>
      <c r="K396" t="inlineStr">
        <is>
          <t>Yes</t>
        </is>
      </c>
      <c r="L396" t="inlineStr">
        <is>
          <t>Main WH</t>
        </is>
      </c>
    </row>
    <row r="397">
      <c r="A397" s="4" t="n">
        <v>20251201</v>
      </c>
      <c r="B397" s="4" t="inlineStr">
        <is>
          <t>P033</t>
        </is>
      </c>
      <c r="C397" t="n">
        <v>73</v>
      </c>
      <c r="D397" t="n">
        <v>7</v>
      </c>
      <c r="E397" t="n">
        <v>3</v>
      </c>
      <c r="F397" t="n">
        <v>1</v>
      </c>
      <c r="G397" t="n">
        <v>1</v>
      </c>
      <c r="H397" t="n">
        <v>77</v>
      </c>
      <c r="I397" t="n">
        <v>24</v>
      </c>
      <c r="J397" t="inlineStr">
        <is>
          <t>No</t>
        </is>
      </c>
      <c r="K397" t="inlineStr">
        <is>
          <t>Yes</t>
        </is>
      </c>
      <c r="L397" t="inlineStr">
        <is>
          <t>North WH</t>
        </is>
      </c>
    </row>
    <row r="398">
      <c r="A398" s="4" t="n">
        <v>20250101</v>
      </c>
      <c r="B398" s="4" t="inlineStr">
        <is>
          <t>P034</t>
        </is>
      </c>
      <c r="C398" t="n">
        <v>57</v>
      </c>
      <c r="D398" t="n">
        <v>30</v>
      </c>
      <c r="E398" t="n">
        <v>6</v>
      </c>
      <c r="F398" t="n">
        <v>0</v>
      </c>
      <c r="G398" t="n">
        <v>0</v>
      </c>
      <c r="H398" t="n">
        <v>81</v>
      </c>
      <c r="I398" t="n">
        <v>36</v>
      </c>
      <c r="J398" t="inlineStr">
        <is>
          <t>No</t>
        </is>
      </c>
      <c r="K398" t="inlineStr">
        <is>
          <t>No</t>
        </is>
      </c>
      <c r="L398" t="inlineStr">
        <is>
          <t>Main WH</t>
        </is>
      </c>
    </row>
    <row r="399">
      <c r="A399" s="4" t="n">
        <v>20250201</v>
      </c>
      <c r="B399" s="4" t="inlineStr">
        <is>
          <t>P034</t>
        </is>
      </c>
      <c r="C399" t="n">
        <v>81</v>
      </c>
      <c r="D399" t="n">
        <v>6</v>
      </c>
      <c r="E399" t="n">
        <v>0</v>
      </c>
      <c r="F399" t="n">
        <v>0</v>
      </c>
      <c r="G399" t="n">
        <v>0</v>
      </c>
      <c r="H399" t="n">
        <v>87</v>
      </c>
      <c r="I399" t="n">
        <v>36</v>
      </c>
      <c r="J399" t="inlineStr">
        <is>
          <t>No</t>
        </is>
      </c>
      <c r="K399" t="inlineStr">
        <is>
          <t>Yes</t>
        </is>
      </c>
      <c r="L399" t="inlineStr">
        <is>
          <t>North WH</t>
        </is>
      </c>
    </row>
    <row r="400">
      <c r="A400" s="4" t="n">
        <v>20250301</v>
      </c>
      <c r="B400" s="4" t="inlineStr">
        <is>
          <t>P034</t>
        </is>
      </c>
      <c r="C400" t="n">
        <v>87</v>
      </c>
      <c r="D400" t="n">
        <v>0</v>
      </c>
      <c r="E400" t="n">
        <v>2</v>
      </c>
      <c r="F400" t="n">
        <v>0</v>
      </c>
      <c r="G400" t="n">
        <v>1</v>
      </c>
      <c r="H400" t="n">
        <v>84</v>
      </c>
      <c r="I400" t="n">
        <v>36</v>
      </c>
      <c r="J400" t="inlineStr">
        <is>
          <t>No</t>
        </is>
      </c>
      <c r="K400" t="inlineStr">
        <is>
          <t>Yes</t>
        </is>
      </c>
      <c r="L400" t="inlineStr">
        <is>
          <t>North WH</t>
        </is>
      </c>
    </row>
    <row r="401">
      <c r="A401" s="4" t="n">
        <v>20250401</v>
      </c>
      <c r="B401" s="4" t="inlineStr">
        <is>
          <t>P034</t>
        </is>
      </c>
      <c r="C401" t="n">
        <v>84</v>
      </c>
      <c r="D401" t="n">
        <v>6</v>
      </c>
      <c r="E401" t="n">
        <v>3</v>
      </c>
      <c r="F401" t="n">
        <v>1</v>
      </c>
      <c r="G401" t="n">
        <v>0</v>
      </c>
      <c r="H401" t="n">
        <v>88</v>
      </c>
      <c r="I401" t="n">
        <v>36</v>
      </c>
      <c r="J401" t="inlineStr">
        <is>
          <t>No</t>
        </is>
      </c>
      <c r="K401" t="inlineStr">
        <is>
          <t>Yes</t>
        </is>
      </c>
      <c r="L401" t="inlineStr">
        <is>
          <t>Main WH</t>
        </is>
      </c>
    </row>
    <row r="402">
      <c r="A402" s="4" t="n">
        <v>20250501</v>
      </c>
      <c r="B402" s="4" t="inlineStr">
        <is>
          <t>P034</t>
        </is>
      </c>
      <c r="C402" t="n">
        <v>88</v>
      </c>
      <c r="D402" t="n">
        <v>7</v>
      </c>
      <c r="E402" t="n">
        <v>7</v>
      </c>
      <c r="F402" t="n">
        <v>0</v>
      </c>
      <c r="G402" t="n">
        <v>1</v>
      </c>
      <c r="H402" t="n">
        <v>87</v>
      </c>
      <c r="I402" t="n">
        <v>36</v>
      </c>
      <c r="J402" t="inlineStr">
        <is>
          <t>No</t>
        </is>
      </c>
      <c r="K402" t="inlineStr">
        <is>
          <t>Yes</t>
        </is>
      </c>
      <c r="L402" t="inlineStr">
        <is>
          <t>North WH</t>
        </is>
      </c>
    </row>
    <row r="403">
      <c r="A403" s="4" t="n">
        <v>20250601</v>
      </c>
      <c r="B403" s="4" t="inlineStr">
        <is>
          <t>P034</t>
        </is>
      </c>
      <c r="C403" t="n">
        <v>87</v>
      </c>
      <c r="D403" t="n">
        <v>0</v>
      </c>
      <c r="E403" t="n">
        <v>3</v>
      </c>
      <c r="F403" t="n">
        <v>0</v>
      </c>
      <c r="G403" t="n">
        <v>2</v>
      </c>
      <c r="H403" t="n">
        <v>82</v>
      </c>
      <c r="I403" t="n">
        <v>36</v>
      </c>
      <c r="J403" t="inlineStr">
        <is>
          <t>No</t>
        </is>
      </c>
      <c r="K403" t="inlineStr">
        <is>
          <t>No</t>
        </is>
      </c>
      <c r="L403" t="inlineStr">
        <is>
          <t>North WH</t>
        </is>
      </c>
    </row>
    <row r="404">
      <c r="A404" s="4" t="n">
        <v>20250701</v>
      </c>
      <c r="B404" s="4" t="inlineStr">
        <is>
          <t>P034</t>
        </is>
      </c>
      <c r="C404" t="n">
        <v>82</v>
      </c>
      <c r="D404" t="n">
        <v>0</v>
      </c>
      <c r="E404" t="n">
        <v>2</v>
      </c>
      <c r="F404" t="n">
        <v>0</v>
      </c>
      <c r="G404" t="n">
        <v>0</v>
      </c>
      <c r="H404" t="n">
        <v>80</v>
      </c>
      <c r="I404" t="n">
        <v>36</v>
      </c>
      <c r="J404" t="inlineStr">
        <is>
          <t>No</t>
        </is>
      </c>
      <c r="K404" t="inlineStr">
        <is>
          <t>No</t>
        </is>
      </c>
      <c r="L404" t="inlineStr">
        <is>
          <t>North WH</t>
        </is>
      </c>
    </row>
    <row r="405">
      <c r="A405" s="4" t="n">
        <v>20250801</v>
      </c>
      <c r="B405" s="4" t="inlineStr">
        <is>
          <t>P034</t>
        </is>
      </c>
      <c r="C405" t="n">
        <v>80</v>
      </c>
      <c r="D405" t="n">
        <v>10</v>
      </c>
      <c r="E405" t="n">
        <v>5</v>
      </c>
      <c r="F405" t="n">
        <v>0</v>
      </c>
      <c r="G405" t="n">
        <v>1</v>
      </c>
      <c r="H405" t="n">
        <v>84</v>
      </c>
      <c r="I405" t="n">
        <v>36</v>
      </c>
      <c r="J405" t="inlineStr">
        <is>
          <t>No</t>
        </is>
      </c>
      <c r="K405" t="inlineStr">
        <is>
          <t>Yes</t>
        </is>
      </c>
      <c r="L405" t="inlineStr">
        <is>
          <t>Main WH</t>
        </is>
      </c>
    </row>
    <row r="406">
      <c r="A406" s="4" t="n">
        <v>20250901</v>
      </c>
      <c r="B406" s="4" t="inlineStr">
        <is>
          <t>P034</t>
        </is>
      </c>
      <c r="C406" t="n">
        <v>84</v>
      </c>
      <c r="D406" t="n">
        <v>0</v>
      </c>
      <c r="E406" t="n">
        <v>1</v>
      </c>
      <c r="F406" t="n">
        <v>0</v>
      </c>
      <c r="G406" t="n">
        <v>1</v>
      </c>
      <c r="H406" t="n">
        <v>82</v>
      </c>
      <c r="I406" t="n">
        <v>36</v>
      </c>
      <c r="J406" t="inlineStr">
        <is>
          <t>No</t>
        </is>
      </c>
      <c r="K406" t="inlineStr">
        <is>
          <t>No</t>
        </is>
      </c>
      <c r="L406" t="inlineStr">
        <is>
          <t>Main WH</t>
        </is>
      </c>
    </row>
    <row r="407">
      <c r="A407" s="4" t="n">
        <v>20251001</v>
      </c>
      <c r="B407" s="4" t="inlineStr">
        <is>
          <t>P034</t>
        </is>
      </c>
      <c r="C407" t="n">
        <v>82</v>
      </c>
      <c r="D407" t="n">
        <v>4</v>
      </c>
      <c r="E407" t="n">
        <v>4</v>
      </c>
      <c r="F407" t="n">
        <v>0</v>
      </c>
      <c r="G407" t="n">
        <v>1</v>
      </c>
      <c r="H407" t="n">
        <v>81</v>
      </c>
      <c r="I407" t="n">
        <v>36</v>
      </c>
      <c r="J407" t="inlineStr">
        <is>
          <t>No</t>
        </is>
      </c>
      <c r="K407" t="inlineStr">
        <is>
          <t>No</t>
        </is>
      </c>
      <c r="L407" t="inlineStr">
        <is>
          <t>Main WH</t>
        </is>
      </c>
    </row>
    <row r="408">
      <c r="A408" s="4" t="n">
        <v>20251101</v>
      </c>
      <c r="B408" s="4" t="inlineStr">
        <is>
          <t>P034</t>
        </is>
      </c>
      <c r="C408" t="n">
        <v>81</v>
      </c>
      <c r="D408" t="n">
        <v>0</v>
      </c>
      <c r="E408" t="n">
        <v>1</v>
      </c>
      <c r="F408" t="n">
        <v>0</v>
      </c>
      <c r="G408" t="n">
        <v>2</v>
      </c>
      <c r="H408" t="n">
        <v>78</v>
      </c>
      <c r="I408" t="n">
        <v>36</v>
      </c>
      <c r="J408" t="inlineStr">
        <is>
          <t>No</t>
        </is>
      </c>
      <c r="K408" t="inlineStr">
        <is>
          <t>No</t>
        </is>
      </c>
      <c r="L408" t="inlineStr">
        <is>
          <t>Main WH</t>
        </is>
      </c>
    </row>
    <row r="409">
      <c r="A409" s="4" t="n">
        <v>20251201</v>
      </c>
      <c r="B409" s="4" t="inlineStr">
        <is>
          <t>P034</t>
        </is>
      </c>
      <c r="C409" t="n">
        <v>78</v>
      </c>
      <c r="D409" t="n">
        <v>12</v>
      </c>
      <c r="E409" t="n">
        <v>4</v>
      </c>
      <c r="F409" t="n">
        <v>0</v>
      </c>
      <c r="G409" t="n">
        <v>1</v>
      </c>
      <c r="H409" t="n">
        <v>85</v>
      </c>
      <c r="I409" t="n">
        <v>36</v>
      </c>
      <c r="J409" t="inlineStr">
        <is>
          <t>No</t>
        </is>
      </c>
      <c r="K409" t="inlineStr">
        <is>
          <t>Yes</t>
        </is>
      </c>
      <c r="L409" t="inlineStr">
        <is>
          <t>North WH</t>
        </is>
      </c>
    </row>
    <row r="410">
      <c r="A410" s="4" t="n">
        <v>20250101</v>
      </c>
      <c r="B410" s="4" t="inlineStr">
        <is>
          <t>P035</t>
        </is>
      </c>
      <c r="C410" t="n">
        <v>75</v>
      </c>
      <c r="D410" t="n">
        <v>0</v>
      </c>
      <c r="E410" t="n">
        <v>3</v>
      </c>
      <c r="F410" t="n">
        <v>0</v>
      </c>
      <c r="G410" t="n">
        <v>2</v>
      </c>
      <c r="H410" t="n">
        <v>70</v>
      </c>
      <c r="I410" t="n">
        <v>24</v>
      </c>
      <c r="J410" t="inlineStr">
        <is>
          <t>No</t>
        </is>
      </c>
      <c r="K410" t="inlineStr">
        <is>
          <t>Yes</t>
        </is>
      </c>
      <c r="L410" t="inlineStr">
        <is>
          <t>North WH</t>
        </is>
      </c>
    </row>
    <row r="411">
      <c r="A411" s="4" t="n">
        <v>20250201</v>
      </c>
      <c r="B411" s="4" t="inlineStr">
        <is>
          <t>P035</t>
        </is>
      </c>
      <c r="C411" t="n">
        <v>70</v>
      </c>
      <c r="D411" t="n">
        <v>9</v>
      </c>
      <c r="E411" t="n">
        <v>2</v>
      </c>
      <c r="F411" t="n">
        <v>0</v>
      </c>
      <c r="G411" t="n">
        <v>2</v>
      </c>
      <c r="H411" t="n">
        <v>75</v>
      </c>
      <c r="I411" t="n">
        <v>24</v>
      </c>
      <c r="J411" t="inlineStr">
        <is>
          <t>No</t>
        </is>
      </c>
      <c r="K411" t="inlineStr">
        <is>
          <t>Yes</t>
        </is>
      </c>
      <c r="L411" t="inlineStr">
        <is>
          <t>North WH</t>
        </is>
      </c>
    </row>
    <row r="412">
      <c r="A412" s="4" t="n">
        <v>20250301</v>
      </c>
      <c r="B412" s="4" t="inlineStr">
        <is>
          <t>P035</t>
        </is>
      </c>
      <c r="C412" t="n">
        <v>75</v>
      </c>
      <c r="D412" t="n">
        <v>6</v>
      </c>
      <c r="E412" t="n">
        <v>2</v>
      </c>
      <c r="F412" t="n">
        <v>0</v>
      </c>
      <c r="G412" t="n">
        <v>0</v>
      </c>
      <c r="H412" t="n">
        <v>79</v>
      </c>
      <c r="I412" t="n">
        <v>24</v>
      </c>
      <c r="J412" t="inlineStr">
        <is>
          <t>No</t>
        </is>
      </c>
      <c r="K412" t="inlineStr">
        <is>
          <t>Yes</t>
        </is>
      </c>
      <c r="L412" t="inlineStr">
        <is>
          <t>North WH</t>
        </is>
      </c>
    </row>
    <row r="413">
      <c r="A413" s="4" t="n">
        <v>20250401</v>
      </c>
      <c r="B413" s="4" t="inlineStr">
        <is>
          <t>P035</t>
        </is>
      </c>
      <c r="C413" t="n">
        <v>79</v>
      </c>
      <c r="D413" t="n">
        <v>0</v>
      </c>
      <c r="E413" t="n">
        <v>2</v>
      </c>
      <c r="F413" t="n">
        <v>0</v>
      </c>
      <c r="G413" t="n">
        <v>0</v>
      </c>
      <c r="H413" t="n">
        <v>77</v>
      </c>
      <c r="I413" t="n">
        <v>24</v>
      </c>
      <c r="J413" t="inlineStr">
        <is>
          <t>No</t>
        </is>
      </c>
      <c r="K413" t="inlineStr">
        <is>
          <t>Yes</t>
        </is>
      </c>
      <c r="L413" t="inlineStr">
        <is>
          <t>Main WH</t>
        </is>
      </c>
    </row>
    <row r="414">
      <c r="A414" s="4" t="n">
        <v>20250501</v>
      </c>
      <c r="B414" s="4" t="inlineStr">
        <is>
          <t>P035</t>
        </is>
      </c>
      <c r="C414" t="n">
        <v>77</v>
      </c>
      <c r="D414" t="n">
        <v>5</v>
      </c>
      <c r="E414" t="n">
        <v>4</v>
      </c>
      <c r="F414" t="n">
        <v>0</v>
      </c>
      <c r="G414" t="n">
        <v>0</v>
      </c>
      <c r="H414" t="n">
        <v>78</v>
      </c>
      <c r="I414" t="n">
        <v>24</v>
      </c>
      <c r="J414" t="inlineStr">
        <is>
          <t>No</t>
        </is>
      </c>
      <c r="K414" t="inlineStr">
        <is>
          <t>Yes</t>
        </is>
      </c>
      <c r="L414" t="inlineStr">
        <is>
          <t>North WH</t>
        </is>
      </c>
    </row>
    <row r="415">
      <c r="A415" s="4" t="n">
        <v>20250601</v>
      </c>
      <c r="B415" s="4" t="inlineStr">
        <is>
          <t>P035</t>
        </is>
      </c>
      <c r="C415" t="n">
        <v>78</v>
      </c>
      <c r="D415" t="n">
        <v>0</v>
      </c>
      <c r="E415" t="n">
        <v>9</v>
      </c>
      <c r="F415" t="n">
        <v>1</v>
      </c>
      <c r="G415" t="n">
        <v>0</v>
      </c>
      <c r="H415" t="n">
        <v>70</v>
      </c>
      <c r="I415" t="n">
        <v>24</v>
      </c>
      <c r="J415" t="inlineStr">
        <is>
          <t>No</t>
        </is>
      </c>
      <c r="K415" t="inlineStr">
        <is>
          <t>Yes</t>
        </is>
      </c>
      <c r="L415" t="inlineStr">
        <is>
          <t>North WH</t>
        </is>
      </c>
    </row>
    <row r="416">
      <c r="A416" s="4" t="n">
        <v>20250701</v>
      </c>
      <c r="B416" s="4" t="inlineStr">
        <is>
          <t>P035</t>
        </is>
      </c>
      <c r="C416" t="n">
        <v>70</v>
      </c>
      <c r="D416" t="n">
        <v>12</v>
      </c>
      <c r="E416" t="n">
        <v>6</v>
      </c>
      <c r="F416" t="n">
        <v>0</v>
      </c>
      <c r="G416" t="n">
        <v>2</v>
      </c>
      <c r="H416" t="n">
        <v>74</v>
      </c>
      <c r="I416" t="n">
        <v>24</v>
      </c>
      <c r="J416" t="inlineStr">
        <is>
          <t>No</t>
        </is>
      </c>
      <c r="K416" t="inlineStr">
        <is>
          <t>Yes</t>
        </is>
      </c>
      <c r="L416" t="inlineStr">
        <is>
          <t>Main WH</t>
        </is>
      </c>
    </row>
    <row r="417">
      <c r="A417" s="4" t="n">
        <v>20250801</v>
      </c>
      <c r="B417" s="4" t="inlineStr">
        <is>
          <t>P035</t>
        </is>
      </c>
      <c r="C417" t="n">
        <v>74</v>
      </c>
      <c r="D417" t="n">
        <v>0</v>
      </c>
      <c r="E417" t="n">
        <v>1</v>
      </c>
      <c r="F417" t="n">
        <v>0</v>
      </c>
      <c r="G417" t="n">
        <v>1</v>
      </c>
      <c r="H417" t="n">
        <v>72</v>
      </c>
      <c r="I417" t="n">
        <v>24</v>
      </c>
      <c r="J417" t="inlineStr">
        <is>
          <t>No</t>
        </is>
      </c>
      <c r="K417" t="inlineStr">
        <is>
          <t>Yes</t>
        </is>
      </c>
      <c r="L417" t="inlineStr">
        <is>
          <t>North WH</t>
        </is>
      </c>
    </row>
    <row r="418">
      <c r="A418" s="4" t="n">
        <v>20250901</v>
      </c>
      <c r="B418" s="4" t="inlineStr">
        <is>
          <t>P035</t>
        </is>
      </c>
      <c r="C418" t="n">
        <v>72</v>
      </c>
      <c r="D418" t="n">
        <v>0</v>
      </c>
      <c r="E418" t="n">
        <v>6</v>
      </c>
      <c r="F418" t="n">
        <v>0</v>
      </c>
      <c r="G418" t="n">
        <v>1</v>
      </c>
      <c r="H418" t="n">
        <v>65</v>
      </c>
      <c r="I418" t="n">
        <v>24</v>
      </c>
      <c r="J418" t="inlineStr">
        <is>
          <t>No</t>
        </is>
      </c>
      <c r="K418" t="inlineStr">
        <is>
          <t>Yes</t>
        </is>
      </c>
      <c r="L418" t="inlineStr">
        <is>
          <t>North WH</t>
        </is>
      </c>
    </row>
    <row r="419">
      <c r="A419" s="4" t="n">
        <v>20251001</v>
      </c>
      <c r="B419" s="4" t="inlineStr">
        <is>
          <t>P035</t>
        </is>
      </c>
      <c r="C419" t="n">
        <v>65</v>
      </c>
      <c r="D419" t="n">
        <v>0</v>
      </c>
      <c r="E419" t="n">
        <v>4</v>
      </c>
      <c r="F419" t="n">
        <v>1</v>
      </c>
      <c r="G419" t="n">
        <v>0</v>
      </c>
      <c r="H419" t="n">
        <v>62</v>
      </c>
      <c r="I419" t="n">
        <v>24</v>
      </c>
      <c r="J419" t="inlineStr">
        <is>
          <t>No</t>
        </is>
      </c>
      <c r="K419" t="inlineStr">
        <is>
          <t>Yes</t>
        </is>
      </c>
      <c r="L419" t="inlineStr">
        <is>
          <t>Main WH</t>
        </is>
      </c>
    </row>
    <row r="420">
      <c r="A420" s="4" t="n">
        <v>20251101</v>
      </c>
      <c r="B420" s="4" t="inlineStr">
        <is>
          <t>P035</t>
        </is>
      </c>
      <c r="C420" t="n">
        <v>62</v>
      </c>
      <c r="D420" t="n">
        <v>22</v>
      </c>
      <c r="E420" t="n">
        <v>8</v>
      </c>
      <c r="F420" t="n">
        <v>0</v>
      </c>
      <c r="G420" t="n">
        <v>0</v>
      </c>
      <c r="H420" t="n">
        <v>76</v>
      </c>
      <c r="I420" t="n">
        <v>24</v>
      </c>
      <c r="J420" t="inlineStr">
        <is>
          <t>No</t>
        </is>
      </c>
      <c r="K420" t="inlineStr">
        <is>
          <t>Yes</t>
        </is>
      </c>
      <c r="L420" t="inlineStr">
        <is>
          <t>North WH</t>
        </is>
      </c>
    </row>
    <row r="421">
      <c r="A421" s="4" t="n">
        <v>20251201</v>
      </c>
      <c r="B421" s="4" t="inlineStr">
        <is>
          <t>P035</t>
        </is>
      </c>
      <c r="C421" t="n">
        <v>76</v>
      </c>
      <c r="D421" t="n">
        <v>6</v>
      </c>
      <c r="E421" t="n">
        <v>6</v>
      </c>
      <c r="F421" t="n">
        <v>0</v>
      </c>
      <c r="G421" t="n">
        <v>0</v>
      </c>
      <c r="H421" t="n">
        <v>76</v>
      </c>
      <c r="I421" t="n">
        <v>24</v>
      </c>
      <c r="J421" t="inlineStr">
        <is>
          <t>No</t>
        </is>
      </c>
      <c r="K421" t="inlineStr">
        <is>
          <t>Yes</t>
        </is>
      </c>
      <c r="L421" t="inlineStr">
        <is>
          <t>Main WH</t>
        </is>
      </c>
    </row>
    <row r="422">
      <c r="A422" s="4" t="n">
        <v>20250101</v>
      </c>
      <c r="B422" s="4" t="inlineStr">
        <is>
          <t>P036</t>
        </is>
      </c>
      <c r="C422" t="n">
        <v>80</v>
      </c>
      <c r="D422" t="n">
        <v>0</v>
      </c>
      <c r="E422" t="n">
        <v>4</v>
      </c>
      <c r="F422" t="n">
        <v>0</v>
      </c>
      <c r="G422" t="n">
        <v>1</v>
      </c>
      <c r="H422" t="n">
        <v>75</v>
      </c>
      <c r="I422" t="n">
        <v>30</v>
      </c>
      <c r="J422" t="inlineStr">
        <is>
          <t>No</t>
        </is>
      </c>
      <c r="K422" t="inlineStr">
        <is>
          <t>Yes</t>
        </is>
      </c>
      <c r="L422" t="inlineStr">
        <is>
          <t>Main WH</t>
        </is>
      </c>
    </row>
    <row r="423">
      <c r="A423" s="4" t="n">
        <v>20250201</v>
      </c>
      <c r="B423" s="4" t="inlineStr">
        <is>
          <t>P036</t>
        </is>
      </c>
      <c r="C423" t="n">
        <v>75</v>
      </c>
      <c r="D423" t="n">
        <v>9</v>
      </c>
      <c r="E423" t="n">
        <v>2</v>
      </c>
      <c r="F423" t="n">
        <v>0</v>
      </c>
      <c r="G423" t="n">
        <v>1</v>
      </c>
      <c r="H423" t="n">
        <v>81</v>
      </c>
      <c r="I423" t="n">
        <v>30</v>
      </c>
      <c r="J423" t="inlineStr">
        <is>
          <t>No</t>
        </is>
      </c>
      <c r="K423" t="inlineStr">
        <is>
          <t>Yes</t>
        </is>
      </c>
      <c r="L423" t="inlineStr">
        <is>
          <t>Main WH</t>
        </is>
      </c>
    </row>
    <row r="424">
      <c r="A424" s="4" t="n">
        <v>20250301</v>
      </c>
      <c r="B424" s="4" t="inlineStr">
        <is>
          <t>P036</t>
        </is>
      </c>
      <c r="C424" t="n">
        <v>81</v>
      </c>
      <c r="D424" t="n">
        <v>0</v>
      </c>
      <c r="E424" t="n">
        <v>1</v>
      </c>
      <c r="F424" t="n">
        <v>0</v>
      </c>
      <c r="G424" t="n">
        <v>1</v>
      </c>
      <c r="H424" t="n">
        <v>79</v>
      </c>
      <c r="I424" t="n">
        <v>30</v>
      </c>
      <c r="J424" t="inlineStr">
        <is>
          <t>No</t>
        </is>
      </c>
      <c r="K424" t="inlineStr">
        <is>
          <t>Yes</t>
        </is>
      </c>
      <c r="L424" t="inlineStr">
        <is>
          <t>Main WH</t>
        </is>
      </c>
    </row>
    <row r="425">
      <c r="A425" s="4" t="n">
        <v>20250401</v>
      </c>
      <c r="B425" s="4" t="inlineStr">
        <is>
          <t>P036</t>
        </is>
      </c>
      <c r="C425" t="n">
        <v>79</v>
      </c>
      <c r="D425" t="n">
        <v>0</v>
      </c>
      <c r="E425" t="n">
        <v>2</v>
      </c>
      <c r="F425" t="n">
        <v>0</v>
      </c>
      <c r="G425" t="n">
        <v>0</v>
      </c>
      <c r="H425" t="n">
        <v>77</v>
      </c>
      <c r="I425" t="n">
        <v>30</v>
      </c>
      <c r="J425" t="inlineStr">
        <is>
          <t>No</t>
        </is>
      </c>
      <c r="K425" t="inlineStr">
        <is>
          <t>Yes</t>
        </is>
      </c>
      <c r="L425" t="inlineStr">
        <is>
          <t>Main WH</t>
        </is>
      </c>
    </row>
    <row r="426">
      <c r="A426" s="4" t="n">
        <v>20250501</v>
      </c>
      <c r="B426" s="4" t="inlineStr">
        <is>
          <t>P036</t>
        </is>
      </c>
      <c r="C426" t="n">
        <v>77</v>
      </c>
      <c r="D426" t="n">
        <v>0</v>
      </c>
      <c r="E426" t="n">
        <v>1</v>
      </c>
      <c r="F426" t="n">
        <v>1</v>
      </c>
      <c r="G426" t="n">
        <v>2</v>
      </c>
      <c r="H426" t="n">
        <v>75</v>
      </c>
      <c r="I426" t="n">
        <v>30</v>
      </c>
      <c r="J426" t="inlineStr">
        <is>
          <t>No</t>
        </is>
      </c>
      <c r="K426" t="inlineStr">
        <is>
          <t>Yes</t>
        </is>
      </c>
      <c r="L426" t="inlineStr">
        <is>
          <t>North WH</t>
        </is>
      </c>
    </row>
    <row r="427">
      <c r="A427" s="4" t="n">
        <v>20250601</v>
      </c>
      <c r="B427" s="4" t="inlineStr">
        <is>
          <t>P036</t>
        </is>
      </c>
      <c r="C427" t="n">
        <v>75</v>
      </c>
      <c r="D427" t="n">
        <v>12</v>
      </c>
      <c r="E427" t="n">
        <v>5</v>
      </c>
      <c r="F427" t="n">
        <v>0</v>
      </c>
      <c r="G427" t="n">
        <v>0</v>
      </c>
      <c r="H427" t="n">
        <v>82</v>
      </c>
      <c r="I427" t="n">
        <v>30</v>
      </c>
      <c r="J427" t="inlineStr">
        <is>
          <t>No</t>
        </is>
      </c>
      <c r="K427" t="inlineStr">
        <is>
          <t>Yes</t>
        </is>
      </c>
      <c r="L427" t="inlineStr">
        <is>
          <t>Main WH</t>
        </is>
      </c>
    </row>
    <row r="428">
      <c r="A428" s="4" t="n">
        <v>20250701</v>
      </c>
      <c r="B428" s="4" t="inlineStr">
        <is>
          <t>P036</t>
        </is>
      </c>
      <c r="C428" t="n">
        <v>82</v>
      </c>
      <c r="D428" t="n">
        <v>0</v>
      </c>
      <c r="E428" t="n">
        <v>0</v>
      </c>
      <c r="F428" t="n">
        <v>0</v>
      </c>
      <c r="G428" t="n">
        <v>0</v>
      </c>
      <c r="H428" t="n">
        <v>82</v>
      </c>
      <c r="I428" t="n">
        <v>30</v>
      </c>
      <c r="J428" t="inlineStr">
        <is>
          <t>No</t>
        </is>
      </c>
      <c r="K428" t="inlineStr">
        <is>
          <t>Yes</t>
        </is>
      </c>
      <c r="L428" t="inlineStr">
        <is>
          <t>North WH</t>
        </is>
      </c>
    </row>
    <row r="429">
      <c r="A429" s="4" t="n">
        <v>20250801</v>
      </c>
      <c r="B429" s="4" t="inlineStr">
        <is>
          <t>P036</t>
        </is>
      </c>
      <c r="C429" t="n">
        <v>82</v>
      </c>
      <c r="D429" t="n">
        <v>1</v>
      </c>
      <c r="E429" t="n">
        <v>2</v>
      </c>
      <c r="F429" t="n">
        <v>0</v>
      </c>
      <c r="G429" t="n">
        <v>0</v>
      </c>
      <c r="H429" t="n">
        <v>81</v>
      </c>
      <c r="I429" t="n">
        <v>30</v>
      </c>
      <c r="J429" t="inlineStr">
        <is>
          <t>No</t>
        </is>
      </c>
      <c r="K429" t="inlineStr">
        <is>
          <t>Yes</t>
        </is>
      </c>
      <c r="L429" t="inlineStr">
        <is>
          <t>North WH</t>
        </is>
      </c>
    </row>
    <row r="430">
      <c r="A430" s="4" t="n">
        <v>20250901</v>
      </c>
      <c r="B430" s="4" t="inlineStr">
        <is>
          <t>P036</t>
        </is>
      </c>
      <c r="C430" t="n">
        <v>81</v>
      </c>
      <c r="D430" t="n">
        <v>3</v>
      </c>
      <c r="E430" t="n">
        <v>0</v>
      </c>
      <c r="F430" t="n">
        <v>0</v>
      </c>
      <c r="G430" t="n">
        <v>0</v>
      </c>
      <c r="H430" t="n">
        <v>84</v>
      </c>
      <c r="I430" t="n">
        <v>30</v>
      </c>
      <c r="J430" t="inlineStr">
        <is>
          <t>No</t>
        </is>
      </c>
      <c r="K430" t="inlineStr">
        <is>
          <t>Yes</t>
        </is>
      </c>
      <c r="L430" t="inlineStr">
        <is>
          <t>North WH</t>
        </is>
      </c>
    </row>
    <row r="431">
      <c r="A431" s="4" t="n">
        <v>20251001</v>
      </c>
      <c r="B431" s="4" t="inlineStr">
        <is>
          <t>P036</t>
        </is>
      </c>
      <c r="C431" t="n">
        <v>84</v>
      </c>
      <c r="D431" t="n">
        <v>0</v>
      </c>
      <c r="E431" t="n">
        <v>6</v>
      </c>
      <c r="F431" t="n">
        <v>0</v>
      </c>
      <c r="G431" t="n">
        <v>1</v>
      </c>
      <c r="H431" t="n">
        <v>77</v>
      </c>
      <c r="I431" t="n">
        <v>30</v>
      </c>
      <c r="J431" t="inlineStr">
        <is>
          <t>No</t>
        </is>
      </c>
      <c r="K431" t="inlineStr">
        <is>
          <t>Yes</t>
        </is>
      </c>
      <c r="L431" t="inlineStr">
        <is>
          <t>North WH</t>
        </is>
      </c>
    </row>
    <row r="432">
      <c r="A432" s="4" t="n">
        <v>20251101</v>
      </c>
      <c r="B432" s="4" t="inlineStr">
        <is>
          <t>P036</t>
        </is>
      </c>
      <c r="C432" t="n">
        <v>77</v>
      </c>
      <c r="D432" t="n">
        <v>0</v>
      </c>
      <c r="E432" t="n">
        <v>5</v>
      </c>
      <c r="F432" t="n">
        <v>0</v>
      </c>
      <c r="G432" t="n">
        <v>0</v>
      </c>
      <c r="H432" t="n">
        <v>72</v>
      </c>
      <c r="I432" t="n">
        <v>30</v>
      </c>
      <c r="J432" t="inlineStr">
        <is>
          <t>No</t>
        </is>
      </c>
      <c r="K432" t="inlineStr">
        <is>
          <t>Yes</t>
        </is>
      </c>
      <c r="L432" t="inlineStr">
        <is>
          <t>Main WH</t>
        </is>
      </c>
    </row>
    <row r="433">
      <c r="A433" s="4" t="n">
        <v>20251201</v>
      </c>
      <c r="B433" s="4" t="inlineStr">
        <is>
          <t>P036</t>
        </is>
      </c>
      <c r="C433" t="n">
        <v>72</v>
      </c>
      <c r="D433" t="n">
        <v>13</v>
      </c>
      <c r="E433" t="n">
        <v>5</v>
      </c>
      <c r="F433" t="n">
        <v>0</v>
      </c>
      <c r="G433" t="n">
        <v>2</v>
      </c>
      <c r="H433" t="n">
        <v>78</v>
      </c>
      <c r="I433" t="n">
        <v>30</v>
      </c>
      <c r="J433" t="inlineStr">
        <is>
          <t>No</t>
        </is>
      </c>
      <c r="K433" t="inlineStr">
        <is>
          <t>Yes</t>
        </is>
      </c>
      <c r="L433" t="inlineStr">
        <is>
          <t>Main WH</t>
        </is>
      </c>
    </row>
    <row r="434">
      <c r="A434" s="4" t="n">
        <v>20250101</v>
      </c>
      <c r="B434" s="4" t="inlineStr">
        <is>
          <t>P037</t>
        </is>
      </c>
      <c r="C434" t="n">
        <v>55</v>
      </c>
      <c r="D434" t="n">
        <v>26</v>
      </c>
      <c r="E434" t="n">
        <v>2</v>
      </c>
      <c r="F434" t="n">
        <v>0</v>
      </c>
      <c r="G434" t="n">
        <v>0</v>
      </c>
      <c r="H434" t="n">
        <v>79</v>
      </c>
      <c r="I434" t="n">
        <v>30</v>
      </c>
      <c r="J434" t="inlineStr">
        <is>
          <t>No</t>
        </is>
      </c>
      <c r="K434" t="inlineStr">
        <is>
          <t>Yes</t>
        </is>
      </c>
      <c r="L434" t="inlineStr">
        <is>
          <t>North WH</t>
        </is>
      </c>
    </row>
    <row r="435">
      <c r="A435" s="4" t="n">
        <v>20250201</v>
      </c>
      <c r="B435" s="4" t="inlineStr">
        <is>
          <t>P037</t>
        </is>
      </c>
      <c r="C435" t="n">
        <v>79</v>
      </c>
      <c r="D435" t="n">
        <v>0</v>
      </c>
      <c r="E435" t="n">
        <v>5</v>
      </c>
      <c r="F435" t="n">
        <v>0</v>
      </c>
      <c r="G435" t="n">
        <v>2</v>
      </c>
      <c r="H435" t="n">
        <v>72</v>
      </c>
      <c r="I435" t="n">
        <v>30</v>
      </c>
      <c r="J435" t="inlineStr">
        <is>
          <t>No</t>
        </is>
      </c>
      <c r="K435" t="inlineStr">
        <is>
          <t>Yes</t>
        </is>
      </c>
      <c r="L435" t="inlineStr">
        <is>
          <t>Main WH</t>
        </is>
      </c>
    </row>
    <row r="436">
      <c r="A436" s="4" t="n">
        <v>20250301</v>
      </c>
      <c r="B436" s="4" t="inlineStr">
        <is>
          <t>P037</t>
        </is>
      </c>
      <c r="C436" t="n">
        <v>72</v>
      </c>
      <c r="D436" t="n">
        <v>0</v>
      </c>
      <c r="E436" t="n">
        <v>2</v>
      </c>
      <c r="F436" t="n">
        <v>0</v>
      </c>
      <c r="G436" t="n">
        <v>0</v>
      </c>
      <c r="H436" t="n">
        <v>70</v>
      </c>
      <c r="I436" t="n">
        <v>30</v>
      </c>
      <c r="J436" t="inlineStr">
        <is>
          <t>No</t>
        </is>
      </c>
      <c r="K436" t="inlineStr">
        <is>
          <t>Yes</t>
        </is>
      </c>
      <c r="L436" t="inlineStr">
        <is>
          <t>North WH</t>
        </is>
      </c>
    </row>
    <row r="437">
      <c r="A437" s="4" t="n">
        <v>20250401</v>
      </c>
      <c r="B437" s="4" t="inlineStr">
        <is>
          <t>P037</t>
        </is>
      </c>
      <c r="C437" t="n">
        <v>70</v>
      </c>
      <c r="D437" t="n">
        <v>13</v>
      </c>
      <c r="E437" t="n">
        <v>1</v>
      </c>
      <c r="F437" t="n">
        <v>0</v>
      </c>
      <c r="G437" t="n">
        <v>1</v>
      </c>
      <c r="H437" t="n">
        <v>81</v>
      </c>
      <c r="I437" t="n">
        <v>30</v>
      </c>
      <c r="J437" t="inlineStr">
        <is>
          <t>No</t>
        </is>
      </c>
      <c r="K437" t="inlineStr">
        <is>
          <t>Yes</t>
        </is>
      </c>
      <c r="L437" t="inlineStr">
        <is>
          <t>North WH</t>
        </is>
      </c>
    </row>
    <row r="438">
      <c r="A438" s="4" t="n">
        <v>20250501</v>
      </c>
      <c r="B438" s="4" t="inlineStr">
        <is>
          <t>P037</t>
        </is>
      </c>
      <c r="C438" t="n">
        <v>81</v>
      </c>
      <c r="D438" t="n">
        <v>0</v>
      </c>
      <c r="E438" t="n">
        <v>0</v>
      </c>
      <c r="F438" t="n">
        <v>0</v>
      </c>
      <c r="G438" t="n">
        <v>0</v>
      </c>
      <c r="H438" t="n">
        <v>81</v>
      </c>
      <c r="I438" t="n">
        <v>30</v>
      </c>
      <c r="J438" t="inlineStr">
        <is>
          <t>No</t>
        </is>
      </c>
      <c r="K438" t="inlineStr">
        <is>
          <t>Yes</t>
        </is>
      </c>
      <c r="L438" t="inlineStr">
        <is>
          <t>North WH</t>
        </is>
      </c>
    </row>
    <row r="439">
      <c r="A439" s="4" t="n">
        <v>20250601</v>
      </c>
      <c r="B439" s="4" t="inlineStr">
        <is>
          <t>P037</t>
        </is>
      </c>
      <c r="C439" t="n">
        <v>81</v>
      </c>
      <c r="D439" t="n">
        <v>0</v>
      </c>
      <c r="E439" t="n">
        <v>2</v>
      </c>
      <c r="F439" t="n">
        <v>0</v>
      </c>
      <c r="G439" t="n">
        <v>0</v>
      </c>
      <c r="H439" t="n">
        <v>79</v>
      </c>
      <c r="I439" t="n">
        <v>30</v>
      </c>
      <c r="J439" t="inlineStr">
        <is>
          <t>No</t>
        </is>
      </c>
      <c r="K439" t="inlineStr">
        <is>
          <t>Yes</t>
        </is>
      </c>
      <c r="L439" t="inlineStr">
        <is>
          <t>Main WH</t>
        </is>
      </c>
    </row>
    <row r="440">
      <c r="A440" s="4" t="n">
        <v>20250701</v>
      </c>
      <c r="B440" s="4" t="inlineStr">
        <is>
          <t>P037</t>
        </is>
      </c>
      <c r="C440" t="n">
        <v>79</v>
      </c>
      <c r="D440" t="n">
        <v>0</v>
      </c>
      <c r="E440" t="n">
        <v>2</v>
      </c>
      <c r="F440" t="n">
        <v>0</v>
      </c>
      <c r="G440" t="n">
        <v>0</v>
      </c>
      <c r="H440" t="n">
        <v>77</v>
      </c>
      <c r="I440" t="n">
        <v>30</v>
      </c>
      <c r="J440" t="inlineStr">
        <is>
          <t>No</t>
        </is>
      </c>
      <c r="K440" t="inlineStr">
        <is>
          <t>Yes</t>
        </is>
      </c>
      <c r="L440" t="inlineStr">
        <is>
          <t>North WH</t>
        </is>
      </c>
    </row>
    <row r="441">
      <c r="A441" s="4" t="n">
        <v>20250801</v>
      </c>
      <c r="B441" s="4" t="inlineStr">
        <is>
          <t>P037</t>
        </is>
      </c>
      <c r="C441" t="n">
        <v>77</v>
      </c>
      <c r="D441" t="n">
        <v>0</v>
      </c>
      <c r="E441" t="n">
        <v>3</v>
      </c>
      <c r="F441" t="n">
        <v>0</v>
      </c>
      <c r="G441" t="n">
        <v>0</v>
      </c>
      <c r="H441" t="n">
        <v>74</v>
      </c>
      <c r="I441" t="n">
        <v>30</v>
      </c>
      <c r="J441" t="inlineStr">
        <is>
          <t>No</t>
        </is>
      </c>
      <c r="K441" t="inlineStr">
        <is>
          <t>Yes</t>
        </is>
      </c>
      <c r="L441" t="inlineStr">
        <is>
          <t>North WH</t>
        </is>
      </c>
    </row>
    <row r="442">
      <c r="A442" s="4" t="n">
        <v>20250901</v>
      </c>
      <c r="B442" s="4" t="inlineStr">
        <is>
          <t>P037</t>
        </is>
      </c>
      <c r="C442" t="n">
        <v>74</v>
      </c>
      <c r="D442" t="n">
        <v>0</v>
      </c>
      <c r="E442" t="n">
        <v>3</v>
      </c>
      <c r="F442" t="n">
        <v>0</v>
      </c>
      <c r="G442" t="n">
        <v>1</v>
      </c>
      <c r="H442" t="n">
        <v>70</v>
      </c>
      <c r="I442" t="n">
        <v>30</v>
      </c>
      <c r="J442" t="inlineStr">
        <is>
          <t>No</t>
        </is>
      </c>
      <c r="K442" t="inlineStr">
        <is>
          <t>Yes</t>
        </is>
      </c>
      <c r="L442" t="inlineStr">
        <is>
          <t>Main WH</t>
        </is>
      </c>
    </row>
    <row r="443">
      <c r="A443" s="4" t="n">
        <v>20251001</v>
      </c>
      <c r="B443" s="4" t="inlineStr">
        <is>
          <t>P037</t>
        </is>
      </c>
      <c r="C443" t="n">
        <v>70</v>
      </c>
      <c r="D443" t="n">
        <v>0</v>
      </c>
      <c r="E443" t="n">
        <v>0</v>
      </c>
      <c r="F443" t="n">
        <v>0</v>
      </c>
      <c r="G443" t="n">
        <v>0</v>
      </c>
      <c r="H443" t="n">
        <v>70</v>
      </c>
      <c r="I443" t="n">
        <v>30</v>
      </c>
      <c r="J443" t="inlineStr">
        <is>
          <t>No</t>
        </is>
      </c>
      <c r="K443" t="inlineStr">
        <is>
          <t>Yes</t>
        </is>
      </c>
      <c r="L443" t="inlineStr">
        <is>
          <t>North WH</t>
        </is>
      </c>
    </row>
    <row r="444">
      <c r="A444" s="4" t="n">
        <v>20251101</v>
      </c>
      <c r="B444" s="4" t="inlineStr">
        <is>
          <t>P037</t>
        </is>
      </c>
      <c r="C444" t="n">
        <v>70</v>
      </c>
      <c r="D444" t="n">
        <v>9</v>
      </c>
      <c r="E444" t="n">
        <v>0</v>
      </c>
      <c r="F444" t="n">
        <v>0</v>
      </c>
      <c r="G444" t="n">
        <v>0</v>
      </c>
      <c r="H444" t="n">
        <v>79</v>
      </c>
      <c r="I444" t="n">
        <v>30</v>
      </c>
      <c r="J444" t="inlineStr">
        <is>
          <t>No</t>
        </is>
      </c>
      <c r="K444" t="inlineStr">
        <is>
          <t>Yes</t>
        </is>
      </c>
      <c r="L444" t="inlineStr">
        <is>
          <t>Main WH</t>
        </is>
      </c>
    </row>
    <row r="445">
      <c r="A445" s="4" t="n">
        <v>20251201</v>
      </c>
      <c r="B445" s="4" t="inlineStr">
        <is>
          <t>P037</t>
        </is>
      </c>
      <c r="C445" t="n">
        <v>79</v>
      </c>
      <c r="D445" t="n">
        <v>4</v>
      </c>
      <c r="E445" t="n">
        <v>3</v>
      </c>
      <c r="F445" t="n">
        <v>0</v>
      </c>
      <c r="G445" t="n">
        <v>0</v>
      </c>
      <c r="H445" t="n">
        <v>80</v>
      </c>
      <c r="I445" t="n">
        <v>30</v>
      </c>
      <c r="J445" t="inlineStr">
        <is>
          <t>No</t>
        </is>
      </c>
      <c r="K445" t="inlineStr">
        <is>
          <t>Yes</t>
        </is>
      </c>
      <c r="L445" t="inlineStr">
        <is>
          <t>Main WH</t>
        </is>
      </c>
    </row>
    <row r="446">
      <c r="A446" s="4" t="n">
        <v>20250101</v>
      </c>
      <c r="B446" s="4" t="inlineStr">
        <is>
          <t>P038</t>
        </is>
      </c>
      <c r="C446" t="n">
        <v>79</v>
      </c>
      <c r="D446" t="n">
        <v>11</v>
      </c>
      <c r="E446" t="n">
        <v>3</v>
      </c>
      <c r="F446" t="n">
        <v>0</v>
      </c>
      <c r="G446" t="n">
        <v>1</v>
      </c>
      <c r="H446" t="n">
        <v>86</v>
      </c>
      <c r="I446" t="n">
        <v>36</v>
      </c>
      <c r="J446" t="inlineStr">
        <is>
          <t>No</t>
        </is>
      </c>
      <c r="K446" t="inlineStr">
        <is>
          <t>Yes</t>
        </is>
      </c>
      <c r="L446" t="inlineStr">
        <is>
          <t>Main WH</t>
        </is>
      </c>
    </row>
    <row r="447">
      <c r="A447" s="4" t="n">
        <v>20250201</v>
      </c>
      <c r="B447" s="4" t="inlineStr">
        <is>
          <t>P038</t>
        </is>
      </c>
      <c r="C447" t="n">
        <v>86</v>
      </c>
      <c r="D447" t="n">
        <v>0</v>
      </c>
      <c r="E447" t="n">
        <v>0</v>
      </c>
      <c r="F447" t="n">
        <v>0</v>
      </c>
      <c r="G447" t="n">
        <v>1</v>
      </c>
      <c r="H447" t="n">
        <v>85</v>
      </c>
      <c r="I447" t="n">
        <v>36</v>
      </c>
      <c r="J447" t="inlineStr">
        <is>
          <t>No</t>
        </is>
      </c>
      <c r="K447" t="inlineStr">
        <is>
          <t>Yes</t>
        </is>
      </c>
      <c r="L447" t="inlineStr">
        <is>
          <t>Main WH</t>
        </is>
      </c>
    </row>
    <row r="448">
      <c r="A448" s="4" t="n">
        <v>20250301</v>
      </c>
      <c r="B448" s="4" t="inlineStr">
        <is>
          <t>P038</t>
        </is>
      </c>
      <c r="C448" t="n">
        <v>85</v>
      </c>
      <c r="D448" t="n">
        <v>0</v>
      </c>
      <c r="E448" t="n">
        <v>1</v>
      </c>
      <c r="F448" t="n">
        <v>0</v>
      </c>
      <c r="G448" t="n">
        <v>2</v>
      </c>
      <c r="H448" t="n">
        <v>82</v>
      </c>
      <c r="I448" t="n">
        <v>36</v>
      </c>
      <c r="J448" t="inlineStr">
        <is>
          <t>No</t>
        </is>
      </c>
      <c r="K448" t="inlineStr">
        <is>
          <t>No</t>
        </is>
      </c>
      <c r="L448" t="inlineStr">
        <is>
          <t>North WH</t>
        </is>
      </c>
    </row>
    <row r="449">
      <c r="A449" s="4" t="n">
        <v>20250401</v>
      </c>
      <c r="B449" s="4" t="inlineStr">
        <is>
          <t>P038</t>
        </is>
      </c>
      <c r="C449" t="n">
        <v>82</v>
      </c>
      <c r="D449" t="n">
        <v>3</v>
      </c>
      <c r="E449" t="n">
        <v>1</v>
      </c>
      <c r="F449" t="n">
        <v>0</v>
      </c>
      <c r="G449" t="n">
        <v>0</v>
      </c>
      <c r="H449" t="n">
        <v>84</v>
      </c>
      <c r="I449" t="n">
        <v>36</v>
      </c>
      <c r="J449" t="inlineStr">
        <is>
          <t>No</t>
        </is>
      </c>
      <c r="K449" t="inlineStr">
        <is>
          <t>Yes</t>
        </is>
      </c>
      <c r="L449" t="inlineStr">
        <is>
          <t>Main WH</t>
        </is>
      </c>
    </row>
    <row r="450">
      <c r="A450" s="4" t="n">
        <v>20250501</v>
      </c>
      <c r="B450" s="4" t="inlineStr">
        <is>
          <t>P038</t>
        </is>
      </c>
      <c r="C450" t="n">
        <v>84</v>
      </c>
      <c r="D450" t="n">
        <v>4</v>
      </c>
      <c r="E450" t="n">
        <v>3</v>
      </c>
      <c r="F450" t="n">
        <v>0</v>
      </c>
      <c r="G450" t="n">
        <v>0</v>
      </c>
      <c r="H450" t="n">
        <v>85</v>
      </c>
      <c r="I450" t="n">
        <v>36</v>
      </c>
      <c r="J450" t="inlineStr">
        <is>
          <t>No</t>
        </is>
      </c>
      <c r="K450" t="inlineStr">
        <is>
          <t>Yes</t>
        </is>
      </c>
      <c r="L450" t="inlineStr">
        <is>
          <t>North WH</t>
        </is>
      </c>
    </row>
    <row r="451">
      <c r="A451" s="4" t="n">
        <v>20250601</v>
      </c>
      <c r="B451" s="4" t="inlineStr">
        <is>
          <t>P038</t>
        </is>
      </c>
      <c r="C451" t="n">
        <v>85</v>
      </c>
      <c r="D451" t="n">
        <v>2</v>
      </c>
      <c r="E451" t="n">
        <v>3</v>
      </c>
      <c r="F451" t="n">
        <v>0</v>
      </c>
      <c r="G451" t="n">
        <v>1</v>
      </c>
      <c r="H451" t="n">
        <v>83</v>
      </c>
      <c r="I451" t="n">
        <v>36</v>
      </c>
      <c r="J451" t="inlineStr">
        <is>
          <t>No</t>
        </is>
      </c>
      <c r="K451" t="inlineStr">
        <is>
          <t>Yes</t>
        </is>
      </c>
      <c r="L451" t="inlineStr">
        <is>
          <t>Main WH</t>
        </is>
      </c>
    </row>
    <row r="452">
      <c r="A452" s="4" t="n">
        <v>20250701</v>
      </c>
      <c r="B452" s="4" t="inlineStr">
        <is>
          <t>P038</t>
        </is>
      </c>
      <c r="C452" t="n">
        <v>83</v>
      </c>
      <c r="D452" t="n">
        <v>0</v>
      </c>
      <c r="E452" t="n">
        <v>2</v>
      </c>
      <c r="F452" t="n">
        <v>0</v>
      </c>
      <c r="G452" t="n">
        <v>1</v>
      </c>
      <c r="H452" t="n">
        <v>80</v>
      </c>
      <c r="I452" t="n">
        <v>36</v>
      </c>
      <c r="J452" t="inlineStr">
        <is>
          <t>No</t>
        </is>
      </c>
      <c r="K452" t="inlineStr">
        <is>
          <t>No</t>
        </is>
      </c>
      <c r="L452" t="inlineStr">
        <is>
          <t>North WH</t>
        </is>
      </c>
    </row>
    <row r="453">
      <c r="A453" s="4" t="n">
        <v>20250801</v>
      </c>
      <c r="B453" s="4" t="inlineStr">
        <is>
          <t>P038</t>
        </is>
      </c>
      <c r="C453" t="n">
        <v>80</v>
      </c>
      <c r="D453" t="n">
        <v>14</v>
      </c>
      <c r="E453" t="n">
        <v>7</v>
      </c>
      <c r="F453" t="n">
        <v>1</v>
      </c>
      <c r="G453" t="n">
        <v>1</v>
      </c>
      <c r="H453" t="n">
        <v>87</v>
      </c>
      <c r="I453" t="n">
        <v>36</v>
      </c>
      <c r="J453" t="inlineStr">
        <is>
          <t>No</t>
        </is>
      </c>
      <c r="K453" t="inlineStr">
        <is>
          <t>Yes</t>
        </is>
      </c>
      <c r="L453" t="inlineStr">
        <is>
          <t>Main WH</t>
        </is>
      </c>
    </row>
    <row r="454">
      <c r="A454" s="4" t="n">
        <v>20250901</v>
      </c>
      <c r="B454" s="4" t="inlineStr">
        <is>
          <t>P038</t>
        </is>
      </c>
      <c r="C454" t="n">
        <v>87</v>
      </c>
      <c r="D454" t="n">
        <v>7</v>
      </c>
      <c r="E454" t="n">
        <v>4</v>
      </c>
      <c r="F454" t="n">
        <v>1</v>
      </c>
      <c r="G454" t="n">
        <v>2</v>
      </c>
      <c r="H454" t="n">
        <v>89</v>
      </c>
      <c r="I454" t="n">
        <v>36</v>
      </c>
      <c r="J454" t="inlineStr">
        <is>
          <t>No</t>
        </is>
      </c>
      <c r="K454" t="inlineStr">
        <is>
          <t>Yes</t>
        </is>
      </c>
      <c r="L454" t="inlineStr">
        <is>
          <t>Main WH</t>
        </is>
      </c>
    </row>
    <row r="455">
      <c r="A455" s="4" t="n">
        <v>20251001</v>
      </c>
      <c r="B455" s="4" t="inlineStr">
        <is>
          <t>P038</t>
        </is>
      </c>
      <c r="C455" t="n">
        <v>89</v>
      </c>
      <c r="D455" t="n">
        <v>0</v>
      </c>
      <c r="E455" t="n">
        <v>1</v>
      </c>
      <c r="F455" t="n">
        <v>0</v>
      </c>
      <c r="G455" t="n">
        <v>0</v>
      </c>
      <c r="H455" t="n">
        <v>88</v>
      </c>
      <c r="I455" t="n">
        <v>36</v>
      </c>
      <c r="J455" t="inlineStr">
        <is>
          <t>No</t>
        </is>
      </c>
      <c r="K455" t="inlineStr">
        <is>
          <t>Yes</t>
        </is>
      </c>
      <c r="L455" t="inlineStr">
        <is>
          <t>Main WH</t>
        </is>
      </c>
    </row>
    <row r="456">
      <c r="A456" s="4" t="n">
        <v>20251101</v>
      </c>
      <c r="B456" s="4" t="inlineStr">
        <is>
          <t>P038</t>
        </is>
      </c>
      <c r="C456" t="n">
        <v>88</v>
      </c>
      <c r="D456" t="n">
        <v>0</v>
      </c>
      <c r="E456" t="n">
        <v>0</v>
      </c>
      <c r="F456" t="n">
        <v>0</v>
      </c>
      <c r="G456" t="n">
        <v>0</v>
      </c>
      <c r="H456" t="n">
        <v>88</v>
      </c>
      <c r="I456" t="n">
        <v>36</v>
      </c>
      <c r="J456" t="inlineStr">
        <is>
          <t>No</t>
        </is>
      </c>
      <c r="K456" t="inlineStr">
        <is>
          <t>Yes</t>
        </is>
      </c>
      <c r="L456" t="inlineStr">
        <is>
          <t>Main WH</t>
        </is>
      </c>
    </row>
    <row r="457">
      <c r="A457" s="4" t="n">
        <v>20251201</v>
      </c>
      <c r="B457" s="4" t="inlineStr">
        <is>
          <t>P038</t>
        </is>
      </c>
      <c r="C457" t="n">
        <v>88</v>
      </c>
      <c r="D457" t="n">
        <v>0</v>
      </c>
      <c r="E457" t="n">
        <v>1</v>
      </c>
      <c r="F457" t="n">
        <v>0</v>
      </c>
      <c r="G457" t="n">
        <v>0</v>
      </c>
      <c r="H457" t="n">
        <v>87</v>
      </c>
      <c r="I457" t="n">
        <v>36</v>
      </c>
      <c r="J457" t="inlineStr">
        <is>
          <t>No</t>
        </is>
      </c>
      <c r="K457" t="inlineStr">
        <is>
          <t>Yes</t>
        </is>
      </c>
      <c r="L457" t="inlineStr">
        <is>
          <t>Main WH</t>
        </is>
      </c>
    </row>
    <row r="458">
      <c r="A458" s="4" t="n">
        <v>20250101</v>
      </c>
      <c r="B458" s="4" t="inlineStr">
        <is>
          <t>P039</t>
        </is>
      </c>
      <c r="C458" t="n">
        <v>76</v>
      </c>
      <c r="D458" t="n">
        <v>0</v>
      </c>
      <c r="E458" t="n">
        <v>2</v>
      </c>
      <c r="F458" t="n">
        <v>0</v>
      </c>
      <c r="G458" t="n">
        <v>0</v>
      </c>
      <c r="H458" t="n">
        <v>74</v>
      </c>
      <c r="I458" t="n">
        <v>18</v>
      </c>
      <c r="J458" t="inlineStr">
        <is>
          <t>No</t>
        </is>
      </c>
      <c r="K458" t="inlineStr">
        <is>
          <t>Yes</t>
        </is>
      </c>
      <c r="L458" t="inlineStr">
        <is>
          <t>Main WH</t>
        </is>
      </c>
    </row>
    <row r="459">
      <c r="A459" s="4" t="n">
        <v>20250201</v>
      </c>
      <c r="B459" s="4" t="inlineStr">
        <is>
          <t>P039</t>
        </is>
      </c>
      <c r="C459" t="n">
        <v>74</v>
      </c>
      <c r="D459" t="n">
        <v>0</v>
      </c>
      <c r="E459" t="n">
        <v>1</v>
      </c>
      <c r="F459" t="n">
        <v>0</v>
      </c>
      <c r="G459" t="n">
        <v>0</v>
      </c>
      <c r="H459" t="n">
        <v>73</v>
      </c>
      <c r="I459" t="n">
        <v>18</v>
      </c>
      <c r="J459" t="inlineStr">
        <is>
          <t>No</t>
        </is>
      </c>
      <c r="K459" t="inlineStr">
        <is>
          <t>Yes</t>
        </is>
      </c>
      <c r="L459" t="inlineStr">
        <is>
          <t>Main WH</t>
        </is>
      </c>
    </row>
    <row r="460">
      <c r="A460" s="4" t="n">
        <v>20250301</v>
      </c>
      <c r="B460" s="4" t="inlineStr">
        <is>
          <t>P039</t>
        </is>
      </c>
      <c r="C460" t="n">
        <v>73</v>
      </c>
      <c r="D460" t="n">
        <v>0</v>
      </c>
      <c r="E460" t="n">
        <v>4</v>
      </c>
      <c r="F460" t="n">
        <v>0</v>
      </c>
      <c r="G460" t="n">
        <v>1</v>
      </c>
      <c r="H460" t="n">
        <v>68</v>
      </c>
      <c r="I460" t="n">
        <v>18</v>
      </c>
      <c r="J460" t="inlineStr">
        <is>
          <t>No</t>
        </is>
      </c>
      <c r="K460" t="inlineStr">
        <is>
          <t>Yes</t>
        </is>
      </c>
      <c r="L460" t="inlineStr">
        <is>
          <t>Main WH</t>
        </is>
      </c>
    </row>
    <row r="461">
      <c r="A461" s="4" t="n">
        <v>20250401</v>
      </c>
      <c r="B461" s="4" t="inlineStr">
        <is>
          <t>P039</t>
        </is>
      </c>
      <c r="C461" t="n">
        <v>68</v>
      </c>
      <c r="D461" t="n">
        <v>0</v>
      </c>
      <c r="E461" t="n">
        <v>2</v>
      </c>
      <c r="F461" t="n">
        <v>0</v>
      </c>
      <c r="G461" t="n">
        <v>2</v>
      </c>
      <c r="H461" t="n">
        <v>64</v>
      </c>
      <c r="I461" t="n">
        <v>18</v>
      </c>
      <c r="J461" t="inlineStr">
        <is>
          <t>No</t>
        </is>
      </c>
      <c r="K461" t="inlineStr">
        <is>
          <t>Yes</t>
        </is>
      </c>
      <c r="L461" t="inlineStr">
        <is>
          <t>Main WH</t>
        </is>
      </c>
    </row>
    <row r="462">
      <c r="A462" s="4" t="n">
        <v>20250501</v>
      </c>
      <c r="B462" s="4" t="inlineStr">
        <is>
          <t>P039</t>
        </is>
      </c>
      <c r="C462" t="n">
        <v>64</v>
      </c>
      <c r="D462" t="n">
        <v>0</v>
      </c>
      <c r="E462" t="n">
        <v>0</v>
      </c>
      <c r="F462" t="n">
        <v>0</v>
      </c>
      <c r="G462" t="n">
        <v>0</v>
      </c>
      <c r="H462" t="n">
        <v>64</v>
      </c>
      <c r="I462" t="n">
        <v>18</v>
      </c>
      <c r="J462" t="inlineStr">
        <is>
          <t>No</t>
        </is>
      </c>
      <c r="K462" t="inlineStr">
        <is>
          <t>Yes</t>
        </is>
      </c>
      <c r="L462" t="inlineStr">
        <is>
          <t>North WH</t>
        </is>
      </c>
    </row>
    <row r="463">
      <c r="A463" s="4" t="n">
        <v>20250601</v>
      </c>
      <c r="B463" s="4" t="inlineStr">
        <is>
          <t>P039</t>
        </is>
      </c>
      <c r="C463" t="n">
        <v>64</v>
      </c>
      <c r="D463" t="n">
        <v>0</v>
      </c>
      <c r="E463" t="n">
        <v>9</v>
      </c>
      <c r="F463" t="n">
        <v>0</v>
      </c>
      <c r="G463" t="n">
        <v>1</v>
      </c>
      <c r="H463" t="n">
        <v>54</v>
      </c>
      <c r="I463" t="n">
        <v>18</v>
      </c>
      <c r="J463" t="inlineStr">
        <is>
          <t>No</t>
        </is>
      </c>
      <c r="K463" t="inlineStr">
        <is>
          <t>Yes</t>
        </is>
      </c>
      <c r="L463" t="inlineStr">
        <is>
          <t>Main WH</t>
        </is>
      </c>
    </row>
    <row r="464">
      <c r="A464" s="4" t="n">
        <v>20250701</v>
      </c>
      <c r="B464" s="4" t="inlineStr">
        <is>
          <t>P039</t>
        </is>
      </c>
      <c r="C464" t="n">
        <v>54</v>
      </c>
      <c r="D464" t="n">
        <v>13</v>
      </c>
      <c r="E464" t="n">
        <v>2</v>
      </c>
      <c r="F464" t="n">
        <v>0</v>
      </c>
      <c r="G464" t="n">
        <v>1</v>
      </c>
      <c r="H464" t="n">
        <v>64</v>
      </c>
      <c r="I464" t="n">
        <v>18</v>
      </c>
      <c r="J464" t="inlineStr">
        <is>
          <t>No</t>
        </is>
      </c>
      <c r="K464" t="inlineStr">
        <is>
          <t>Yes</t>
        </is>
      </c>
      <c r="L464" t="inlineStr">
        <is>
          <t>Main WH</t>
        </is>
      </c>
    </row>
    <row r="465">
      <c r="A465" s="4" t="n">
        <v>20250801</v>
      </c>
      <c r="B465" s="4" t="inlineStr">
        <is>
          <t>P039</t>
        </is>
      </c>
      <c r="C465" t="n">
        <v>64</v>
      </c>
      <c r="D465" t="n">
        <v>4</v>
      </c>
      <c r="E465" t="n">
        <v>2</v>
      </c>
      <c r="F465" t="n">
        <v>0</v>
      </c>
      <c r="G465" t="n">
        <v>0</v>
      </c>
      <c r="H465" t="n">
        <v>66</v>
      </c>
      <c r="I465" t="n">
        <v>18</v>
      </c>
      <c r="J465" t="inlineStr">
        <is>
          <t>No</t>
        </is>
      </c>
      <c r="K465" t="inlineStr">
        <is>
          <t>Yes</t>
        </is>
      </c>
      <c r="L465" t="inlineStr">
        <is>
          <t>North WH</t>
        </is>
      </c>
    </row>
    <row r="466">
      <c r="A466" s="4" t="n">
        <v>20250901</v>
      </c>
      <c r="B466" s="4" t="inlineStr">
        <is>
          <t>P039</t>
        </is>
      </c>
      <c r="C466" t="n">
        <v>66</v>
      </c>
      <c r="D466" t="n">
        <v>10</v>
      </c>
      <c r="E466" t="n">
        <v>4</v>
      </c>
      <c r="F466" t="n">
        <v>0</v>
      </c>
      <c r="G466" t="n">
        <v>1</v>
      </c>
      <c r="H466" t="n">
        <v>71</v>
      </c>
      <c r="I466" t="n">
        <v>18</v>
      </c>
      <c r="J466" t="inlineStr">
        <is>
          <t>No</t>
        </is>
      </c>
      <c r="K466" t="inlineStr">
        <is>
          <t>Yes</t>
        </is>
      </c>
      <c r="L466" t="inlineStr">
        <is>
          <t>North WH</t>
        </is>
      </c>
    </row>
    <row r="467">
      <c r="A467" s="4" t="n">
        <v>20251001</v>
      </c>
      <c r="B467" s="4" t="inlineStr">
        <is>
          <t>P039</t>
        </is>
      </c>
      <c r="C467" t="n">
        <v>71</v>
      </c>
      <c r="D467" t="n">
        <v>0</v>
      </c>
      <c r="E467" t="n">
        <v>1</v>
      </c>
      <c r="F467" t="n">
        <v>0</v>
      </c>
      <c r="G467" t="n">
        <v>0</v>
      </c>
      <c r="H467" t="n">
        <v>70</v>
      </c>
      <c r="I467" t="n">
        <v>18</v>
      </c>
      <c r="J467" t="inlineStr">
        <is>
          <t>No</t>
        </is>
      </c>
      <c r="K467" t="inlineStr">
        <is>
          <t>Yes</t>
        </is>
      </c>
      <c r="L467" t="inlineStr">
        <is>
          <t>Main WH</t>
        </is>
      </c>
    </row>
    <row r="468">
      <c r="A468" s="4" t="n">
        <v>20251101</v>
      </c>
      <c r="B468" s="4" t="inlineStr">
        <is>
          <t>P039</t>
        </is>
      </c>
      <c r="C468" t="n">
        <v>70</v>
      </c>
      <c r="D468" t="n">
        <v>0</v>
      </c>
      <c r="E468" t="n">
        <v>4</v>
      </c>
      <c r="F468" t="n">
        <v>0</v>
      </c>
      <c r="G468" t="n">
        <v>0</v>
      </c>
      <c r="H468" t="n">
        <v>66</v>
      </c>
      <c r="I468" t="n">
        <v>18</v>
      </c>
      <c r="J468" t="inlineStr">
        <is>
          <t>No</t>
        </is>
      </c>
      <c r="K468" t="inlineStr">
        <is>
          <t>Yes</t>
        </is>
      </c>
      <c r="L468" t="inlineStr">
        <is>
          <t>North WH</t>
        </is>
      </c>
    </row>
    <row r="469">
      <c r="A469" s="4" t="n">
        <v>20251201</v>
      </c>
      <c r="B469" s="4" t="inlineStr">
        <is>
          <t>P039</t>
        </is>
      </c>
      <c r="C469" t="n">
        <v>66</v>
      </c>
      <c r="D469" t="n">
        <v>0</v>
      </c>
      <c r="E469" t="n">
        <v>2</v>
      </c>
      <c r="F469" t="n">
        <v>0</v>
      </c>
      <c r="G469" t="n">
        <v>0</v>
      </c>
      <c r="H469" t="n">
        <v>64</v>
      </c>
      <c r="I469" t="n">
        <v>18</v>
      </c>
      <c r="J469" t="inlineStr">
        <is>
          <t>No</t>
        </is>
      </c>
      <c r="K469" t="inlineStr">
        <is>
          <t>Yes</t>
        </is>
      </c>
      <c r="L469" t="inlineStr">
        <is>
          <t>North WH</t>
        </is>
      </c>
    </row>
    <row r="470">
      <c r="A470" s="4" t="n">
        <v>20250101</v>
      </c>
      <c r="B470" s="4" t="inlineStr">
        <is>
          <t>P040</t>
        </is>
      </c>
      <c r="C470" t="n">
        <v>67</v>
      </c>
      <c r="D470" t="n">
        <v>0</v>
      </c>
      <c r="E470" t="n">
        <v>4</v>
      </c>
      <c r="F470" t="n">
        <v>0</v>
      </c>
      <c r="G470" t="n">
        <v>0</v>
      </c>
      <c r="H470" t="n">
        <v>63</v>
      </c>
      <c r="I470" t="n">
        <v>18</v>
      </c>
      <c r="J470" t="inlineStr">
        <is>
          <t>No</t>
        </is>
      </c>
      <c r="K470" t="inlineStr">
        <is>
          <t>Yes</t>
        </is>
      </c>
      <c r="L470" t="inlineStr">
        <is>
          <t>North WH</t>
        </is>
      </c>
    </row>
    <row r="471">
      <c r="A471" s="4" t="n">
        <v>20250201</v>
      </c>
      <c r="B471" s="4" t="inlineStr">
        <is>
          <t>P040</t>
        </is>
      </c>
      <c r="C471" t="n">
        <v>63</v>
      </c>
      <c r="D471" t="n">
        <v>1</v>
      </c>
      <c r="E471" t="n">
        <v>1</v>
      </c>
      <c r="F471" t="n">
        <v>0</v>
      </c>
      <c r="G471" t="n">
        <v>0</v>
      </c>
      <c r="H471" t="n">
        <v>63</v>
      </c>
      <c r="I471" t="n">
        <v>18</v>
      </c>
      <c r="J471" t="inlineStr">
        <is>
          <t>No</t>
        </is>
      </c>
      <c r="K471" t="inlineStr">
        <is>
          <t>Yes</t>
        </is>
      </c>
      <c r="L471" t="inlineStr">
        <is>
          <t>North WH</t>
        </is>
      </c>
    </row>
    <row r="472">
      <c r="A472" s="4" t="n">
        <v>20250301</v>
      </c>
      <c r="B472" s="4" t="inlineStr">
        <is>
          <t>P040</t>
        </is>
      </c>
      <c r="C472" t="n">
        <v>63</v>
      </c>
      <c r="D472" t="n">
        <v>2</v>
      </c>
      <c r="E472" t="n">
        <v>1</v>
      </c>
      <c r="F472" t="n">
        <v>0</v>
      </c>
      <c r="G472" t="n">
        <v>2</v>
      </c>
      <c r="H472" t="n">
        <v>62</v>
      </c>
      <c r="I472" t="n">
        <v>18</v>
      </c>
      <c r="J472" t="inlineStr">
        <is>
          <t>No</t>
        </is>
      </c>
      <c r="K472" t="inlineStr">
        <is>
          <t>Yes</t>
        </is>
      </c>
      <c r="L472" t="inlineStr">
        <is>
          <t>Main WH</t>
        </is>
      </c>
    </row>
    <row r="473">
      <c r="A473" s="4" t="n">
        <v>20250401</v>
      </c>
      <c r="B473" s="4" t="inlineStr">
        <is>
          <t>P040</t>
        </is>
      </c>
      <c r="C473" t="n">
        <v>62</v>
      </c>
      <c r="D473" t="n">
        <v>11</v>
      </c>
      <c r="E473" t="n">
        <v>4</v>
      </c>
      <c r="F473" t="n">
        <v>0</v>
      </c>
      <c r="G473" t="n">
        <v>1</v>
      </c>
      <c r="H473" t="n">
        <v>68</v>
      </c>
      <c r="I473" t="n">
        <v>18</v>
      </c>
      <c r="J473" t="inlineStr">
        <is>
          <t>No</t>
        </is>
      </c>
      <c r="K473" t="inlineStr">
        <is>
          <t>Yes</t>
        </is>
      </c>
      <c r="L473" t="inlineStr">
        <is>
          <t>North WH</t>
        </is>
      </c>
    </row>
    <row r="474">
      <c r="A474" s="4" t="n">
        <v>20250501</v>
      </c>
      <c r="B474" s="4" t="inlineStr">
        <is>
          <t>P040</t>
        </is>
      </c>
      <c r="C474" t="n">
        <v>68</v>
      </c>
      <c r="D474" t="n">
        <v>6</v>
      </c>
      <c r="E474" t="n">
        <v>1</v>
      </c>
      <c r="F474" t="n">
        <v>0</v>
      </c>
      <c r="G474" t="n">
        <v>0</v>
      </c>
      <c r="H474" t="n">
        <v>73</v>
      </c>
      <c r="I474" t="n">
        <v>18</v>
      </c>
      <c r="J474" t="inlineStr">
        <is>
          <t>No</t>
        </is>
      </c>
      <c r="K474" t="inlineStr">
        <is>
          <t>Yes</t>
        </is>
      </c>
      <c r="L474" t="inlineStr">
        <is>
          <t>Main WH</t>
        </is>
      </c>
    </row>
    <row r="475">
      <c r="A475" s="4" t="n">
        <v>20250601</v>
      </c>
      <c r="B475" s="4" t="inlineStr">
        <is>
          <t>P040</t>
        </is>
      </c>
      <c r="C475" t="n">
        <v>73</v>
      </c>
      <c r="D475" t="n">
        <v>0</v>
      </c>
      <c r="E475" t="n">
        <v>1</v>
      </c>
      <c r="F475" t="n">
        <v>0</v>
      </c>
      <c r="G475" t="n">
        <v>1</v>
      </c>
      <c r="H475" t="n">
        <v>71</v>
      </c>
      <c r="I475" t="n">
        <v>18</v>
      </c>
      <c r="J475" t="inlineStr">
        <is>
          <t>No</t>
        </is>
      </c>
      <c r="K475" t="inlineStr">
        <is>
          <t>Yes</t>
        </is>
      </c>
      <c r="L475" t="inlineStr">
        <is>
          <t>North WH</t>
        </is>
      </c>
    </row>
    <row r="476">
      <c r="A476" s="4" t="n">
        <v>20250701</v>
      </c>
      <c r="B476" s="4" t="inlineStr">
        <is>
          <t>P040</t>
        </is>
      </c>
      <c r="C476" t="n">
        <v>71</v>
      </c>
      <c r="D476" t="n">
        <v>0</v>
      </c>
      <c r="E476" t="n">
        <v>4</v>
      </c>
      <c r="F476" t="n">
        <v>0</v>
      </c>
      <c r="G476" t="n">
        <v>0</v>
      </c>
      <c r="H476" t="n">
        <v>67</v>
      </c>
      <c r="I476" t="n">
        <v>18</v>
      </c>
      <c r="J476" t="inlineStr">
        <is>
          <t>No</t>
        </is>
      </c>
      <c r="K476" t="inlineStr">
        <is>
          <t>Yes</t>
        </is>
      </c>
      <c r="L476" t="inlineStr">
        <is>
          <t>Main WH</t>
        </is>
      </c>
    </row>
    <row r="477">
      <c r="A477" s="4" t="n">
        <v>20250801</v>
      </c>
      <c r="B477" s="4" t="inlineStr">
        <is>
          <t>P040</t>
        </is>
      </c>
      <c r="C477" t="n">
        <v>67</v>
      </c>
      <c r="D477" t="n">
        <v>0</v>
      </c>
      <c r="E477" t="n">
        <v>2</v>
      </c>
      <c r="F477" t="n">
        <v>0</v>
      </c>
      <c r="G477" t="n">
        <v>0</v>
      </c>
      <c r="H477" t="n">
        <v>65</v>
      </c>
      <c r="I477" t="n">
        <v>18</v>
      </c>
      <c r="J477" t="inlineStr">
        <is>
          <t>No</t>
        </is>
      </c>
      <c r="K477" t="inlineStr">
        <is>
          <t>Yes</t>
        </is>
      </c>
      <c r="L477" t="inlineStr">
        <is>
          <t>Main WH</t>
        </is>
      </c>
    </row>
    <row r="478">
      <c r="A478" s="4" t="n">
        <v>20250901</v>
      </c>
      <c r="B478" s="4" t="inlineStr">
        <is>
          <t>P040</t>
        </is>
      </c>
      <c r="C478" t="n">
        <v>65</v>
      </c>
      <c r="D478" t="n">
        <v>8</v>
      </c>
      <c r="E478" t="n">
        <v>1</v>
      </c>
      <c r="F478" t="n">
        <v>0</v>
      </c>
      <c r="G478" t="n">
        <v>0</v>
      </c>
      <c r="H478" t="n">
        <v>72</v>
      </c>
      <c r="I478" t="n">
        <v>18</v>
      </c>
      <c r="J478" t="inlineStr">
        <is>
          <t>No</t>
        </is>
      </c>
      <c r="K478" t="inlineStr">
        <is>
          <t>Yes</t>
        </is>
      </c>
      <c r="L478" t="inlineStr">
        <is>
          <t>Main WH</t>
        </is>
      </c>
    </row>
    <row r="479">
      <c r="A479" s="4" t="n">
        <v>20251001</v>
      </c>
      <c r="B479" s="4" t="inlineStr">
        <is>
          <t>P040</t>
        </is>
      </c>
      <c r="C479" t="n">
        <v>72</v>
      </c>
      <c r="D479" t="n">
        <v>0</v>
      </c>
      <c r="E479" t="n">
        <v>4</v>
      </c>
      <c r="F479" t="n">
        <v>0</v>
      </c>
      <c r="G479" t="n">
        <v>0</v>
      </c>
      <c r="H479" t="n">
        <v>68</v>
      </c>
      <c r="I479" t="n">
        <v>18</v>
      </c>
      <c r="J479" t="inlineStr">
        <is>
          <t>No</t>
        </is>
      </c>
      <c r="K479" t="inlineStr">
        <is>
          <t>Yes</t>
        </is>
      </c>
      <c r="L479" t="inlineStr">
        <is>
          <t>North WH</t>
        </is>
      </c>
    </row>
    <row r="480">
      <c r="A480" s="4" t="n">
        <v>20251101</v>
      </c>
      <c r="B480" s="4" t="inlineStr">
        <is>
          <t>P040</t>
        </is>
      </c>
      <c r="C480" t="n">
        <v>68</v>
      </c>
      <c r="D480" t="n">
        <v>0</v>
      </c>
      <c r="E480" t="n">
        <v>2</v>
      </c>
      <c r="F480" t="n">
        <v>0</v>
      </c>
      <c r="G480" t="n">
        <v>2</v>
      </c>
      <c r="H480" t="n">
        <v>64</v>
      </c>
      <c r="I480" t="n">
        <v>18</v>
      </c>
      <c r="J480" t="inlineStr">
        <is>
          <t>No</t>
        </is>
      </c>
      <c r="K480" t="inlineStr">
        <is>
          <t>Yes</t>
        </is>
      </c>
      <c r="L480" t="inlineStr">
        <is>
          <t>Main WH</t>
        </is>
      </c>
    </row>
    <row r="481">
      <c r="A481" s="4" t="n">
        <v>20251201</v>
      </c>
      <c r="B481" s="4" t="inlineStr">
        <is>
          <t>P040</t>
        </is>
      </c>
      <c r="C481" t="n">
        <v>64</v>
      </c>
      <c r="D481" t="n">
        <v>1</v>
      </c>
      <c r="E481" t="n">
        <v>6</v>
      </c>
      <c r="F481" t="n">
        <v>0</v>
      </c>
      <c r="G481" t="n">
        <v>0</v>
      </c>
      <c r="H481" t="n">
        <v>59</v>
      </c>
      <c r="I481" t="n">
        <v>18</v>
      </c>
      <c r="J481" t="inlineStr">
        <is>
          <t>No</t>
        </is>
      </c>
      <c r="K481" t="inlineStr">
        <is>
          <t>Yes</t>
        </is>
      </c>
      <c r="L481" t="inlineStr">
        <is>
          <t>North WH</t>
        </is>
      </c>
    </row>
    <row r="482">
      <c r="A482" s="4" t="n">
        <v>20250101</v>
      </c>
      <c r="B482" s="4" t="inlineStr">
        <is>
          <t>P041</t>
        </is>
      </c>
      <c r="C482" t="n">
        <v>67</v>
      </c>
      <c r="D482" t="n">
        <v>6</v>
      </c>
      <c r="E482" t="n">
        <v>1</v>
      </c>
      <c r="F482" t="n">
        <v>0</v>
      </c>
      <c r="G482" t="n">
        <v>0</v>
      </c>
      <c r="H482" t="n">
        <v>72</v>
      </c>
      <c r="I482" t="n">
        <v>36</v>
      </c>
      <c r="J482" t="inlineStr">
        <is>
          <t>No</t>
        </is>
      </c>
      <c r="K482" t="inlineStr">
        <is>
          <t>No</t>
        </is>
      </c>
      <c r="L482" t="inlineStr">
        <is>
          <t>North WH</t>
        </is>
      </c>
    </row>
    <row r="483">
      <c r="A483" s="4" t="n">
        <v>20250201</v>
      </c>
      <c r="B483" s="4" t="inlineStr">
        <is>
          <t>P041</t>
        </is>
      </c>
      <c r="C483" t="n">
        <v>72</v>
      </c>
      <c r="D483" t="n">
        <v>22</v>
      </c>
      <c r="E483" t="n">
        <v>5</v>
      </c>
      <c r="F483" t="n">
        <v>0</v>
      </c>
      <c r="G483" t="n">
        <v>1</v>
      </c>
      <c r="H483" t="n">
        <v>88</v>
      </c>
      <c r="I483" t="n">
        <v>36</v>
      </c>
      <c r="J483" t="inlineStr">
        <is>
          <t>No</t>
        </is>
      </c>
      <c r="K483" t="inlineStr">
        <is>
          <t>Yes</t>
        </is>
      </c>
      <c r="L483" t="inlineStr">
        <is>
          <t>North WH</t>
        </is>
      </c>
    </row>
    <row r="484">
      <c r="A484" s="4" t="n">
        <v>20250301</v>
      </c>
      <c r="B484" s="4" t="inlineStr">
        <is>
          <t>P041</t>
        </is>
      </c>
      <c r="C484" t="n">
        <v>88</v>
      </c>
      <c r="D484" t="n">
        <v>0</v>
      </c>
      <c r="E484" t="n">
        <v>3</v>
      </c>
      <c r="F484" t="n">
        <v>1</v>
      </c>
      <c r="G484" t="n">
        <v>2</v>
      </c>
      <c r="H484" t="n">
        <v>84</v>
      </c>
      <c r="I484" t="n">
        <v>36</v>
      </c>
      <c r="J484" t="inlineStr">
        <is>
          <t>No</t>
        </is>
      </c>
      <c r="K484" t="inlineStr">
        <is>
          <t>Yes</t>
        </is>
      </c>
      <c r="L484" t="inlineStr">
        <is>
          <t>Main WH</t>
        </is>
      </c>
    </row>
    <row r="485">
      <c r="A485" s="4" t="n">
        <v>20250401</v>
      </c>
      <c r="B485" s="4" t="inlineStr">
        <is>
          <t>P041</t>
        </is>
      </c>
      <c r="C485" t="n">
        <v>84</v>
      </c>
      <c r="D485" t="n">
        <v>2</v>
      </c>
      <c r="E485" t="n">
        <v>2</v>
      </c>
      <c r="F485" t="n">
        <v>0</v>
      </c>
      <c r="G485" t="n">
        <v>0</v>
      </c>
      <c r="H485" t="n">
        <v>84</v>
      </c>
      <c r="I485" t="n">
        <v>36</v>
      </c>
      <c r="J485" t="inlineStr">
        <is>
          <t>No</t>
        </is>
      </c>
      <c r="K485" t="inlineStr">
        <is>
          <t>Yes</t>
        </is>
      </c>
      <c r="L485" t="inlineStr">
        <is>
          <t>North WH</t>
        </is>
      </c>
    </row>
    <row r="486">
      <c r="A486" s="4" t="n">
        <v>20250501</v>
      </c>
      <c r="B486" s="4" t="inlineStr">
        <is>
          <t>P041</t>
        </is>
      </c>
      <c r="C486" t="n">
        <v>84</v>
      </c>
      <c r="D486" t="n">
        <v>0</v>
      </c>
      <c r="E486" t="n">
        <v>1</v>
      </c>
      <c r="F486" t="n">
        <v>0</v>
      </c>
      <c r="G486" t="n">
        <v>2</v>
      </c>
      <c r="H486" t="n">
        <v>81</v>
      </c>
      <c r="I486" t="n">
        <v>36</v>
      </c>
      <c r="J486" t="inlineStr">
        <is>
          <t>No</t>
        </is>
      </c>
      <c r="K486" t="inlineStr">
        <is>
          <t>No</t>
        </is>
      </c>
      <c r="L486" t="inlineStr">
        <is>
          <t>North WH</t>
        </is>
      </c>
    </row>
    <row r="487">
      <c r="A487" s="4" t="n">
        <v>20250601</v>
      </c>
      <c r="B487" s="4" t="inlineStr">
        <is>
          <t>P041</t>
        </is>
      </c>
      <c r="C487" t="n">
        <v>81</v>
      </c>
      <c r="D487" t="n">
        <v>0</v>
      </c>
      <c r="E487" t="n">
        <v>1</v>
      </c>
      <c r="F487" t="n">
        <v>0</v>
      </c>
      <c r="G487" t="n">
        <v>0</v>
      </c>
      <c r="H487" t="n">
        <v>80</v>
      </c>
      <c r="I487" t="n">
        <v>36</v>
      </c>
      <c r="J487" t="inlineStr">
        <is>
          <t>No</t>
        </is>
      </c>
      <c r="K487" t="inlineStr">
        <is>
          <t>No</t>
        </is>
      </c>
      <c r="L487" t="inlineStr">
        <is>
          <t>Main WH</t>
        </is>
      </c>
    </row>
    <row r="488">
      <c r="A488" s="4" t="n">
        <v>20250701</v>
      </c>
      <c r="B488" s="4" t="inlineStr">
        <is>
          <t>P041</t>
        </is>
      </c>
      <c r="C488" t="n">
        <v>80</v>
      </c>
      <c r="D488" t="n">
        <v>0</v>
      </c>
      <c r="E488" t="n">
        <v>2</v>
      </c>
      <c r="F488" t="n">
        <v>0</v>
      </c>
      <c r="G488" t="n">
        <v>2</v>
      </c>
      <c r="H488" t="n">
        <v>76</v>
      </c>
      <c r="I488" t="n">
        <v>36</v>
      </c>
      <c r="J488" t="inlineStr">
        <is>
          <t>No</t>
        </is>
      </c>
      <c r="K488" t="inlineStr">
        <is>
          <t>No</t>
        </is>
      </c>
      <c r="L488" t="inlineStr">
        <is>
          <t>North WH</t>
        </is>
      </c>
    </row>
    <row r="489">
      <c r="A489" s="4" t="n">
        <v>20250801</v>
      </c>
      <c r="B489" s="4" t="inlineStr">
        <is>
          <t>P041</t>
        </is>
      </c>
      <c r="C489" t="n">
        <v>76</v>
      </c>
      <c r="D489" t="n">
        <v>15</v>
      </c>
      <c r="E489" t="n">
        <v>2</v>
      </c>
      <c r="F489" t="n">
        <v>0</v>
      </c>
      <c r="G489" t="n">
        <v>2</v>
      </c>
      <c r="H489" t="n">
        <v>87</v>
      </c>
      <c r="I489" t="n">
        <v>36</v>
      </c>
      <c r="J489" t="inlineStr">
        <is>
          <t>No</t>
        </is>
      </c>
      <c r="K489" t="inlineStr">
        <is>
          <t>Yes</t>
        </is>
      </c>
      <c r="L489" t="inlineStr">
        <is>
          <t>Main WH</t>
        </is>
      </c>
    </row>
    <row r="490">
      <c r="A490" s="4" t="n">
        <v>20250901</v>
      </c>
      <c r="B490" s="4" t="inlineStr">
        <is>
          <t>P041</t>
        </is>
      </c>
      <c r="C490" t="n">
        <v>87</v>
      </c>
      <c r="D490" t="n">
        <v>0</v>
      </c>
      <c r="E490" t="n">
        <v>5</v>
      </c>
      <c r="F490" t="n">
        <v>0</v>
      </c>
      <c r="G490" t="n">
        <v>0</v>
      </c>
      <c r="H490" t="n">
        <v>82</v>
      </c>
      <c r="I490" t="n">
        <v>36</v>
      </c>
      <c r="J490" t="inlineStr">
        <is>
          <t>No</t>
        </is>
      </c>
      <c r="K490" t="inlineStr">
        <is>
          <t>No</t>
        </is>
      </c>
      <c r="L490" t="inlineStr">
        <is>
          <t>North WH</t>
        </is>
      </c>
    </row>
    <row r="491">
      <c r="A491" s="4" t="n">
        <v>20251001</v>
      </c>
      <c r="B491" s="4" t="inlineStr">
        <is>
          <t>P041</t>
        </is>
      </c>
      <c r="C491" t="n">
        <v>82</v>
      </c>
      <c r="D491" t="n">
        <v>0</v>
      </c>
      <c r="E491" t="n">
        <v>4</v>
      </c>
      <c r="F491" t="n">
        <v>1</v>
      </c>
      <c r="G491" t="n">
        <v>1</v>
      </c>
      <c r="H491" t="n">
        <v>78</v>
      </c>
      <c r="I491" t="n">
        <v>36</v>
      </c>
      <c r="J491" t="inlineStr">
        <is>
          <t>No</t>
        </is>
      </c>
      <c r="K491" t="inlineStr">
        <is>
          <t>No</t>
        </is>
      </c>
      <c r="L491" t="inlineStr">
        <is>
          <t>Main WH</t>
        </is>
      </c>
    </row>
    <row r="492">
      <c r="A492" s="4" t="n">
        <v>20251101</v>
      </c>
      <c r="B492" s="4" t="inlineStr">
        <is>
          <t>P041</t>
        </is>
      </c>
      <c r="C492" t="n">
        <v>78</v>
      </c>
      <c r="D492" t="n">
        <v>7</v>
      </c>
      <c r="E492" t="n">
        <v>3</v>
      </c>
      <c r="F492" t="n">
        <v>0</v>
      </c>
      <c r="G492" t="n">
        <v>0</v>
      </c>
      <c r="H492" t="n">
        <v>82</v>
      </c>
      <c r="I492" t="n">
        <v>36</v>
      </c>
      <c r="J492" t="inlineStr">
        <is>
          <t>No</t>
        </is>
      </c>
      <c r="K492" t="inlineStr">
        <is>
          <t>No</t>
        </is>
      </c>
      <c r="L492" t="inlineStr">
        <is>
          <t>Main WH</t>
        </is>
      </c>
    </row>
    <row r="493">
      <c r="A493" s="4" t="n">
        <v>20251201</v>
      </c>
      <c r="B493" s="4" t="inlineStr">
        <is>
          <t>P041</t>
        </is>
      </c>
      <c r="C493" t="n">
        <v>82</v>
      </c>
      <c r="D493" t="n">
        <v>0</v>
      </c>
      <c r="E493" t="n">
        <v>1</v>
      </c>
      <c r="F493" t="n">
        <v>0</v>
      </c>
      <c r="G493" t="n">
        <v>1</v>
      </c>
      <c r="H493" t="n">
        <v>80</v>
      </c>
      <c r="I493" t="n">
        <v>36</v>
      </c>
      <c r="J493" t="inlineStr">
        <is>
          <t>No</t>
        </is>
      </c>
      <c r="K493" t="inlineStr">
        <is>
          <t>No</t>
        </is>
      </c>
      <c r="L493" t="inlineStr">
        <is>
          <t>North WH</t>
        </is>
      </c>
    </row>
    <row r="494">
      <c r="A494" s="4" t="n">
        <v>20250101</v>
      </c>
      <c r="B494" s="4" t="inlineStr">
        <is>
          <t>P042</t>
        </is>
      </c>
      <c r="C494" t="n">
        <v>65</v>
      </c>
      <c r="D494" t="n">
        <v>0</v>
      </c>
      <c r="E494" t="n">
        <v>0</v>
      </c>
      <c r="F494" t="n">
        <v>0</v>
      </c>
      <c r="G494" t="n">
        <v>0</v>
      </c>
      <c r="H494" t="n">
        <v>65</v>
      </c>
      <c r="I494" t="n">
        <v>30</v>
      </c>
      <c r="J494" t="inlineStr">
        <is>
          <t>No</t>
        </is>
      </c>
      <c r="K494" t="inlineStr">
        <is>
          <t>No</t>
        </is>
      </c>
      <c r="L494" t="inlineStr">
        <is>
          <t>North WH</t>
        </is>
      </c>
    </row>
    <row r="495">
      <c r="A495" s="4" t="n">
        <v>20250201</v>
      </c>
      <c r="B495" s="4" t="inlineStr">
        <is>
          <t>P042</t>
        </is>
      </c>
      <c r="C495" t="n">
        <v>65</v>
      </c>
      <c r="D495" t="n">
        <v>11</v>
      </c>
      <c r="E495" t="n">
        <v>0</v>
      </c>
      <c r="F495" t="n">
        <v>0</v>
      </c>
      <c r="G495" t="n">
        <v>1</v>
      </c>
      <c r="H495" t="n">
        <v>75</v>
      </c>
      <c r="I495" t="n">
        <v>30</v>
      </c>
      <c r="J495" t="inlineStr">
        <is>
          <t>No</t>
        </is>
      </c>
      <c r="K495" t="inlineStr">
        <is>
          <t>Yes</t>
        </is>
      </c>
      <c r="L495" t="inlineStr">
        <is>
          <t>North WH</t>
        </is>
      </c>
    </row>
    <row r="496">
      <c r="A496" s="4" t="n">
        <v>20250301</v>
      </c>
      <c r="B496" s="4" t="inlineStr">
        <is>
          <t>P042</t>
        </is>
      </c>
      <c r="C496" t="n">
        <v>75</v>
      </c>
      <c r="D496" t="n">
        <v>10</v>
      </c>
      <c r="E496" t="n">
        <v>1</v>
      </c>
      <c r="F496" t="n">
        <v>0</v>
      </c>
      <c r="G496" t="n">
        <v>2</v>
      </c>
      <c r="H496" t="n">
        <v>82</v>
      </c>
      <c r="I496" t="n">
        <v>30</v>
      </c>
      <c r="J496" t="inlineStr">
        <is>
          <t>No</t>
        </is>
      </c>
      <c r="K496" t="inlineStr">
        <is>
          <t>Yes</t>
        </is>
      </c>
      <c r="L496" t="inlineStr">
        <is>
          <t>Main WH</t>
        </is>
      </c>
    </row>
    <row r="497">
      <c r="A497" s="4" t="n">
        <v>20250401</v>
      </c>
      <c r="B497" s="4" t="inlineStr">
        <is>
          <t>P042</t>
        </is>
      </c>
      <c r="C497" t="n">
        <v>82</v>
      </c>
      <c r="D497" t="n">
        <v>0</v>
      </c>
      <c r="E497" t="n">
        <v>1</v>
      </c>
      <c r="F497" t="n">
        <v>0</v>
      </c>
      <c r="G497" t="n">
        <v>1</v>
      </c>
      <c r="H497" t="n">
        <v>80</v>
      </c>
      <c r="I497" t="n">
        <v>30</v>
      </c>
      <c r="J497" t="inlineStr">
        <is>
          <t>No</t>
        </is>
      </c>
      <c r="K497" t="inlineStr">
        <is>
          <t>Yes</t>
        </is>
      </c>
      <c r="L497" t="inlineStr">
        <is>
          <t>North WH</t>
        </is>
      </c>
    </row>
    <row r="498">
      <c r="A498" s="4" t="n">
        <v>20250501</v>
      </c>
      <c r="B498" s="4" t="inlineStr">
        <is>
          <t>P042</t>
        </is>
      </c>
      <c r="C498" t="n">
        <v>80</v>
      </c>
      <c r="D498" t="n">
        <v>0</v>
      </c>
      <c r="E498" t="n">
        <v>0</v>
      </c>
      <c r="F498" t="n">
        <v>0</v>
      </c>
      <c r="G498" t="n">
        <v>1</v>
      </c>
      <c r="H498" t="n">
        <v>79</v>
      </c>
      <c r="I498" t="n">
        <v>30</v>
      </c>
      <c r="J498" t="inlineStr">
        <is>
          <t>No</t>
        </is>
      </c>
      <c r="K498" t="inlineStr">
        <is>
          <t>Yes</t>
        </is>
      </c>
      <c r="L498" t="inlineStr">
        <is>
          <t>Main WH</t>
        </is>
      </c>
    </row>
    <row r="499">
      <c r="A499" s="4" t="n">
        <v>20250601</v>
      </c>
      <c r="B499" s="4" t="inlineStr">
        <is>
          <t>P042</t>
        </is>
      </c>
      <c r="C499" t="n">
        <v>79</v>
      </c>
      <c r="D499" t="n">
        <v>0</v>
      </c>
      <c r="E499" t="n">
        <v>2</v>
      </c>
      <c r="F499" t="n">
        <v>0</v>
      </c>
      <c r="G499" t="n">
        <v>0</v>
      </c>
      <c r="H499" t="n">
        <v>77</v>
      </c>
      <c r="I499" t="n">
        <v>30</v>
      </c>
      <c r="J499" t="inlineStr">
        <is>
          <t>No</t>
        </is>
      </c>
      <c r="K499" t="inlineStr">
        <is>
          <t>Yes</t>
        </is>
      </c>
      <c r="L499" t="inlineStr">
        <is>
          <t>Main WH</t>
        </is>
      </c>
    </row>
    <row r="500">
      <c r="A500" s="4" t="n">
        <v>20250701</v>
      </c>
      <c r="B500" s="4" t="inlineStr">
        <is>
          <t>P042</t>
        </is>
      </c>
      <c r="C500" t="n">
        <v>77</v>
      </c>
      <c r="D500" t="n">
        <v>0</v>
      </c>
      <c r="E500" t="n">
        <v>2</v>
      </c>
      <c r="F500" t="n">
        <v>0</v>
      </c>
      <c r="G500" t="n">
        <v>0</v>
      </c>
      <c r="H500" t="n">
        <v>75</v>
      </c>
      <c r="I500" t="n">
        <v>30</v>
      </c>
      <c r="J500" t="inlineStr">
        <is>
          <t>No</t>
        </is>
      </c>
      <c r="K500" t="inlineStr">
        <is>
          <t>Yes</t>
        </is>
      </c>
      <c r="L500" t="inlineStr">
        <is>
          <t>Main WH</t>
        </is>
      </c>
    </row>
    <row r="501">
      <c r="A501" s="4" t="n">
        <v>20250801</v>
      </c>
      <c r="B501" s="4" t="inlineStr">
        <is>
          <t>P042</t>
        </is>
      </c>
      <c r="C501" t="n">
        <v>75</v>
      </c>
      <c r="D501" t="n">
        <v>10</v>
      </c>
      <c r="E501" t="n">
        <v>0</v>
      </c>
      <c r="F501" t="n">
        <v>0</v>
      </c>
      <c r="G501" t="n">
        <v>2</v>
      </c>
      <c r="H501" t="n">
        <v>83</v>
      </c>
      <c r="I501" t="n">
        <v>30</v>
      </c>
      <c r="J501" t="inlineStr">
        <is>
          <t>No</t>
        </is>
      </c>
      <c r="K501" t="inlineStr">
        <is>
          <t>Yes</t>
        </is>
      </c>
      <c r="L501" t="inlineStr">
        <is>
          <t>North WH</t>
        </is>
      </c>
    </row>
    <row r="502">
      <c r="A502" s="4" t="n">
        <v>20250901</v>
      </c>
      <c r="B502" s="4" t="inlineStr">
        <is>
          <t>P042</t>
        </is>
      </c>
      <c r="C502" t="n">
        <v>83</v>
      </c>
      <c r="D502" t="n">
        <v>0</v>
      </c>
      <c r="E502" t="n">
        <v>1</v>
      </c>
      <c r="F502" t="n">
        <v>0</v>
      </c>
      <c r="G502" t="n">
        <v>0</v>
      </c>
      <c r="H502" t="n">
        <v>82</v>
      </c>
      <c r="I502" t="n">
        <v>30</v>
      </c>
      <c r="J502" t="inlineStr">
        <is>
          <t>No</t>
        </is>
      </c>
      <c r="K502" t="inlineStr">
        <is>
          <t>Yes</t>
        </is>
      </c>
      <c r="L502" t="inlineStr">
        <is>
          <t>North WH</t>
        </is>
      </c>
    </row>
    <row r="503">
      <c r="A503" s="4" t="n">
        <v>20251001</v>
      </c>
      <c r="B503" s="4" t="inlineStr">
        <is>
          <t>P042</t>
        </is>
      </c>
      <c r="C503" t="n">
        <v>82</v>
      </c>
      <c r="D503" t="n">
        <v>0</v>
      </c>
      <c r="E503" t="n">
        <v>7</v>
      </c>
      <c r="F503" t="n">
        <v>0</v>
      </c>
      <c r="G503" t="n">
        <v>2</v>
      </c>
      <c r="H503" t="n">
        <v>73</v>
      </c>
      <c r="I503" t="n">
        <v>30</v>
      </c>
      <c r="J503" t="inlineStr">
        <is>
          <t>No</t>
        </is>
      </c>
      <c r="K503" t="inlineStr">
        <is>
          <t>Yes</t>
        </is>
      </c>
      <c r="L503" t="inlineStr">
        <is>
          <t>North WH</t>
        </is>
      </c>
    </row>
    <row r="504">
      <c r="A504" s="4" t="n">
        <v>20251101</v>
      </c>
      <c r="B504" s="4" t="inlineStr">
        <is>
          <t>P042</t>
        </is>
      </c>
      <c r="C504" t="n">
        <v>73</v>
      </c>
      <c r="D504" t="n">
        <v>0</v>
      </c>
      <c r="E504" t="n">
        <v>3</v>
      </c>
      <c r="F504" t="n">
        <v>0</v>
      </c>
      <c r="G504" t="n">
        <v>1</v>
      </c>
      <c r="H504" t="n">
        <v>69</v>
      </c>
      <c r="I504" t="n">
        <v>30</v>
      </c>
      <c r="J504" t="inlineStr">
        <is>
          <t>No</t>
        </is>
      </c>
      <c r="K504" t="inlineStr">
        <is>
          <t>Yes</t>
        </is>
      </c>
      <c r="L504" t="inlineStr">
        <is>
          <t>Main WH</t>
        </is>
      </c>
    </row>
    <row r="505">
      <c r="A505" s="4" t="n">
        <v>20251201</v>
      </c>
      <c r="B505" s="4" t="inlineStr">
        <is>
          <t>P042</t>
        </is>
      </c>
      <c r="C505" t="n">
        <v>69</v>
      </c>
      <c r="D505" t="n">
        <v>17</v>
      </c>
      <c r="E505" t="n">
        <v>6</v>
      </c>
      <c r="F505" t="n">
        <v>0</v>
      </c>
      <c r="G505" t="n">
        <v>1</v>
      </c>
      <c r="H505" t="n">
        <v>79</v>
      </c>
      <c r="I505" t="n">
        <v>30</v>
      </c>
      <c r="J505" t="inlineStr">
        <is>
          <t>No</t>
        </is>
      </c>
      <c r="K505" t="inlineStr">
        <is>
          <t>Yes</t>
        </is>
      </c>
      <c r="L505" t="inlineStr">
        <is>
          <t>North WH</t>
        </is>
      </c>
    </row>
    <row r="506">
      <c r="A506" s="4" t="n">
        <v>20250101</v>
      </c>
      <c r="B506" s="4" t="inlineStr">
        <is>
          <t>P043</t>
        </is>
      </c>
      <c r="C506" t="n">
        <v>73</v>
      </c>
      <c r="D506" t="n">
        <v>0</v>
      </c>
      <c r="E506" t="n">
        <v>3</v>
      </c>
      <c r="F506" t="n">
        <v>0</v>
      </c>
      <c r="G506" t="n">
        <v>0</v>
      </c>
      <c r="H506" t="n">
        <v>70</v>
      </c>
      <c r="I506" t="n">
        <v>18</v>
      </c>
      <c r="J506" t="inlineStr">
        <is>
          <t>No</t>
        </is>
      </c>
      <c r="K506" t="inlineStr">
        <is>
          <t>Yes</t>
        </is>
      </c>
      <c r="L506" t="inlineStr">
        <is>
          <t>Main WH</t>
        </is>
      </c>
    </row>
    <row r="507">
      <c r="A507" s="4" t="n">
        <v>20250201</v>
      </c>
      <c r="B507" s="4" t="inlineStr">
        <is>
          <t>P043</t>
        </is>
      </c>
      <c r="C507" t="n">
        <v>70</v>
      </c>
      <c r="D507" t="n">
        <v>0</v>
      </c>
      <c r="E507" t="n">
        <v>4</v>
      </c>
      <c r="F507" t="n">
        <v>0</v>
      </c>
      <c r="G507" t="n">
        <v>1</v>
      </c>
      <c r="H507" t="n">
        <v>65</v>
      </c>
      <c r="I507" t="n">
        <v>18</v>
      </c>
      <c r="J507" t="inlineStr">
        <is>
          <t>No</t>
        </is>
      </c>
      <c r="K507" t="inlineStr">
        <is>
          <t>Yes</t>
        </is>
      </c>
      <c r="L507" t="inlineStr">
        <is>
          <t>North WH</t>
        </is>
      </c>
    </row>
    <row r="508">
      <c r="A508" s="4" t="n">
        <v>20250301</v>
      </c>
      <c r="B508" s="4" t="inlineStr">
        <is>
          <t>P043</t>
        </is>
      </c>
      <c r="C508" t="n">
        <v>65</v>
      </c>
      <c r="D508" t="n">
        <v>9</v>
      </c>
      <c r="E508" t="n">
        <v>2</v>
      </c>
      <c r="F508" t="n">
        <v>0</v>
      </c>
      <c r="G508" t="n">
        <v>1</v>
      </c>
      <c r="H508" t="n">
        <v>71</v>
      </c>
      <c r="I508" t="n">
        <v>18</v>
      </c>
      <c r="J508" t="inlineStr">
        <is>
          <t>No</t>
        </is>
      </c>
      <c r="K508" t="inlineStr">
        <is>
          <t>Yes</t>
        </is>
      </c>
      <c r="L508" t="inlineStr">
        <is>
          <t>Main WH</t>
        </is>
      </c>
    </row>
    <row r="509">
      <c r="A509" s="4" t="n">
        <v>20250401</v>
      </c>
      <c r="B509" s="4" t="inlineStr">
        <is>
          <t>P043</t>
        </is>
      </c>
      <c r="C509" t="n">
        <v>71</v>
      </c>
      <c r="D509" t="n">
        <v>0</v>
      </c>
      <c r="E509" t="n">
        <v>3</v>
      </c>
      <c r="F509" t="n">
        <v>0</v>
      </c>
      <c r="G509" t="n">
        <v>0</v>
      </c>
      <c r="H509" t="n">
        <v>68</v>
      </c>
      <c r="I509" t="n">
        <v>18</v>
      </c>
      <c r="J509" t="inlineStr">
        <is>
          <t>No</t>
        </is>
      </c>
      <c r="K509" t="inlineStr">
        <is>
          <t>Yes</t>
        </is>
      </c>
      <c r="L509" t="inlineStr">
        <is>
          <t>North WH</t>
        </is>
      </c>
    </row>
    <row r="510">
      <c r="A510" s="4" t="n">
        <v>20250501</v>
      </c>
      <c r="B510" s="4" t="inlineStr">
        <is>
          <t>P043</t>
        </is>
      </c>
      <c r="C510" t="n">
        <v>68</v>
      </c>
      <c r="D510" t="n">
        <v>0</v>
      </c>
      <c r="E510" t="n">
        <v>4</v>
      </c>
      <c r="F510" t="n">
        <v>0</v>
      </c>
      <c r="G510" t="n">
        <v>0</v>
      </c>
      <c r="H510" t="n">
        <v>64</v>
      </c>
      <c r="I510" t="n">
        <v>18</v>
      </c>
      <c r="J510" t="inlineStr">
        <is>
          <t>No</t>
        </is>
      </c>
      <c r="K510" t="inlineStr">
        <is>
          <t>Yes</t>
        </is>
      </c>
      <c r="L510" t="inlineStr">
        <is>
          <t>North WH</t>
        </is>
      </c>
    </row>
    <row r="511">
      <c r="A511" s="4" t="n">
        <v>20250601</v>
      </c>
      <c r="B511" s="4" t="inlineStr">
        <is>
          <t>P043</t>
        </is>
      </c>
      <c r="C511" t="n">
        <v>64</v>
      </c>
      <c r="D511" t="n">
        <v>0</v>
      </c>
      <c r="E511" t="n">
        <v>5</v>
      </c>
      <c r="F511" t="n">
        <v>0</v>
      </c>
      <c r="G511" t="n">
        <v>2</v>
      </c>
      <c r="H511" t="n">
        <v>57</v>
      </c>
      <c r="I511" t="n">
        <v>18</v>
      </c>
      <c r="J511" t="inlineStr">
        <is>
          <t>No</t>
        </is>
      </c>
      <c r="K511" t="inlineStr">
        <is>
          <t>Yes</t>
        </is>
      </c>
      <c r="L511" t="inlineStr">
        <is>
          <t>North WH</t>
        </is>
      </c>
    </row>
    <row r="512">
      <c r="A512" s="4" t="n">
        <v>20250701</v>
      </c>
      <c r="B512" s="4" t="inlineStr">
        <is>
          <t>P043</t>
        </is>
      </c>
      <c r="C512" t="n">
        <v>57</v>
      </c>
      <c r="D512" t="n">
        <v>6</v>
      </c>
      <c r="E512" t="n">
        <v>4</v>
      </c>
      <c r="F512" t="n">
        <v>0</v>
      </c>
      <c r="G512" t="n">
        <v>0</v>
      </c>
      <c r="H512" t="n">
        <v>59</v>
      </c>
      <c r="I512" t="n">
        <v>18</v>
      </c>
      <c r="J512" t="inlineStr">
        <is>
          <t>No</t>
        </is>
      </c>
      <c r="K512" t="inlineStr">
        <is>
          <t>Yes</t>
        </is>
      </c>
      <c r="L512" t="inlineStr">
        <is>
          <t>Main WH</t>
        </is>
      </c>
    </row>
    <row r="513">
      <c r="A513" s="4" t="n">
        <v>20250801</v>
      </c>
      <c r="B513" s="4" t="inlineStr">
        <is>
          <t>P043</t>
        </is>
      </c>
      <c r="C513" t="n">
        <v>59</v>
      </c>
      <c r="D513" t="n">
        <v>0</v>
      </c>
      <c r="E513" t="n">
        <v>0</v>
      </c>
      <c r="F513" t="n">
        <v>0</v>
      </c>
      <c r="G513" t="n">
        <v>0</v>
      </c>
      <c r="H513" t="n">
        <v>59</v>
      </c>
      <c r="I513" t="n">
        <v>18</v>
      </c>
      <c r="J513" t="inlineStr">
        <is>
          <t>No</t>
        </is>
      </c>
      <c r="K513" t="inlineStr">
        <is>
          <t>Yes</t>
        </is>
      </c>
      <c r="L513" t="inlineStr">
        <is>
          <t>North WH</t>
        </is>
      </c>
    </row>
    <row r="514">
      <c r="A514" s="4" t="n">
        <v>20250901</v>
      </c>
      <c r="B514" s="4" t="inlineStr">
        <is>
          <t>P043</t>
        </is>
      </c>
      <c r="C514" t="n">
        <v>59</v>
      </c>
      <c r="D514" t="n">
        <v>0</v>
      </c>
      <c r="E514" t="n">
        <v>3</v>
      </c>
      <c r="F514" t="n">
        <v>2</v>
      </c>
      <c r="G514" t="n">
        <v>1</v>
      </c>
      <c r="H514" t="n">
        <v>57</v>
      </c>
      <c r="I514" t="n">
        <v>18</v>
      </c>
      <c r="J514" t="inlineStr">
        <is>
          <t>No</t>
        </is>
      </c>
      <c r="K514" t="inlineStr">
        <is>
          <t>Yes</t>
        </is>
      </c>
      <c r="L514" t="inlineStr">
        <is>
          <t>North WH</t>
        </is>
      </c>
    </row>
    <row r="515">
      <c r="A515" s="4" t="n">
        <v>20251001</v>
      </c>
      <c r="B515" s="4" t="inlineStr">
        <is>
          <t>P043</t>
        </is>
      </c>
      <c r="C515" t="n">
        <v>57</v>
      </c>
      <c r="D515" t="n">
        <v>15</v>
      </c>
      <c r="E515" t="n">
        <v>1</v>
      </c>
      <c r="F515" t="n">
        <v>0</v>
      </c>
      <c r="G515" t="n">
        <v>1</v>
      </c>
      <c r="H515" t="n">
        <v>70</v>
      </c>
      <c r="I515" t="n">
        <v>18</v>
      </c>
      <c r="J515" t="inlineStr">
        <is>
          <t>No</t>
        </is>
      </c>
      <c r="K515" t="inlineStr">
        <is>
          <t>Yes</t>
        </is>
      </c>
      <c r="L515" t="inlineStr">
        <is>
          <t>North WH</t>
        </is>
      </c>
    </row>
    <row r="516">
      <c r="A516" s="4" t="n">
        <v>20251101</v>
      </c>
      <c r="B516" s="4" t="inlineStr">
        <is>
          <t>P043</t>
        </is>
      </c>
      <c r="C516" t="n">
        <v>70</v>
      </c>
      <c r="D516" t="n">
        <v>0</v>
      </c>
      <c r="E516" t="n">
        <v>2</v>
      </c>
      <c r="F516" t="n">
        <v>0</v>
      </c>
      <c r="G516" t="n">
        <v>1</v>
      </c>
      <c r="H516" t="n">
        <v>67</v>
      </c>
      <c r="I516" t="n">
        <v>18</v>
      </c>
      <c r="J516" t="inlineStr">
        <is>
          <t>No</t>
        </is>
      </c>
      <c r="K516" t="inlineStr">
        <is>
          <t>Yes</t>
        </is>
      </c>
      <c r="L516" t="inlineStr">
        <is>
          <t>Main WH</t>
        </is>
      </c>
    </row>
    <row r="517">
      <c r="A517" s="4" t="n">
        <v>20251201</v>
      </c>
      <c r="B517" s="4" t="inlineStr">
        <is>
          <t>P043</t>
        </is>
      </c>
      <c r="C517" t="n">
        <v>67</v>
      </c>
      <c r="D517" t="n">
        <v>0</v>
      </c>
      <c r="E517" t="n">
        <v>4</v>
      </c>
      <c r="F517" t="n">
        <v>1</v>
      </c>
      <c r="G517" t="n">
        <v>0</v>
      </c>
      <c r="H517" t="n">
        <v>64</v>
      </c>
      <c r="I517" t="n">
        <v>18</v>
      </c>
      <c r="J517" t="inlineStr">
        <is>
          <t>No</t>
        </is>
      </c>
      <c r="K517" t="inlineStr">
        <is>
          <t>Yes</t>
        </is>
      </c>
      <c r="L517" t="inlineStr">
        <is>
          <t>North WH</t>
        </is>
      </c>
    </row>
    <row r="518">
      <c r="A518" s="4" t="n">
        <v>20250101</v>
      </c>
      <c r="B518" s="4" t="inlineStr">
        <is>
          <t>P044</t>
        </is>
      </c>
      <c r="C518" t="n">
        <v>81</v>
      </c>
      <c r="D518" t="n">
        <v>1</v>
      </c>
      <c r="E518" t="n">
        <v>3</v>
      </c>
      <c r="F518" t="n">
        <v>0</v>
      </c>
      <c r="G518" t="n">
        <v>2</v>
      </c>
      <c r="H518" t="n">
        <v>77</v>
      </c>
      <c r="I518" t="n">
        <v>24</v>
      </c>
      <c r="J518" t="inlineStr">
        <is>
          <t>No</t>
        </is>
      </c>
      <c r="K518" t="inlineStr">
        <is>
          <t>Yes</t>
        </is>
      </c>
      <c r="L518" t="inlineStr">
        <is>
          <t>Main WH</t>
        </is>
      </c>
    </row>
    <row r="519">
      <c r="A519" s="4" t="n">
        <v>20250201</v>
      </c>
      <c r="B519" s="4" t="inlineStr">
        <is>
          <t>P044</t>
        </is>
      </c>
      <c r="C519" t="n">
        <v>77</v>
      </c>
      <c r="D519" t="n">
        <v>0</v>
      </c>
      <c r="E519" t="n">
        <v>0</v>
      </c>
      <c r="F519" t="n">
        <v>0</v>
      </c>
      <c r="G519" t="n">
        <v>2</v>
      </c>
      <c r="H519" t="n">
        <v>75</v>
      </c>
      <c r="I519" t="n">
        <v>24</v>
      </c>
      <c r="J519" t="inlineStr">
        <is>
          <t>No</t>
        </is>
      </c>
      <c r="K519" t="inlineStr">
        <is>
          <t>Yes</t>
        </is>
      </c>
      <c r="L519" t="inlineStr">
        <is>
          <t>Main WH</t>
        </is>
      </c>
    </row>
    <row r="520">
      <c r="A520" s="4" t="n">
        <v>20250301</v>
      </c>
      <c r="B520" s="4" t="inlineStr">
        <is>
          <t>P044</t>
        </is>
      </c>
      <c r="C520" t="n">
        <v>75</v>
      </c>
      <c r="D520" t="n">
        <v>0</v>
      </c>
      <c r="E520" t="n">
        <v>0</v>
      </c>
      <c r="F520" t="n">
        <v>0</v>
      </c>
      <c r="G520" t="n">
        <v>0</v>
      </c>
      <c r="H520" t="n">
        <v>75</v>
      </c>
      <c r="I520" t="n">
        <v>24</v>
      </c>
      <c r="J520" t="inlineStr">
        <is>
          <t>No</t>
        </is>
      </c>
      <c r="K520" t="inlineStr">
        <is>
          <t>Yes</t>
        </is>
      </c>
      <c r="L520" t="inlineStr">
        <is>
          <t>North WH</t>
        </is>
      </c>
    </row>
    <row r="521">
      <c r="A521" s="4" t="n">
        <v>20250401</v>
      </c>
      <c r="B521" s="4" t="inlineStr">
        <is>
          <t>P044</t>
        </is>
      </c>
      <c r="C521" t="n">
        <v>75</v>
      </c>
      <c r="D521" t="n">
        <v>0</v>
      </c>
      <c r="E521" t="n">
        <v>2</v>
      </c>
      <c r="F521" t="n">
        <v>0</v>
      </c>
      <c r="G521" t="n">
        <v>0</v>
      </c>
      <c r="H521" t="n">
        <v>73</v>
      </c>
      <c r="I521" t="n">
        <v>24</v>
      </c>
      <c r="J521" t="inlineStr">
        <is>
          <t>No</t>
        </is>
      </c>
      <c r="K521" t="inlineStr">
        <is>
          <t>Yes</t>
        </is>
      </c>
      <c r="L521" t="inlineStr">
        <is>
          <t>North WH</t>
        </is>
      </c>
    </row>
    <row r="522">
      <c r="A522" s="4" t="n">
        <v>20250501</v>
      </c>
      <c r="B522" s="4" t="inlineStr">
        <is>
          <t>P044</t>
        </is>
      </c>
      <c r="C522" t="n">
        <v>73</v>
      </c>
      <c r="D522" t="n">
        <v>0</v>
      </c>
      <c r="E522" t="n">
        <v>1</v>
      </c>
      <c r="F522" t="n">
        <v>0</v>
      </c>
      <c r="G522" t="n">
        <v>1</v>
      </c>
      <c r="H522" t="n">
        <v>71</v>
      </c>
      <c r="I522" t="n">
        <v>24</v>
      </c>
      <c r="J522" t="inlineStr">
        <is>
          <t>No</t>
        </is>
      </c>
      <c r="K522" t="inlineStr">
        <is>
          <t>Yes</t>
        </is>
      </c>
      <c r="L522" t="inlineStr">
        <is>
          <t>Main WH</t>
        </is>
      </c>
    </row>
    <row r="523">
      <c r="A523" s="4" t="n">
        <v>20250601</v>
      </c>
      <c r="B523" s="4" t="inlineStr">
        <is>
          <t>P044</t>
        </is>
      </c>
      <c r="C523" t="n">
        <v>71</v>
      </c>
      <c r="D523" t="n">
        <v>0</v>
      </c>
      <c r="E523" t="n">
        <v>7</v>
      </c>
      <c r="F523" t="n">
        <v>0</v>
      </c>
      <c r="G523" t="n">
        <v>1</v>
      </c>
      <c r="H523" t="n">
        <v>63</v>
      </c>
      <c r="I523" t="n">
        <v>24</v>
      </c>
      <c r="J523" t="inlineStr">
        <is>
          <t>No</t>
        </is>
      </c>
      <c r="K523" t="inlineStr">
        <is>
          <t>Yes</t>
        </is>
      </c>
      <c r="L523" t="inlineStr">
        <is>
          <t>North WH</t>
        </is>
      </c>
    </row>
    <row r="524">
      <c r="A524" s="4" t="n">
        <v>20250701</v>
      </c>
      <c r="B524" s="4" t="inlineStr">
        <is>
          <t>P044</t>
        </is>
      </c>
      <c r="C524" t="n">
        <v>63</v>
      </c>
      <c r="D524" t="n">
        <v>2</v>
      </c>
      <c r="E524" t="n">
        <v>1</v>
      </c>
      <c r="F524" t="n">
        <v>0</v>
      </c>
      <c r="G524" t="n">
        <v>0</v>
      </c>
      <c r="H524" t="n">
        <v>64</v>
      </c>
      <c r="I524" t="n">
        <v>24</v>
      </c>
      <c r="J524" t="inlineStr">
        <is>
          <t>No</t>
        </is>
      </c>
      <c r="K524" t="inlineStr">
        <is>
          <t>Yes</t>
        </is>
      </c>
      <c r="L524" t="inlineStr">
        <is>
          <t>North WH</t>
        </is>
      </c>
    </row>
    <row r="525">
      <c r="A525" s="4" t="n">
        <v>20250801</v>
      </c>
      <c r="B525" s="4" t="inlineStr">
        <is>
          <t>P044</t>
        </is>
      </c>
      <c r="C525" t="n">
        <v>64</v>
      </c>
      <c r="D525" t="n">
        <v>7</v>
      </c>
      <c r="E525" t="n">
        <v>1</v>
      </c>
      <c r="F525" t="n">
        <v>0</v>
      </c>
      <c r="G525" t="n">
        <v>1</v>
      </c>
      <c r="H525" t="n">
        <v>69</v>
      </c>
      <c r="I525" t="n">
        <v>24</v>
      </c>
      <c r="J525" t="inlineStr">
        <is>
          <t>No</t>
        </is>
      </c>
      <c r="K525" t="inlineStr">
        <is>
          <t>Yes</t>
        </is>
      </c>
      <c r="L525" t="inlineStr">
        <is>
          <t>North WH</t>
        </is>
      </c>
    </row>
    <row r="526">
      <c r="A526" s="4" t="n">
        <v>20250901</v>
      </c>
      <c r="B526" s="4" t="inlineStr">
        <is>
          <t>P044</t>
        </is>
      </c>
      <c r="C526" t="n">
        <v>69</v>
      </c>
      <c r="D526" t="n">
        <v>0</v>
      </c>
      <c r="E526" t="n">
        <v>6</v>
      </c>
      <c r="F526" t="n">
        <v>1</v>
      </c>
      <c r="G526" t="n">
        <v>0</v>
      </c>
      <c r="H526" t="n">
        <v>64</v>
      </c>
      <c r="I526" t="n">
        <v>24</v>
      </c>
      <c r="J526" t="inlineStr">
        <is>
          <t>No</t>
        </is>
      </c>
      <c r="K526" t="inlineStr">
        <is>
          <t>Yes</t>
        </is>
      </c>
      <c r="L526" t="inlineStr">
        <is>
          <t>North WH</t>
        </is>
      </c>
    </row>
    <row r="527">
      <c r="A527" s="4" t="n">
        <v>20251001</v>
      </c>
      <c r="B527" s="4" t="inlineStr">
        <is>
          <t>P044</t>
        </is>
      </c>
      <c r="C527" t="n">
        <v>64</v>
      </c>
      <c r="D527" t="n">
        <v>2</v>
      </c>
      <c r="E527" t="n">
        <v>2</v>
      </c>
      <c r="F527" t="n">
        <v>0</v>
      </c>
      <c r="G527" t="n">
        <v>1</v>
      </c>
      <c r="H527" t="n">
        <v>63</v>
      </c>
      <c r="I527" t="n">
        <v>24</v>
      </c>
      <c r="J527" t="inlineStr">
        <is>
          <t>No</t>
        </is>
      </c>
      <c r="K527" t="inlineStr">
        <is>
          <t>Yes</t>
        </is>
      </c>
      <c r="L527" t="inlineStr">
        <is>
          <t>Main WH</t>
        </is>
      </c>
    </row>
    <row r="528">
      <c r="A528" s="4" t="n">
        <v>20251101</v>
      </c>
      <c r="B528" s="4" t="inlineStr">
        <is>
          <t>P044</t>
        </is>
      </c>
      <c r="C528" t="n">
        <v>63</v>
      </c>
      <c r="D528" t="n">
        <v>10</v>
      </c>
      <c r="E528" t="n">
        <v>3</v>
      </c>
      <c r="F528" t="n">
        <v>0</v>
      </c>
      <c r="G528" t="n">
        <v>2</v>
      </c>
      <c r="H528" t="n">
        <v>68</v>
      </c>
      <c r="I528" t="n">
        <v>24</v>
      </c>
      <c r="J528" t="inlineStr">
        <is>
          <t>No</t>
        </is>
      </c>
      <c r="K528" t="inlineStr">
        <is>
          <t>Yes</t>
        </is>
      </c>
      <c r="L528" t="inlineStr">
        <is>
          <t>Main WH</t>
        </is>
      </c>
    </row>
    <row r="529">
      <c r="A529" s="4" t="n">
        <v>20251201</v>
      </c>
      <c r="B529" s="4" t="inlineStr">
        <is>
          <t>P044</t>
        </is>
      </c>
      <c r="C529" t="n">
        <v>68</v>
      </c>
      <c r="D529" t="n">
        <v>0</v>
      </c>
      <c r="E529" t="n">
        <v>4</v>
      </c>
      <c r="F529" t="n">
        <v>0</v>
      </c>
      <c r="G529" t="n">
        <v>0</v>
      </c>
      <c r="H529" t="n">
        <v>64</v>
      </c>
      <c r="I529" t="n">
        <v>24</v>
      </c>
      <c r="J529" t="inlineStr">
        <is>
          <t>No</t>
        </is>
      </c>
      <c r="K529" t="inlineStr">
        <is>
          <t>Yes</t>
        </is>
      </c>
      <c r="L529" t="inlineStr">
        <is>
          <t>North WH</t>
        </is>
      </c>
    </row>
    <row r="530">
      <c r="A530" s="4" t="n">
        <v>20250101</v>
      </c>
      <c r="B530" s="4" t="inlineStr">
        <is>
          <t>P045</t>
        </is>
      </c>
      <c r="C530" t="n">
        <v>75</v>
      </c>
      <c r="D530" t="n">
        <v>0</v>
      </c>
      <c r="E530" t="n">
        <v>1</v>
      </c>
      <c r="F530" t="n">
        <v>0</v>
      </c>
      <c r="G530" t="n">
        <v>1</v>
      </c>
      <c r="H530" t="n">
        <v>73</v>
      </c>
      <c r="I530" t="n">
        <v>24</v>
      </c>
      <c r="J530" t="inlineStr">
        <is>
          <t>No</t>
        </is>
      </c>
      <c r="K530" t="inlineStr">
        <is>
          <t>Yes</t>
        </is>
      </c>
      <c r="L530" t="inlineStr">
        <is>
          <t>North WH</t>
        </is>
      </c>
    </row>
    <row r="531">
      <c r="A531" s="4" t="n">
        <v>20250201</v>
      </c>
      <c r="B531" s="4" t="inlineStr">
        <is>
          <t>P045</t>
        </is>
      </c>
      <c r="C531" t="n">
        <v>73</v>
      </c>
      <c r="D531" t="n">
        <v>3</v>
      </c>
      <c r="E531" t="n">
        <v>2</v>
      </c>
      <c r="F531" t="n">
        <v>0</v>
      </c>
      <c r="G531" t="n">
        <v>1</v>
      </c>
      <c r="H531" t="n">
        <v>73</v>
      </c>
      <c r="I531" t="n">
        <v>24</v>
      </c>
      <c r="J531" t="inlineStr">
        <is>
          <t>No</t>
        </is>
      </c>
      <c r="K531" t="inlineStr">
        <is>
          <t>Yes</t>
        </is>
      </c>
      <c r="L531" t="inlineStr">
        <is>
          <t>North WH</t>
        </is>
      </c>
    </row>
    <row r="532">
      <c r="A532" s="4" t="n">
        <v>20250301</v>
      </c>
      <c r="B532" s="4" t="inlineStr">
        <is>
          <t>P045</t>
        </is>
      </c>
      <c r="C532" t="n">
        <v>73</v>
      </c>
      <c r="D532" t="n">
        <v>0</v>
      </c>
      <c r="E532" t="n">
        <v>2</v>
      </c>
      <c r="F532" t="n">
        <v>0</v>
      </c>
      <c r="G532" t="n">
        <v>0</v>
      </c>
      <c r="H532" t="n">
        <v>71</v>
      </c>
      <c r="I532" t="n">
        <v>24</v>
      </c>
      <c r="J532" t="inlineStr">
        <is>
          <t>No</t>
        </is>
      </c>
      <c r="K532" t="inlineStr">
        <is>
          <t>Yes</t>
        </is>
      </c>
      <c r="L532" t="inlineStr">
        <is>
          <t>North WH</t>
        </is>
      </c>
    </row>
    <row r="533">
      <c r="A533" s="4" t="n">
        <v>20250401</v>
      </c>
      <c r="B533" s="4" t="inlineStr">
        <is>
          <t>P045</t>
        </is>
      </c>
      <c r="C533" t="n">
        <v>71</v>
      </c>
      <c r="D533" t="n">
        <v>7</v>
      </c>
      <c r="E533" t="n">
        <v>3</v>
      </c>
      <c r="F533" t="n">
        <v>1</v>
      </c>
      <c r="G533" t="n">
        <v>1</v>
      </c>
      <c r="H533" t="n">
        <v>75</v>
      </c>
      <c r="I533" t="n">
        <v>24</v>
      </c>
      <c r="J533" t="inlineStr">
        <is>
          <t>No</t>
        </is>
      </c>
      <c r="K533" t="inlineStr">
        <is>
          <t>Yes</t>
        </is>
      </c>
      <c r="L533" t="inlineStr">
        <is>
          <t>Main WH</t>
        </is>
      </c>
    </row>
    <row r="534">
      <c r="A534" s="4" t="n">
        <v>20250501</v>
      </c>
      <c r="B534" s="4" t="inlineStr">
        <is>
          <t>P045</t>
        </is>
      </c>
      <c r="C534" t="n">
        <v>75</v>
      </c>
      <c r="D534" t="n">
        <v>0</v>
      </c>
      <c r="E534" t="n">
        <v>7</v>
      </c>
      <c r="F534" t="n">
        <v>1</v>
      </c>
      <c r="G534" t="n">
        <v>0</v>
      </c>
      <c r="H534" t="n">
        <v>69</v>
      </c>
      <c r="I534" t="n">
        <v>24</v>
      </c>
      <c r="J534" t="inlineStr">
        <is>
          <t>No</t>
        </is>
      </c>
      <c r="K534" t="inlineStr">
        <is>
          <t>Yes</t>
        </is>
      </c>
      <c r="L534" t="inlineStr">
        <is>
          <t>Main WH</t>
        </is>
      </c>
    </row>
    <row r="535">
      <c r="A535" s="4" t="n">
        <v>20250601</v>
      </c>
      <c r="B535" s="4" t="inlineStr">
        <is>
          <t>P045</t>
        </is>
      </c>
      <c r="C535" t="n">
        <v>69</v>
      </c>
      <c r="D535" t="n">
        <v>0</v>
      </c>
      <c r="E535" t="n">
        <v>6</v>
      </c>
      <c r="F535" t="n">
        <v>0</v>
      </c>
      <c r="G535" t="n">
        <v>1</v>
      </c>
      <c r="H535" t="n">
        <v>62</v>
      </c>
      <c r="I535" t="n">
        <v>24</v>
      </c>
      <c r="J535" t="inlineStr">
        <is>
          <t>No</t>
        </is>
      </c>
      <c r="K535" t="inlineStr">
        <is>
          <t>Yes</t>
        </is>
      </c>
      <c r="L535" t="inlineStr">
        <is>
          <t>Main WH</t>
        </is>
      </c>
    </row>
    <row r="536">
      <c r="A536" s="4" t="n">
        <v>20250701</v>
      </c>
      <c r="B536" s="4" t="inlineStr">
        <is>
          <t>P045</t>
        </is>
      </c>
      <c r="C536" t="n">
        <v>62</v>
      </c>
      <c r="D536" t="n">
        <v>0</v>
      </c>
      <c r="E536" t="n">
        <v>3</v>
      </c>
      <c r="F536" t="n">
        <v>0</v>
      </c>
      <c r="G536" t="n">
        <v>1</v>
      </c>
      <c r="H536" t="n">
        <v>58</v>
      </c>
      <c r="I536" t="n">
        <v>24</v>
      </c>
      <c r="J536" t="inlineStr">
        <is>
          <t>No</t>
        </is>
      </c>
      <c r="K536" t="inlineStr">
        <is>
          <t>Yes</t>
        </is>
      </c>
      <c r="L536" t="inlineStr">
        <is>
          <t>North WH</t>
        </is>
      </c>
    </row>
    <row r="537">
      <c r="A537" s="4" t="n">
        <v>20250801</v>
      </c>
      <c r="B537" s="4" t="inlineStr">
        <is>
          <t>P045</t>
        </is>
      </c>
      <c r="C537" t="n">
        <v>58</v>
      </c>
      <c r="D537" t="n">
        <v>16</v>
      </c>
      <c r="E537" t="n">
        <v>3</v>
      </c>
      <c r="F537" t="n">
        <v>0</v>
      </c>
      <c r="G537" t="n">
        <v>0</v>
      </c>
      <c r="H537" t="n">
        <v>71</v>
      </c>
      <c r="I537" t="n">
        <v>24</v>
      </c>
      <c r="J537" t="inlineStr">
        <is>
          <t>No</t>
        </is>
      </c>
      <c r="K537" t="inlineStr">
        <is>
          <t>Yes</t>
        </is>
      </c>
      <c r="L537" t="inlineStr">
        <is>
          <t>Main WH</t>
        </is>
      </c>
    </row>
    <row r="538">
      <c r="A538" s="4" t="n">
        <v>20250901</v>
      </c>
      <c r="B538" s="4" t="inlineStr">
        <is>
          <t>P045</t>
        </is>
      </c>
      <c r="C538" t="n">
        <v>71</v>
      </c>
      <c r="D538" t="n">
        <v>0</v>
      </c>
      <c r="E538" t="n">
        <v>0</v>
      </c>
      <c r="F538" t="n">
        <v>0</v>
      </c>
      <c r="G538" t="n">
        <v>0</v>
      </c>
      <c r="H538" t="n">
        <v>71</v>
      </c>
      <c r="I538" t="n">
        <v>24</v>
      </c>
      <c r="J538" t="inlineStr">
        <is>
          <t>No</t>
        </is>
      </c>
      <c r="K538" t="inlineStr">
        <is>
          <t>Yes</t>
        </is>
      </c>
      <c r="L538" t="inlineStr">
        <is>
          <t>Main WH</t>
        </is>
      </c>
    </row>
    <row r="539">
      <c r="A539" s="4" t="n">
        <v>20251001</v>
      </c>
      <c r="B539" s="4" t="inlineStr">
        <is>
          <t>P045</t>
        </is>
      </c>
      <c r="C539" t="n">
        <v>71</v>
      </c>
      <c r="D539" t="n">
        <v>7</v>
      </c>
      <c r="E539" t="n">
        <v>2</v>
      </c>
      <c r="F539" t="n">
        <v>0</v>
      </c>
      <c r="G539" t="n">
        <v>1</v>
      </c>
      <c r="H539" t="n">
        <v>75</v>
      </c>
      <c r="I539" t="n">
        <v>24</v>
      </c>
      <c r="J539" t="inlineStr">
        <is>
          <t>No</t>
        </is>
      </c>
      <c r="K539" t="inlineStr">
        <is>
          <t>Yes</t>
        </is>
      </c>
      <c r="L539" t="inlineStr">
        <is>
          <t>Main WH</t>
        </is>
      </c>
    </row>
    <row r="540">
      <c r="A540" s="4" t="n">
        <v>20251101</v>
      </c>
      <c r="B540" s="4" t="inlineStr">
        <is>
          <t>P045</t>
        </is>
      </c>
      <c r="C540" t="n">
        <v>75</v>
      </c>
      <c r="D540" t="n">
        <v>0</v>
      </c>
      <c r="E540" t="n">
        <v>2</v>
      </c>
      <c r="F540" t="n">
        <v>0</v>
      </c>
      <c r="G540" t="n">
        <v>0</v>
      </c>
      <c r="H540" t="n">
        <v>73</v>
      </c>
      <c r="I540" t="n">
        <v>24</v>
      </c>
      <c r="J540" t="inlineStr">
        <is>
          <t>No</t>
        </is>
      </c>
      <c r="K540" t="inlineStr">
        <is>
          <t>Yes</t>
        </is>
      </c>
      <c r="L540" t="inlineStr">
        <is>
          <t>North WH</t>
        </is>
      </c>
    </row>
    <row r="541">
      <c r="A541" s="4" t="n">
        <v>20251201</v>
      </c>
      <c r="B541" s="4" t="inlineStr">
        <is>
          <t>P045</t>
        </is>
      </c>
      <c r="C541" t="n">
        <v>73</v>
      </c>
      <c r="D541" t="n">
        <v>0</v>
      </c>
      <c r="E541" t="n">
        <v>2</v>
      </c>
      <c r="F541" t="n">
        <v>0</v>
      </c>
      <c r="G541" t="n">
        <v>0</v>
      </c>
      <c r="H541" t="n">
        <v>71</v>
      </c>
      <c r="I541" t="n">
        <v>24</v>
      </c>
      <c r="J541" t="inlineStr">
        <is>
          <t>No</t>
        </is>
      </c>
      <c r="K541" t="inlineStr">
        <is>
          <t>Yes</t>
        </is>
      </c>
      <c r="L541" t="inlineStr">
        <is>
          <t>Main WH</t>
        </is>
      </c>
    </row>
    <row r="542">
      <c r="A542" s="4" t="n">
        <v>20250101</v>
      </c>
      <c r="B542" s="4" t="inlineStr">
        <is>
          <t>P046</t>
        </is>
      </c>
      <c r="C542" t="n">
        <v>54</v>
      </c>
      <c r="D542" t="n">
        <v>7</v>
      </c>
      <c r="E542" t="n">
        <v>1</v>
      </c>
      <c r="F542" t="n">
        <v>1</v>
      </c>
      <c r="G542" t="n">
        <v>0</v>
      </c>
      <c r="H542" t="n">
        <v>61</v>
      </c>
      <c r="I542" t="n">
        <v>24</v>
      </c>
      <c r="J542" t="inlineStr">
        <is>
          <t>No</t>
        </is>
      </c>
      <c r="K542" t="inlineStr">
        <is>
          <t>Yes</t>
        </is>
      </c>
      <c r="L542" t="inlineStr">
        <is>
          <t>Main WH</t>
        </is>
      </c>
    </row>
    <row r="543">
      <c r="A543" s="4" t="n">
        <v>20250201</v>
      </c>
      <c r="B543" s="4" t="inlineStr">
        <is>
          <t>P046</t>
        </is>
      </c>
      <c r="C543" t="n">
        <v>61</v>
      </c>
      <c r="D543" t="n">
        <v>11</v>
      </c>
      <c r="E543" t="n">
        <v>0</v>
      </c>
      <c r="F543" t="n">
        <v>0</v>
      </c>
      <c r="G543" t="n">
        <v>2</v>
      </c>
      <c r="H543" t="n">
        <v>70</v>
      </c>
      <c r="I543" t="n">
        <v>24</v>
      </c>
      <c r="J543" t="inlineStr">
        <is>
          <t>No</t>
        </is>
      </c>
      <c r="K543" t="inlineStr">
        <is>
          <t>Yes</t>
        </is>
      </c>
      <c r="L543" t="inlineStr">
        <is>
          <t>North WH</t>
        </is>
      </c>
    </row>
    <row r="544">
      <c r="A544" s="4" t="n">
        <v>20250301</v>
      </c>
      <c r="B544" s="4" t="inlineStr">
        <is>
          <t>P046</t>
        </is>
      </c>
      <c r="C544" t="n">
        <v>70</v>
      </c>
      <c r="D544" t="n">
        <v>0</v>
      </c>
      <c r="E544" t="n">
        <v>3</v>
      </c>
      <c r="F544" t="n">
        <v>0</v>
      </c>
      <c r="G544" t="n">
        <v>0</v>
      </c>
      <c r="H544" t="n">
        <v>67</v>
      </c>
      <c r="I544" t="n">
        <v>24</v>
      </c>
      <c r="J544" t="inlineStr">
        <is>
          <t>No</t>
        </is>
      </c>
      <c r="K544" t="inlineStr">
        <is>
          <t>Yes</t>
        </is>
      </c>
      <c r="L544" t="inlineStr">
        <is>
          <t>Main WH</t>
        </is>
      </c>
    </row>
    <row r="545">
      <c r="A545" s="4" t="n">
        <v>20250401</v>
      </c>
      <c r="B545" s="4" t="inlineStr">
        <is>
          <t>P046</t>
        </is>
      </c>
      <c r="C545" t="n">
        <v>67</v>
      </c>
      <c r="D545" t="n">
        <v>19</v>
      </c>
      <c r="E545" t="n">
        <v>9</v>
      </c>
      <c r="F545" t="n">
        <v>0</v>
      </c>
      <c r="G545" t="n">
        <v>0</v>
      </c>
      <c r="H545" t="n">
        <v>77</v>
      </c>
      <c r="I545" t="n">
        <v>24</v>
      </c>
      <c r="J545" t="inlineStr">
        <is>
          <t>No</t>
        </is>
      </c>
      <c r="K545" t="inlineStr">
        <is>
          <t>Yes</t>
        </is>
      </c>
      <c r="L545" t="inlineStr">
        <is>
          <t>Main WH</t>
        </is>
      </c>
    </row>
    <row r="546">
      <c r="A546" s="4" t="n">
        <v>20250501</v>
      </c>
      <c r="B546" s="4" t="inlineStr">
        <is>
          <t>P046</t>
        </is>
      </c>
      <c r="C546" t="n">
        <v>77</v>
      </c>
      <c r="D546" t="n">
        <v>2</v>
      </c>
      <c r="E546" t="n">
        <v>0</v>
      </c>
      <c r="F546" t="n">
        <v>0</v>
      </c>
      <c r="G546" t="n">
        <v>0</v>
      </c>
      <c r="H546" t="n">
        <v>79</v>
      </c>
      <c r="I546" t="n">
        <v>24</v>
      </c>
      <c r="J546" t="inlineStr">
        <is>
          <t>No</t>
        </is>
      </c>
      <c r="K546" t="inlineStr">
        <is>
          <t>Yes</t>
        </is>
      </c>
      <c r="L546" t="inlineStr">
        <is>
          <t>North WH</t>
        </is>
      </c>
    </row>
    <row r="547">
      <c r="A547" s="4" t="n">
        <v>20250601</v>
      </c>
      <c r="B547" s="4" t="inlineStr">
        <is>
          <t>P046</t>
        </is>
      </c>
      <c r="C547" t="n">
        <v>79</v>
      </c>
      <c r="D547" t="n">
        <v>2</v>
      </c>
      <c r="E547" t="n">
        <v>6</v>
      </c>
      <c r="F547" t="n">
        <v>0</v>
      </c>
      <c r="G547" t="n">
        <v>1</v>
      </c>
      <c r="H547" t="n">
        <v>74</v>
      </c>
      <c r="I547" t="n">
        <v>24</v>
      </c>
      <c r="J547" t="inlineStr">
        <is>
          <t>No</t>
        </is>
      </c>
      <c r="K547" t="inlineStr">
        <is>
          <t>Yes</t>
        </is>
      </c>
      <c r="L547" t="inlineStr">
        <is>
          <t>Main WH</t>
        </is>
      </c>
    </row>
    <row r="548">
      <c r="A548" s="4" t="n">
        <v>20250701</v>
      </c>
      <c r="B548" s="4" t="inlineStr">
        <is>
          <t>P046</t>
        </is>
      </c>
      <c r="C548" t="n">
        <v>74</v>
      </c>
      <c r="D548" t="n">
        <v>0</v>
      </c>
      <c r="E548" t="n">
        <v>4</v>
      </c>
      <c r="F548" t="n">
        <v>0</v>
      </c>
      <c r="G548" t="n">
        <v>0</v>
      </c>
      <c r="H548" t="n">
        <v>70</v>
      </c>
      <c r="I548" t="n">
        <v>24</v>
      </c>
      <c r="J548" t="inlineStr">
        <is>
          <t>No</t>
        </is>
      </c>
      <c r="K548" t="inlineStr">
        <is>
          <t>Yes</t>
        </is>
      </c>
      <c r="L548" t="inlineStr">
        <is>
          <t>Main WH</t>
        </is>
      </c>
    </row>
    <row r="549">
      <c r="A549" s="4" t="n">
        <v>20250801</v>
      </c>
      <c r="B549" s="4" t="inlineStr">
        <is>
          <t>P046</t>
        </is>
      </c>
      <c r="C549" t="n">
        <v>70</v>
      </c>
      <c r="D549" t="n">
        <v>0</v>
      </c>
      <c r="E549" t="n">
        <v>0</v>
      </c>
      <c r="F549" t="n">
        <v>0</v>
      </c>
      <c r="G549" t="n">
        <v>0</v>
      </c>
      <c r="H549" t="n">
        <v>70</v>
      </c>
      <c r="I549" t="n">
        <v>24</v>
      </c>
      <c r="J549" t="inlineStr">
        <is>
          <t>No</t>
        </is>
      </c>
      <c r="K549" t="inlineStr">
        <is>
          <t>Yes</t>
        </is>
      </c>
      <c r="L549" t="inlineStr">
        <is>
          <t>North WH</t>
        </is>
      </c>
    </row>
    <row r="550">
      <c r="A550" s="4" t="n">
        <v>20250901</v>
      </c>
      <c r="B550" s="4" t="inlineStr">
        <is>
          <t>P046</t>
        </is>
      </c>
      <c r="C550" t="n">
        <v>70</v>
      </c>
      <c r="D550" t="n">
        <v>0</v>
      </c>
      <c r="E550" t="n">
        <v>3</v>
      </c>
      <c r="F550" t="n">
        <v>0</v>
      </c>
      <c r="G550" t="n">
        <v>0</v>
      </c>
      <c r="H550" t="n">
        <v>67</v>
      </c>
      <c r="I550" t="n">
        <v>24</v>
      </c>
      <c r="J550" t="inlineStr">
        <is>
          <t>No</t>
        </is>
      </c>
      <c r="K550" t="inlineStr">
        <is>
          <t>Yes</t>
        </is>
      </c>
      <c r="L550" t="inlineStr">
        <is>
          <t>North WH</t>
        </is>
      </c>
    </row>
    <row r="551">
      <c r="A551" s="4" t="n">
        <v>20251001</v>
      </c>
      <c r="B551" s="4" t="inlineStr">
        <is>
          <t>P046</t>
        </is>
      </c>
      <c r="C551" t="n">
        <v>67</v>
      </c>
      <c r="D551" t="n">
        <v>0</v>
      </c>
      <c r="E551" t="n">
        <v>0</v>
      </c>
      <c r="F551" t="n">
        <v>0</v>
      </c>
      <c r="G551" t="n">
        <v>0</v>
      </c>
      <c r="H551" t="n">
        <v>67</v>
      </c>
      <c r="I551" t="n">
        <v>24</v>
      </c>
      <c r="J551" t="inlineStr">
        <is>
          <t>No</t>
        </is>
      </c>
      <c r="K551" t="inlineStr">
        <is>
          <t>Yes</t>
        </is>
      </c>
      <c r="L551" t="inlineStr">
        <is>
          <t>North WH</t>
        </is>
      </c>
    </row>
    <row r="552">
      <c r="A552" s="4" t="n">
        <v>20251101</v>
      </c>
      <c r="B552" s="4" t="inlineStr">
        <is>
          <t>P046</t>
        </is>
      </c>
      <c r="C552" t="n">
        <v>67</v>
      </c>
      <c r="D552" t="n">
        <v>10</v>
      </c>
      <c r="E552" t="n">
        <v>5</v>
      </c>
      <c r="F552" t="n">
        <v>0</v>
      </c>
      <c r="G552" t="n">
        <v>0</v>
      </c>
      <c r="H552" t="n">
        <v>72</v>
      </c>
      <c r="I552" t="n">
        <v>24</v>
      </c>
      <c r="J552" t="inlineStr">
        <is>
          <t>No</t>
        </is>
      </c>
      <c r="K552" t="inlineStr">
        <is>
          <t>Yes</t>
        </is>
      </c>
      <c r="L552" t="inlineStr">
        <is>
          <t>North WH</t>
        </is>
      </c>
    </row>
    <row r="553">
      <c r="A553" s="4" t="n">
        <v>20251201</v>
      </c>
      <c r="B553" s="4" t="inlineStr">
        <is>
          <t>P046</t>
        </is>
      </c>
      <c r="C553" t="n">
        <v>72</v>
      </c>
      <c r="D553" t="n">
        <v>0</v>
      </c>
      <c r="E553" t="n">
        <v>0</v>
      </c>
      <c r="F553" t="n">
        <v>0</v>
      </c>
      <c r="G553" t="n">
        <v>0</v>
      </c>
      <c r="H553" t="n">
        <v>72</v>
      </c>
      <c r="I553" t="n">
        <v>24</v>
      </c>
      <c r="J553" t="inlineStr">
        <is>
          <t>No</t>
        </is>
      </c>
      <c r="K553" t="inlineStr">
        <is>
          <t>Yes</t>
        </is>
      </c>
      <c r="L553" t="inlineStr">
        <is>
          <t>Main WH</t>
        </is>
      </c>
    </row>
    <row r="554">
      <c r="A554" s="4" t="n">
        <v>20250101</v>
      </c>
      <c r="B554" s="4" t="inlineStr">
        <is>
          <t>P047</t>
        </is>
      </c>
      <c r="C554" t="n">
        <v>68</v>
      </c>
      <c r="D554" t="n">
        <v>0</v>
      </c>
      <c r="E554" t="n">
        <v>0</v>
      </c>
      <c r="F554" t="n">
        <v>0</v>
      </c>
      <c r="G554" t="n">
        <v>0</v>
      </c>
      <c r="H554" t="n">
        <v>68</v>
      </c>
      <c r="I554" t="n">
        <v>36</v>
      </c>
      <c r="J554" t="inlineStr">
        <is>
          <t>No</t>
        </is>
      </c>
      <c r="K554" t="inlineStr">
        <is>
          <t>No</t>
        </is>
      </c>
      <c r="L554" t="inlineStr">
        <is>
          <t>Main WH</t>
        </is>
      </c>
    </row>
    <row r="555">
      <c r="A555" s="4" t="n">
        <v>20250201</v>
      </c>
      <c r="B555" s="4" t="inlineStr">
        <is>
          <t>P047</t>
        </is>
      </c>
      <c r="C555" t="n">
        <v>68</v>
      </c>
      <c r="D555" t="n">
        <v>0</v>
      </c>
      <c r="E555" t="n">
        <v>0</v>
      </c>
      <c r="F555" t="n">
        <v>0</v>
      </c>
      <c r="G555" t="n">
        <v>1</v>
      </c>
      <c r="H555" t="n">
        <v>67</v>
      </c>
      <c r="I555" t="n">
        <v>36</v>
      </c>
      <c r="J555" t="inlineStr">
        <is>
          <t>No</t>
        </is>
      </c>
      <c r="K555" t="inlineStr">
        <is>
          <t>No</t>
        </is>
      </c>
      <c r="L555" t="inlineStr">
        <is>
          <t>Main WH</t>
        </is>
      </c>
    </row>
    <row r="556">
      <c r="A556" s="4" t="n">
        <v>20250301</v>
      </c>
      <c r="B556" s="4" t="inlineStr">
        <is>
          <t>P047</t>
        </is>
      </c>
      <c r="C556" t="n">
        <v>67</v>
      </c>
      <c r="D556" t="n">
        <v>7</v>
      </c>
      <c r="E556" t="n">
        <v>3</v>
      </c>
      <c r="F556" t="n">
        <v>0</v>
      </c>
      <c r="G556" t="n">
        <v>0</v>
      </c>
      <c r="H556" t="n">
        <v>71</v>
      </c>
      <c r="I556" t="n">
        <v>36</v>
      </c>
      <c r="J556" t="inlineStr">
        <is>
          <t>No</t>
        </is>
      </c>
      <c r="K556" t="inlineStr">
        <is>
          <t>No</t>
        </is>
      </c>
      <c r="L556" t="inlineStr">
        <is>
          <t>Main WH</t>
        </is>
      </c>
    </row>
    <row r="557">
      <c r="A557" s="4" t="n">
        <v>20250401</v>
      </c>
      <c r="B557" s="4" t="inlineStr">
        <is>
          <t>P047</t>
        </is>
      </c>
      <c r="C557" t="n">
        <v>71</v>
      </c>
      <c r="D557" t="n">
        <v>0</v>
      </c>
      <c r="E557" t="n">
        <v>5</v>
      </c>
      <c r="F557" t="n">
        <v>0</v>
      </c>
      <c r="G557" t="n">
        <v>1</v>
      </c>
      <c r="H557" t="n">
        <v>65</v>
      </c>
      <c r="I557" t="n">
        <v>36</v>
      </c>
      <c r="J557" t="inlineStr">
        <is>
          <t>No</t>
        </is>
      </c>
      <c r="K557" t="inlineStr">
        <is>
          <t>No</t>
        </is>
      </c>
      <c r="L557" t="inlineStr">
        <is>
          <t>North WH</t>
        </is>
      </c>
    </row>
    <row r="558">
      <c r="A558" s="4" t="n">
        <v>20250501</v>
      </c>
      <c r="B558" s="4" t="inlineStr">
        <is>
          <t>P047</t>
        </is>
      </c>
      <c r="C558" t="n">
        <v>65</v>
      </c>
      <c r="D558" t="n">
        <v>13</v>
      </c>
      <c r="E558" t="n">
        <v>1</v>
      </c>
      <c r="F558" t="n">
        <v>0</v>
      </c>
      <c r="G558" t="n">
        <v>1</v>
      </c>
      <c r="H558" t="n">
        <v>76</v>
      </c>
      <c r="I558" t="n">
        <v>36</v>
      </c>
      <c r="J558" t="inlineStr">
        <is>
          <t>No</t>
        </is>
      </c>
      <c r="K558" t="inlineStr">
        <is>
          <t>No</t>
        </is>
      </c>
      <c r="L558" t="inlineStr">
        <is>
          <t>Main WH</t>
        </is>
      </c>
    </row>
    <row r="559">
      <c r="A559" s="4" t="n">
        <v>20250601</v>
      </c>
      <c r="B559" s="4" t="inlineStr">
        <is>
          <t>P047</t>
        </is>
      </c>
      <c r="C559" t="n">
        <v>76</v>
      </c>
      <c r="D559" t="n">
        <v>19</v>
      </c>
      <c r="E559" t="n">
        <v>13</v>
      </c>
      <c r="F559" t="n">
        <v>1</v>
      </c>
      <c r="G559" t="n">
        <v>0</v>
      </c>
      <c r="H559" t="n">
        <v>83</v>
      </c>
      <c r="I559" t="n">
        <v>36</v>
      </c>
      <c r="J559" t="inlineStr">
        <is>
          <t>No</t>
        </is>
      </c>
      <c r="K559" t="inlineStr">
        <is>
          <t>Yes</t>
        </is>
      </c>
      <c r="L559" t="inlineStr">
        <is>
          <t>North WH</t>
        </is>
      </c>
    </row>
    <row r="560">
      <c r="A560" s="4" t="n">
        <v>20250701</v>
      </c>
      <c r="B560" s="4" t="inlineStr">
        <is>
          <t>P047</t>
        </is>
      </c>
      <c r="C560" t="n">
        <v>83</v>
      </c>
      <c r="D560" t="n">
        <v>0</v>
      </c>
      <c r="E560" t="n">
        <v>5</v>
      </c>
      <c r="F560" t="n">
        <v>0</v>
      </c>
      <c r="G560" t="n">
        <v>1</v>
      </c>
      <c r="H560" t="n">
        <v>77</v>
      </c>
      <c r="I560" t="n">
        <v>36</v>
      </c>
      <c r="J560" t="inlineStr">
        <is>
          <t>No</t>
        </is>
      </c>
      <c r="K560" t="inlineStr">
        <is>
          <t>No</t>
        </is>
      </c>
      <c r="L560" t="inlineStr">
        <is>
          <t>Main WH</t>
        </is>
      </c>
    </row>
    <row r="561">
      <c r="A561" s="4" t="n">
        <v>20250801</v>
      </c>
      <c r="B561" s="4" t="inlineStr">
        <is>
          <t>P047</t>
        </is>
      </c>
      <c r="C561" t="n">
        <v>77</v>
      </c>
      <c r="D561" t="n">
        <v>9</v>
      </c>
      <c r="E561" t="n">
        <v>3</v>
      </c>
      <c r="F561" t="n">
        <v>1</v>
      </c>
      <c r="G561" t="n">
        <v>0</v>
      </c>
      <c r="H561" t="n">
        <v>84</v>
      </c>
      <c r="I561" t="n">
        <v>36</v>
      </c>
      <c r="J561" t="inlineStr">
        <is>
          <t>No</t>
        </is>
      </c>
      <c r="K561" t="inlineStr">
        <is>
          <t>Yes</t>
        </is>
      </c>
      <c r="L561" t="inlineStr">
        <is>
          <t>North WH</t>
        </is>
      </c>
    </row>
    <row r="562">
      <c r="A562" s="4" t="n">
        <v>20250901</v>
      </c>
      <c r="B562" s="4" t="inlineStr">
        <is>
          <t>P047</t>
        </is>
      </c>
      <c r="C562" t="n">
        <v>84</v>
      </c>
      <c r="D562" t="n">
        <v>0</v>
      </c>
      <c r="E562" t="n">
        <v>3</v>
      </c>
      <c r="F562" t="n">
        <v>1</v>
      </c>
      <c r="G562" t="n">
        <v>0</v>
      </c>
      <c r="H562" t="n">
        <v>82</v>
      </c>
      <c r="I562" t="n">
        <v>36</v>
      </c>
      <c r="J562" t="inlineStr">
        <is>
          <t>No</t>
        </is>
      </c>
      <c r="K562" t="inlineStr">
        <is>
          <t>No</t>
        </is>
      </c>
      <c r="L562" t="inlineStr">
        <is>
          <t>Main WH</t>
        </is>
      </c>
    </row>
    <row r="563">
      <c r="A563" s="4" t="n">
        <v>20251001</v>
      </c>
      <c r="B563" s="4" t="inlineStr">
        <is>
          <t>P047</t>
        </is>
      </c>
      <c r="C563" t="n">
        <v>82</v>
      </c>
      <c r="D563" t="n">
        <v>0</v>
      </c>
      <c r="E563" t="n">
        <v>2</v>
      </c>
      <c r="F563" t="n">
        <v>0</v>
      </c>
      <c r="G563" t="n">
        <v>1</v>
      </c>
      <c r="H563" t="n">
        <v>79</v>
      </c>
      <c r="I563" t="n">
        <v>36</v>
      </c>
      <c r="J563" t="inlineStr">
        <is>
          <t>No</t>
        </is>
      </c>
      <c r="K563" t="inlineStr">
        <is>
          <t>No</t>
        </is>
      </c>
      <c r="L563" t="inlineStr">
        <is>
          <t>North WH</t>
        </is>
      </c>
    </row>
    <row r="564">
      <c r="A564" s="4" t="n">
        <v>20251101</v>
      </c>
      <c r="B564" s="4" t="inlineStr">
        <is>
          <t>P047</t>
        </is>
      </c>
      <c r="C564" t="n">
        <v>79</v>
      </c>
      <c r="D564" t="n">
        <v>0</v>
      </c>
      <c r="E564" t="n">
        <v>2</v>
      </c>
      <c r="F564" t="n">
        <v>0</v>
      </c>
      <c r="G564" t="n">
        <v>2</v>
      </c>
      <c r="H564" t="n">
        <v>75</v>
      </c>
      <c r="I564" t="n">
        <v>36</v>
      </c>
      <c r="J564" t="inlineStr">
        <is>
          <t>No</t>
        </is>
      </c>
      <c r="K564" t="inlineStr">
        <is>
          <t>No</t>
        </is>
      </c>
      <c r="L564" t="inlineStr">
        <is>
          <t>Main WH</t>
        </is>
      </c>
    </row>
    <row r="565">
      <c r="A565" s="4" t="n">
        <v>20251201</v>
      </c>
      <c r="B565" s="4" t="inlineStr">
        <is>
          <t>P047</t>
        </is>
      </c>
      <c r="C565" t="n">
        <v>75</v>
      </c>
      <c r="D565" t="n">
        <v>3</v>
      </c>
      <c r="E565" t="n">
        <v>0</v>
      </c>
      <c r="F565" t="n">
        <v>0</v>
      </c>
      <c r="G565" t="n">
        <v>1</v>
      </c>
      <c r="H565" t="n">
        <v>77</v>
      </c>
      <c r="I565" t="n">
        <v>36</v>
      </c>
      <c r="J565" t="inlineStr">
        <is>
          <t>No</t>
        </is>
      </c>
      <c r="K565" t="inlineStr">
        <is>
          <t>No</t>
        </is>
      </c>
      <c r="L565" t="inlineStr">
        <is>
          <t>North WH</t>
        </is>
      </c>
    </row>
    <row r="566">
      <c r="A566" s="4" t="n">
        <v>20250101</v>
      </c>
      <c r="B566" s="4" t="inlineStr">
        <is>
          <t>P048</t>
        </is>
      </c>
      <c r="C566" t="n">
        <v>76</v>
      </c>
      <c r="D566" t="n">
        <v>0</v>
      </c>
      <c r="E566" t="n">
        <v>0</v>
      </c>
      <c r="F566" t="n">
        <v>0</v>
      </c>
      <c r="G566" t="n">
        <v>1</v>
      </c>
      <c r="H566" t="n">
        <v>75</v>
      </c>
      <c r="I566" t="n">
        <v>24</v>
      </c>
      <c r="J566" t="inlineStr">
        <is>
          <t>No</t>
        </is>
      </c>
      <c r="K566" t="inlineStr">
        <is>
          <t>Yes</t>
        </is>
      </c>
      <c r="L566" t="inlineStr">
        <is>
          <t>North WH</t>
        </is>
      </c>
    </row>
    <row r="567">
      <c r="A567" s="4" t="n">
        <v>20250201</v>
      </c>
      <c r="B567" s="4" t="inlineStr">
        <is>
          <t>P048</t>
        </is>
      </c>
      <c r="C567" t="n">
        <v>75</v>
      </c>
      <c r="D567" t="n">
        <v>0</v>
      </c>
      <c r="E567" t="n">
        <v>0</v>
      </c>
      <c r="F567" t="n">
        <v>0</v>
      </c>
      <c r="G567" t="n">
        <v>0</v>
      </c>
      <c r="H567" t="n">
        <v>75</v>
      </c>
      <c r="I567" t="n">
        <v>24</v>
      </c>
      <c r="J567" t="inlineStr">
        <is>
          <t>No</t>
        </is>
      </c>
      <c r="K567" t="inlineStr">
        <is>
          <t>Yes</t>
        </is>
      </c>
      <c r="L567" t="inlineStr">
        <is>
          <t>North WH</t>
        </is>
      </c>
    </row>
    <row r="568">
      <c r="A568" s="4" t="n">
        <v>20250301</v>
      </c>
      <c r="B568" s="4" t="inlineStr">
        <is>
          <t>P048</t>
        </is>
      </c>
      <c r="C568" t="n">
        <v>75</v>
      </c>
      <c r="D568" t="n">
        <v>0</v>
      </c>
      <c r="E568" t="n">
        <v>5</v>
      </c>
      <c r="F568" t="n">
        <v>1</v>
      </c>
      <c r="G568" t="n">
        <v>2</v>
      </c>
      <c r="H568" t="n">
        <v>69</v>
      </c>
      <c r="I568" t="n">
        <v>24</v>
      </c>
      <c r="J568" t="inlineStr">
        <is>
          <t>No</t>
        </is>
      </c>
      <c r="K568" t="inlineStr">
        <is>
          <t>Yes</t>
        </is>
      </c>
      <c r="L568" t="inlineStr">
        <is>
          <t>North WH</t>
        </is>
      </c>
    </row>
    <row r="569">
      <c r="A569" s="4" t="n">
        <v>20250401</v>
      </c>
      <c r="B569" s="4" t="inlineStr">
        <is>
          <t>P048</t>
        </is>
      </c>
      <c r="C569" t="n">
        <v>69</v>
      </c>
      <c r="D569" t="n">
        <v>15</v>
      </c>
      <c r="E569" t="n">
        <v>5</v>
      </c>
      <c r="F569" t="n">
        <v>0</v>
      </c>
      <c r="G569" t="n">
        <v>0</v>
      </c>
      <c r="H569" t="n">
        <v>79</v>
      </c>
      <c r="I569" t="n">
        <v>24</v>
      </c>
      <c r="J569" t="inlineStr">
        <is>
          <t>No</t>
        </is>
      </c>
      <c r="K569" t="inlineStr">
        <is>
          <t>Yes</t>
        </is>
      </c>
      <c r="L569" t="inlineStr">
        <is>
          <t>North WH</t>
        </is>
      </c>
    </row>
    <row r="570">
      <c r="A570" s="4" t="n">
        <v>20250501</v>
      </c>
      <c r="B570" s="4" t="inlineStr">
        <is>
          <t>P048</t>
        </is>
      </c>
      <c r="C570" t="n">
        <v>79</v>
      </c>
      <c r="D570" t="n">
        <v>0</v>
      </c>
      <c r="E570" t="n">
        <v>7</v>
      </c>
      <c r="F570" t="n">
        <v>0</v>
      </c>
      <c r="G570" t="n">
        <v>0</v>
      </c>
      <c r="H570" t="n">
        <v>72</v>
      </c>
      <c r="I570" t="n">
        <v>24</v>
      </c>
      <c r="J570" t="inlineStr">
        <is>
          <t>No</t>
        </is>
      </c>
      <c r="K570" t="inlineStr">
        <is>
          <t>Yes</t>
        </is>
      </c>
      <c r="L570" t="inlineStr">
        <is>
          <t>North WH</t>
        </is>
      </c>
    </row>
    <row r="571">
      <c r="A571" s="4" t="n">
        <v>20250601</v>
      </c>
      <c r="B571" s="4" t="inlineStr">
        <is>
          <t>P048</t>
        </is>
      </c>
      <c r="C571" t="n">
        <v>72</v>
      </c>
      <c r="D571" t="n">
        <v>0</v>
      </c>
      <c r="E571" t="n">
        <v>5</v>
      </c>
      <c r="F571" t="n">
        <v>2</v>
      </c>
      <c r="G571" t="n">
        <v>0</v>
      </c>
      <c r="H571" t="n">
        <v>69</v>
      </c>
      <c r="I571" t="n">
        <v>24</v>
      </c>
      <c r="J571" t="inlineStr">
        <is>
          <t>No</t>
        </is>
      </c>
      <c r="K571" t="inlineStr">
        <is>
          <t>Yes</t>
        </is>
      </c>
      <c r="L571" t="inlineStr">
        <is>
          <t>Main WH</t>
        </is>
      </c>
    </row>
    <row r="572">
      <c r="A572" s="4" t="n">
        <v>20250701</v>
      </c>
      <c r="B572" s="4" t="inlineStr">
        <is>
          <t>P048</t>
        </is>
      </c>
      <c r="C572" t="n">
        <v>69</v>
      </c>
      <c r="D572" t="n">
        <v>0</v>
      </c>
      <c r="E572" t="n">
        <v>4</v>
      </c>
      <c r="F572" t="n">
        <v>0</v>
      </c>
      <c r="G572" t="n">
        <v>0</v>
      </c>
      <c r="H572" t="n">
        <v>65</v>
      </c>
      <c r="I572" t="n">
        <v>24</v>
      </c>
      <c r="J572" t="inlineStr">
        <is>
          <t>No</t>
        </is>
      </c>
      <c r="K572" t="inlineStr">
        <is>
          <t>Yes</t>
        </is>
      </c>
      <c r="L572" t="inlineStr">
        <is>
          <t>Main WH</t>
        </is>
      </c>
    </row>
    <row r="573">
      <c r="A573" s="4" t="n">
        <v>20250801</v>
      </c>
      <c r="B573" s="4" t="inlineStr">
        <is>
          <t>P048</t>
        </is>
      </c>
      <c r="C573" t="n">
        <v>65</v>
      </c>
      <c r="D573" t="n">
        <v>8</v>
      </c>
      <c r="E573" t="n">
        <v>0</v>
      </c>
      <c r="F573" t="n">
        <v>0</v>
      </c>
      <c r="G573" t="n">
        <v>0</v>
      </c>
      <c r="H573" t="n">
        <v>73</v>
      </c>
      <c r="I573" t="n">
        <v>24</v>
      </c>
      <c r="J573" t="inlineStr">
        <is>
          <t>No</t>
        </is>
      </c>
      <c r="K573" t="inlineStr">
        <is>
          <t>Yes</t>
        </is>
      </c>
      <c r="L573" t="inlineStr">
        <is>
          <t>North WH</t>
        </is>
      </c>
    </row>
    <row r="574">
      <c r="A574" s="4" t="n">
        <v>20250901</v>
      </c>
      <c r="B574" s="4" t="inlineStr">
        <is>
          <t>P048</t>
        </is>
      </c>
      <c r="C574" t="n">
        <v>73</v>
      </c>
      <c r="D574" t="n">
        <v>6</v>
      </c>
      <c r="E574" t="n">
        <v>6</v>
      </c>
      <c r="F574" t="n">
        <v>0</v>
      </c>
      <c r="G574" t="n">
        <v>1</v>
      </c>
      <c r="H574" t="n">
        <v>72</v>
      </c>
      <c r="I574" t="n">
        <v>24</v>
      </c>
      <c r="J574" t="inlineStr">
        <is>
          <t>No</t>
        </is>
      </c>
      <c r="K574" t="inlineStr">
        <is>
          <t>Yes</t>
        </is>
      </c>
      <c r="L574" t="inlineStr">
        <is>
          <t>North WH</t>
        </is>
      </c>
    </row>
    <row r="575">
      <c r="A575" s="4" t="n">
        <v>20251001</v>
      </c>
      <c r="B575" s="4" t="inlineStr">
        <is>
          <t>P048</t>
        </is>
      </c>
      <c r="C575" t="n">
        <v>72</v>
      </c>
      <c r="D575" t="n">
        <v>9</v>
      </c>
      <c r="E575" t="n">
        <v>3</v>
      </c>
      <c r="F575" t="n">
        <v>1</v>
      </c>
      <c r="G575" t="n">
        <v>1</v>
      </c>
      <c r="H575" t="n">
        <v>78</v>
      </c>
      <c r="I575" t="n">
        <v>24</v>
      </c>
      <c r="J575" t="inlineStr">
        <is>
          <t>No</t>
        </is>
      </c>
      <c r="K575" t="inlineStr">
        <is>
          <t>Yes</t>
        </is>
      </c>
      <c r="L575" t="inlineStr">
        <is>
          <t>Main WH</t>
        </is>
      </c>
    </row>
    <row r="576">
      <c r="A576" s="4" t="n">
        <v>20251101</v>
      </c>
      <c r="B576" s="4" t="inlineStr">
        <is>
          <t>P048</t>
        </is>
      </c>
      <c r="C576" t="n">
        <v>78</v>
      </c>
      <c r="D576" t="n">
        <v>0</v>
      </c>
      <c r="E576" t="n">
        <v>1</v>
      </c>
      <c r="F576" t="n">
        <v>0</v>
      </c>
      <c r="G576" t="n">
        <v>0</v>
      </c>
      <c r="H576" t="n">
        <v>77</v>
      </c>
      <c r="I576" t="n">
        <v>24</v>
      </c>
      <c r="J576" t="inlineStr">
        <is>
          <t>No</t>
        </is>
      </c>
      <c r="K576" t="inlineStr">
        <is>
          <t>Yes</t>
        </is>
      </c>
      <c r="L576" t="inlineStr">
        <is>
          <t>North WH</t>
        </is>
      </c>
    </row>
    <row r="577">
      <c r="A577" s="4" t="n">
        <v>20251201</v>
      </c>
      <c r="B577" s="4" t="inlineStr">
        <is>
          <t>P048</t>
        </is>
      </c>
      <c r="C577" t="n">
        <v>77</v>
      </c>
      <c r="D577" t="n">
        <v>0</v>
      </c>
      <c r="E577" t="n">
        <v>4</v>
      </c>
      <c r="F577" t="n">
        <v>0</v>
      </c>
      <c r="G577" t="n">
        <v>1</v>
      </c>
      <c r="H577" t="n">
        <v>72</v>
      </c>
      <c r="I577" t="n">
        <v>24</v>
      </c>
      <c r="J577" t="inlineStr">
        <is>
          <t>No</t>
        </is>
      </c>
      <c r="K577" t="inlineStr">
        <is>
          <t>Yes</t>
        </is>
      </c>
      <c r="L577" t="inlineStr">
        <is>
          <t>Main WH</t>
        </is>
      </c>
    </row>
    <row r="578">
      <c r="A578" s="4" t="n">
        <v>20250101</v>
      </c>
      <c r="B578" s="4" t="inlineStr">
        <is>
          <t>P049</t>
        </is>
      </c>
      <c r="C578" t="n">
        <v>60</v>
      </c>
      <c r="D578" t="n">
        <v>0</v>
      </c>
      <c r="E578" t="n">
        <v>1</v>
      </c>
      <c r="F578" t="n">
        <v>0</v>
      </c>
      <c r="G578" t="n">
        <v>1</v>
      </c>
      <c r="H578" t="n">
        <v>58</v>
      </c>
      <c r="I578" t="n">
        <v>18</v>
      </c>
      <c r="J578" t="inlineStr">
        <is>
          <t>No</t>
        </is>
      </c>
      <c r="K578" t="inlineStr">
        <is>
          <t>Yes</t>
        </is>
      </c>
      <c r="L578" t="inlineStr">
        <is>
          <t>North WH</t>
        </is>
      </c>
    </row>
    <row r="579">
      <c r="A579" s="4" t="n">
        <v>20250201</v>
      </c>
      <c r="B579" s="4" t="inlineStr">
        <is>
          <t>P049</t>
        </is>
      </c>
      <c r="C579" t="n">
        <v>58</v>
      </c>
      <c r="D579" t="n">
        <v>0</v>
      </c>
      <c r="E579" t="n">
        <v>6</v>
      </c>
      <c r="F579" t="n">
        <v>0</v>
      </c>
      <c r="G579" t="n">
        <v>0</v>
      </c>
      <c r="H579" t="n">
        <v>52</v>
      </c>
      <c r="I579" t="n">
        <v>18</v>
      </c>
      <c r="J579" t="inlineStr">
        <is>
          <t>No</t>
        </is>
      </c>
      <c r="K579" t="inlineStr">
        <is>
          <t>Yes</t>
        </is>
      </c>
      <c r="L579" t="inlineStr">
        <is>
          <t>North WH</t>
        </is>
      </c>
    </row>
    <row r="580">
      <c r="A580" s="4" t="n">
        <v>20250301</v>
      </c>
      <c r="B580" s="4" t="inlineStr">
        <is>
          <t>P049</t>
        </is>
      </c>
      <c r="C580" t="n">
        <v>52</v>
      </c>
      <c r="D580" t="n">
        <v>0</v>
      </c>
      <c r="E580" t="n">
        <v>3</v>
      </c>
      <c r="F580" t="n">
        <v>1</v>
      </c>
      <c r="G580" t="n">
        <v>1</v>
      </c>
      <c r="H580" t="n">
        <v>49</v>
      </c>
      <c r="I580" t="n">
        <v>18</v>
      </c>
      <c r="J580" t="inlineStr">
        <is>
          <t>No</t>
        </is>
      </c>
      <c r="K580" t="inlineStr">
        <is>
          <t>Yes</t>
        </is>
      </c>
      <c r="L580" t="inlineStr">
        <is>
          <t>Main WH</t>
        </is>
      </c>
    </row>
    <row r="581">
      <c r="A581" s="4" t="n">
        <v>20250401</v>
      </c>
      <c r="B581" s="4" t="inlineStr">
        <is>
          <t>P049</t>
        </is>
      </c>
      <c r="C581" t="n">
        <v>49</v>
      </c>
      <c r="D581" t="n">
        <v>0</v>
      </c>
      <c r="E581" t="n">
        <v>1</v>
      </c>
      <c r="F581" t="n">
        <v>0</v>
      </c>
      <c r="G581" t="n">
        <v>0</v>
      </c>
      <c r="H581" t="n">
        <v>48</v>
      </c>
      <c r="I581" t="n">
        <v>18</v>
      </c>
      <c r="J581" t="inlineStr">
        <is>
          <t>No</t>
        </is>
      </c>
      <c r="K581" t="inlineStr">
        <is>
          <t>Yes</t>
        </is>
      </c>
      <c r="L581" t="inlineStr">
        <is>
          <t>North WH</t>
        </is>
      </c>
    </row>
    <row r="582">
      <c r="A582" s="4" t="n">
        <v>20250501</v>
      </c>
      <c r="B582" s="4" t="inlineStr">
        <is>
          <t>P049</t>
        </is>
      </c>
      <c r="C582" t="n">
        <v>48</v>
      </c>
      <c r="D582" t="n">
        <v>25</v>
      </c>
      <c r="E582" t="n">
        <v>1</v>
      </c>
      <c r="F582" t="n">
        <v>0</v>
      </c>
      <c r="G582" t="n">
        <v>1</v>
      </c>
      <c r="H582" t="n">
        <v>71</v>
      </c>
      <c r="I582" t="n">
        <v>18</v>
      </c>
      <c r="J582" t="inlineStr">
        <is>
          <t>No</t>
        </is>
      </c>
      <c r="K582" t="inlineStr">
        <is>
          <t>Yes</t>
        </is>
      </c>
      <c r="L582" t="inlineStr">
        <is>
          <t>Main WH</t>
        </is>
      </c>
    </row>
    <row r="583">
      <c r="A583" s="4" t="n">
        <v>20250601</v>
      </c>
      <c r="B583" s="4" t="inlineStr">
        <is>
          <t>P049</t>
        </is>
      </c>
      <c r="C583" t="n">
        <v>71</v>
      </c>
      <c r="D583" t="n">
        <v>0</v>
      </c>
      <c r="E583" t="n">
        <v>3</v>
      </c>
      <c r="F583" t="n">
        <v>0</v>
      </c>
      <c r="G583" t="n">
        <v>0</v>
      </c>
      <c r="H583" t="n">
        <v>68</v>
      </c>
      <c r="I583" t="n">
        <v>18</v>
      </c>
      <c r="J583" t="inlineStr">
        <is>
          <t>No</t>
        </is>
      </c>
      <c r="K583" t="inlineStr">
        <is>
          <t>Yes</t>
        </is>
      </c>
      <c r="L583" t="inlineStr">
        <is>
          <t>North WH</t>
        </is>
      </c>
    </row>
    <row r="584">
      <c r="A584" s="4" t="n">
        <v>20250701</v>
      </c>
      <c r="B584" s="4" t="inlineStr">
        <is>
          <t>P049</t>
        </is>
      </c>
      <c r="C584" t="n">
        <v>68</v>
      </c>
      <c r="D584" t="n">
        <v>0</v>
      </c>
      <c r="E584" t="n">
        <v>2</v>
      </c>
      <c r="F584" t="n">
        <v>0</v>
      </c>
      <c r="G584" t="n">
        <v>0</v>
      </c>
      <c r="H584" t="n">
        <v>66</v>
      </c>
      <c r="I584" t="n">
        <v>18</v>
      </c>
      <c r="J584" t="inlineStr">
        <is>
          <t>No</t>
        </is>
      </c>
      <c r="K584" t="inlineStr">
        <is>
          <t>Yes</t>
        </is>
      </c>
      <c r="L584" t="inlineStr">
        <is>
          <t>North WH</t>
        </is>
      </c>
    </row>
    <row r="585">
      <c r="A585" s="4" t="n">
        <v>20250801</v>
      </c>
      <c r="B585" s="4" t="inlineStr">
        <is>
          <t>P049</t>
        </is>
      </c>
      <c r="C585" t="n">
        <v>66</v>
      </c>
      <c r="D585" t="n">
        <v>0</v>
      </c>
      <c r="E585" t="n">
        <v>4</v>
      </c>
      <c r="F585" t="n">
        <v>0</v>
      </c>
      <c r="G585" t="n">
        <v>0</v>
      </c>
      <c r="H585" t="n">
        <v>62</v>
      </c>
      <c r="I585" t="n">
        <v>18</v>
      </c>
      <c r="J585" t="inlineStr">
        <is>
          <t>No</t>
        </is>
      </c>
      <c r="K585" t="inlineStr">
        <is>
          <t>Yes</t>
        </is>
      </c>
      <c r="L585" t="inlineStr">
        <is>
          <t>North WH</t>
        </is>
      </c>
    </row>
    <row r="586">
      <c r="A586" s="4" t="n">
        <v>20250901</v>
      </c>
      <c r="B586" s="4" t="inlineStr">
        <is>
          <t>P049</t>
        </is>
      </c>
      <c r="C586" t="n">
        <v>62</v>
      </c>
      <c r="D586" t="n">
        <v>11</v>
      </c>
      <c r="E586" t="n">
        <v>4</v>
      </c>
      <c r="F586" t="n">
        <v>0</v>
      </c>
      <c r="G586" t="n">
        <v>0</v>
      </c>
      <c r="H586" t="n">
        <v>69</v>
      </c>
      <c r="I586" t="n">
        <v>18</v>
      </c>
      <c r="J586" t="inlineStr">
        <is>
          <t>No</t>
        </is>
      </c>
      <c r="K586" t="inlineStr">
        <is>
          <t>Yes</t>
        </is>
      </c>
      <c r="L586" t="inlineStr">
        <is>
          <t>North WH</t>
        </is>
      </c>
    </row>
    <row r="587">
      <c r="A587" s="4" t="n">
        <v>20251001</v>
      </c>
      <c r="B587" s="4" t="inlineStr">
        <is>
          <t>P049</t>
        </is>
      </c>
      <c r="C587" t="n">
        <v>69</v>
      </c>
      <c r="D587" t="n">
        <v>7</v>
      </c>
      <c r="E587" t="n">
        <v>3</v>
      </c>
      <c r="F587" t="n">
        <v>0</v>
      </c>
      <c r="G587" t="n">
        <v>0</v>
      </c>
      <c r="H587" t="n">
        <v>73</v>
      </c>
      <c r="I587" t="n">
        <v>18</v>
      </c>
      <c r="J587" t="inlineStr">
        <is>
          <t>No</t>
        </is>
      </c>
      <c r="K587" t="inlineStr">
        <is>
          <t>Yes</t>
        </is>
      </c>
      <c r="L587" t="inlineStr">
        <is>
          <t>North WH</t>
        </is>
      </c>
    </row>
    <row r="588">
      <c r="A588" s="4" t="n">
        <v>20251101</v>
      </c>
      <c r="B588" s="4" t="inlineStr">
        <is>
          <t>P049</t>
        </is>
      </c>
      <c r="C588" t="n">
        <v>73</v>
      </c>
      <c r="D588" t="n">
        <v>7</v>
      </c>
      <c r="E588" t="n">
        <v>7</v>
      </c>
      <c r="F588" t="n">
        <v>0</v>
      </c>
      <c r="G588" t="n">
        <v>1</v>
      </c>
      <c r="H588" t="n">
        <v>72</v>
      </c>
      <c r="I588" t="n">
        <v>18</v>
      </c>
      <c r="J588" t="inlineStr">
        <is>
          <t>No</t>
        </is>
      </c>
      <c r="K588" t="inlineStr">
        <is>
          <t>Yes</t>
        </is>
      </c>
      <c r="L588" t="inlineStr">
        <is>
          <t>North WH</t>
        </is>
      </c>
    </row>
    <row r="589">
      <c r="A589" s="4" t="n">
        <v>20251201</v>
      </c>
      <c r="B589" s="4" t="inlineStr">
        <is>
          <t>P049</t>
        </is>
      </c>
      <c r="C589" t="n">
        <v>72</v>
      </c>
      <c r="D589" t="n">
        <v>0</v>
      </c>
      <c r="E589" t="n">
        <v>2</v>
      </c>
      <c r="F589" t="n">
        <v>1</v>
      </c>
      <c r="G589" t="n">
        <v>1</v>
      </c>
      <c r="H589" t="n">
        <v>70</v>
      </c>
      <c r="I589" t="n">
        <v>18</v>
      </c>
      <c r="J589" t="inlineStr">
        <is>
          <t>No</t>
        </is>
      </c>
      <c r="K589" t="inlineStr">
        <is>
          <t>Yes</t>
        </is>
      </c>
      <c r="L589" t="inlineStr">
        <is>
          <t>Main WH</t>
        </is>
      </c>
    </row>
    <row r="590">
      <c r="A590" s="4" t="n">
        <v>20250101</v>
      </c>
      <c r="B590" s="4" t="inlineStr">
        <is>
          <t>P050</t>
        </is>
      </c>
      <c r="C590" t="n">
        <v>67</v>
      </c>
      <c r="D590" t="n">
        <v>6</v>
      </c>
      <c r="E590" t="n">
        <v>0</v>
      </c>
      <c r="F590" t="n">
        <v>0</v>
      </c>
      <c r="G590" t="n">
        <v>1</v>
      </c>
      <c r="H590" t="n">
        <v>72</v>
      </c>
      <c r="I590" t="n">
        <v>30</v>
      </c>
      <c r="J590" t="inlineStr">
        <is>
          <t>No</t>
        </is>
      </c>
      <c r="K590" t="inlineStr">
        <is>
          <t>Yes</t>
        </is>
      </c>
      <c r="L590" t="inlineStr">
        <is>
          <t>Main WH</t>
        </is>
      </c>
    </row>
    <row r="591">
      <c r="A591" s="4" t="n">
        <v>20250201</v>
      </c>
      <c r="B591" s="4" t="inlineStr">
        <is>
          <t>P050</t>
        </is>
      </c>
      <c r="C591" t="n">
        <v>72</v>
      </c>
      <c r="D591" t="n">
        <v>1</v>
      </c>
      <c r="E591" t="n">
        <v>1</v>
      </c>
      <c r="F591" t="n">
        <v>0</v>
      </c>
      <c r="G591" t="n">
        <v>2</v>
      </c>
      <c r="H591" t="n">
        <v>70</v>
      </c>
      <c r="I591" t="n">
        <v>30</v>
      </c>
      <c r="J591" t="inlineStr">
        <is>
          <t>No</t>
        </is>
      </c>
      <c r="K591" t="inlineStr">
        <is>
          <t>Yes</t>
        </is>
      </c>
      <c r="L591" t="inlineStr">
        <is>
          <t>North WH</t>
        </is>
      </c>
    </row>
    <row r="592">
      <c r="A592" s="4" t="n">
        <v>20250301</v>
      </c>
      <c r="B592" s="4" t="inlineStr">
        <is>
          <t>P050</t>
        </is>
      </c>
      <c r="C592" t="n">
        <v>70</v>
      </c>
      <c r="D592" t="n">
        <v>16</v>
      </c>
      <c r="E592" t="n">
        <v>2</v>
      </c>
      <c r="F592" t="n">
        <v>1</v>
      </c>
      <c r="G592" t="n">
        <v>0</v>
      </c>
      <c r="H592" t="n">
        <v>85</v>
      </c>
      <c r="I592" t="n">
        <v>30</v>
      </c>
      <c r="J592" t="inlineStr">
        <is>
          <t>No</t>
        </is>
      </c>
      <c r="K592" t="inlineStr">
        <is>
          <t>Yes</t>
        </is>
      </c>
      <c r="L592" t="inlineStr">
        <is>
          <t>Main WH</t>
        </is>
      </c>
    </row>
    <row r="593">
      <c r="A593" s="4" t="n">
        <v>20250401</v>
      </c>
      <c r="B593" s="4" t="inlineStr">
        <is>
          <t>P050</t>
        </is>
      </c>
      <c r="C593" t="n">
        <v>85</v>
      </c>
      <c r="D593" t="n">
        <v>0</v>
      </c>
      <c r="E593" t="n">
        <v>6</v>
      </c>
      <c r="F593" t="n">
        <v>0</v>
      </c>
      <c r="G593" t="n">
        <v>0</v>
      </c>
      <c r="H593" t="n">
        <v>79</v>
      </c>
      <c r="I593" t="n">
        <v>30</v>
      </c>
      <c r="J593" t="inlineStr">
        <is>
          <t>No</t>
        </is>
      </c>
      <c r="K593" t="inlineStr">
        <is>
          <t>Yes</t>
        </is>
      </c>
      <c r="L593" t="inlineStr">
        <is>
          <t>Main WH</t>
        </is>
      </c>
    </row>
    <row r="594">
      <c r="A594" s="4" t="n">
        <v>20250501</v>
      </c>
      <c r="B594" s="4" t="inlineStr">
        <is>
          <t>P050</t>
        </is>
      </c>
      <c r="C594" t="n">
        <v>79</v>
      </c>
      <c r="D594" t="n">
        <v>3</v>
      </c>
      <c r="E594" t="n">
        <v>2</v>
      </c>
      <c r="F594" t="n">
        <v>0</v>
      </c>
      <c r="G594" t="n">
        <v>1</v>
      </c>
      <c r="H594" t="n">
        <v>79</v>
      </c>
      <c r="I594" t="n">
        <v>30</v>
      </c>
      <c r="J594" t="inlineStr">
        <is>
          <t>No</t>
        </is>
      </c>
      <c r="K594" t="inlineStr">
        <is>
          <t>Yes</t>
        </is>
      </c>
      <c r="L594" t="inlineStr">
        <is>
          <t>North WH</t>
        </is>
      </c>
    </row>
    <row r="595">
      <c r="A595" s="4" t="n">
        <v>20250601</v>
      </c>
      <c r="B595" s="4" t="inlineStr">
        <is>
          <t>P050</t>
        </is>
      </c>
      <c r="C595" t="n">
        <v>79</v>
      </c>
      <c r="D595" t="n">
        <v>0</v>
      </c>
      <c r="E595" t="n">
        <v>1</v>
      </c>
      <c r="F595" t="n">
        <v>0</v>
      </c>
      <c r="G595" t="n">
        <v>0</v>
      </c>
      <c r="H595" t="n">
        <v>78</v>
      </c>
      <c r="I595" t="n">
        <v>30</v>
      </c>
      <c r="J595" t="inlineStr">
        <is>
          <t>No</t>
        </is>
      </c>
      <c r="K595" t="inlineStr">
        <is>
          <t>Yes</t>
        </is>
      </c>
      <c r="L595" t="inlineStr">
        <is>
          <t>Main WH</t>
        </is>
      </c>
    </row>
    <row r="596">
      <c r="A596" s="4" t="n">
        <v>20250701</v>
      </c>
      <c r="B596" s="4" t="inlineStr">
        <is>
          <t>P050</t>
        </is>
      </c>
      <c r="C596" t="n">
        <v>78</v>
      </c>
      <c r="D596" t="n">
        <v>5</v>
      </c>
      <c r="E596" t="n">
        <v>0</v>
      </c>
      <c r="F596" t="n">
        <v>0</v>
      </c>
      <c r="G596" t="n">
        <v>1</v>
      </c>
      <c r="H596" t="n">
        <v>82</v>
      </c>
      <c r="I596" t="n">
        <v>30</v>
      </c>
      <c r="J596" t="inlineStr">
        <is>
          <t>No</t>
        </is>
      </c>
      <c r="K596" t="inlineStr">
        <is>
          <t>Yes</t>
        </is>
      </c>
      <c r="L596" t="inlineStr">
        <is>
          <t>Main WH</t>
        </is>
      </c>
    </row>
    <row r="597">
      <c r="A597" s="4" t="n">
        <v>20250801</v>
      </c>
      <c r="B597" s="4" t="inlineStr">
        <is>
          <t>P050</t>
        </is>
      </c>
      <c r="C597" t="n">
        <v>82</v>
      </c>
      <c r="D597" t="n">
        <v>2</v>
      </c>
      <c r="E597" t="n">
        <v>4</v>
      </c>
      <c r="F597" t="n">
        <v>0</v>
      </c>
      <c r="G597" t="n">
        <v>1</v>
      </c>
      <c r="H597" t="n">
        <v>79</v>
      </c>
      <c r="I597" t="n">
        <v>30</v>
      </c>
      <c r="J597" t="inlineStr">
        <is>
          <t>No</t>
        </is>
      </c>
      <c r="K597" t="inlineStr">
        <is>
          <t>Yes</t>
        </is>
      </c>
      <c r="L597" t="inlineStr">
        <is>
          <t>North WH</t>
        </is>
      </c>
    </row>
    <row r="598">
      <c r="A598" s="4" t="n">
        <v>20250901</v>
      </c>
      <c r="B598" s="4" t="inlineStr">
        <is>
          <t>P050</t>
        </is>
      </c>
      <c r="C598" t="n">
        <v>79</v>
      </c>
      <c r="D598" t="n">
        <v>0</v>
      </c>
      <c r="E598" t="n">
        <v>2</v>
      </c>
      <c r="F598" t="n">
        <v>0</v>
      </c>
      <c r="G598" t="n">
        <v>1</v>
      </c>
      <c r="H598" t="n">
        <v>76</v>
      </c>
      <c r="I598" t="n">
        <v>30</v>
      </c>
      <c r="J598" t="inlineStr">
        <is>
          <t>No</t>
        </is>
      </c>
      <c r="K598" t="inlineStr">
        <is>
          <t>Yes</t>
        </is>
      </c>
      <c r="L598" t="inlineStr">
        <is>
          <t>Main WH</t>
        </is>
      </c>
    </row>
    <row r="599">
      <c r="A599" s="4" t="n">
        <v>20251001</v>
      </c>
      <c r="B599" s="4" t="inlineStr">
        <is>
          <t>P050</t>
        </is>
      </c>
      <c r="C599" t="n">
        <v>76</v>
      </c>
      <c r="D599" t="n">
        <v>3</v>
      </c>
      <c r="E599" t="n">
        <v>0</v>
      </c>
      <c r="F599" t="n">
        <v>0</v>
      </c>
      <c r="G599" t="n">
        <v>0</v>
      </c>
      <c r="H599" t="n">
        <v>79</v>
      </c>
      <c r="I599" t="n">
        <v>30</v>
      </c>
      <c r="J599" t="inlineStr">
        <is>
          <t>No</t>
        </is>
      </c>
      <c r="K599" t="inlineStr">
        <is>
          <t>Yes</t>
        </is>
      </c>
      <c r="L599" t="inlineStr">
        <is>
          <t>North WH</t>
        </is>
      </c>
    </row>
    <row r="600">
      <c r="A600" s="4" t="n">
        <v>20251101</v>
      </c>
      <c r="B600" s="4" t="inlineStr">
        <is>
          <t>P050</t>
        </is>
      </c>
      <c r="C600" t="n">
        <v>79</v>
      </c>
      <c r="D600" t="n">
        <v>0</v>
      </c>
      <c r="E600" t="n">
        <v>7</v>
      </c>
      <c r="F600" t="n">
        <v>1</v>
      </c>
      <c r="G600" t="n">
        <v>0</v>
      </c>
      <c r="H600" t="n">
        <v>73</v>
      </c>
      <c r="I600" t="n">
        <v>30</v>
      </c>
      <c r="J600" t="inlineStr">
        <is>
          <t>No</t>
        </is>
      </c>
      <c r="K600" t="inlineStr">
        <is>
          <t>Yes</t>
        </is>
      </c>
      <c r="L600" t="inlineStr">
        <is>
          <t>North WH</t>
        </is>
      </c>
    </row>
    <row r="601">
      <c r="A601" s="4" t="n">
        <v>20251201</v>
      </c>
      <c r="B601" s="4" t="inlineStr">
        <is>
          <t>P050</t>
        </is>
      </c>
      <c r="C601" t="n">
        <v>73</v>
      </c>
      <c r="D601" t="n">
        <v>6</v>
      </c>
      <c r="E601" t="n">
        <v>9</v>
      </c>
      <c r="F601" t="n">
        <v>0</v>
      </c>
      <c r="G601" t="n">
        <v>0</v>
      </c>
      <c r="H601" t="n">
        <v>70</v>
      </c>
      <c r="I601" t="n">
        <v>30</v>
      </c>
      <c r="J601" t="inlineStr">
        <is>
          <t>No</t>
        </is>
      </c>
      <c r="K601" t="inlineStr">
        <is>
          <t>Yes</t>
        </is>
      </c>
      <c r="L601" t="inlineStr">
        <is>
          <t>North WH</t>
        </is>
      </c>
    </row>
    <row r="602">
      <c r="A602" s="4" t="n">
        <v>20250101</v>
      </c>
      <c r="B602" s="4" t="inlineStr">
        <is>
          <t>P051</t>
        </is>
      </c>
      <c r="C602" t="n">
        <v>52</v>
      </c>
      <c r="D602" t="n">
        <v>35</v>
      </c>
      <c r="E602" t="n">
        <v>4</v>
      </c>
      <c r="F602" t="n">
        <v>0</v>
      </c>
      <c r="G602" t="n">
        <v>0</v>
      </c>
      <c r="H602" t="n">
        <v>83</v>
      </c>
      <c r="I602" t="n">
        <v>36</v>
      </c>
      <c r="J602" t="inlineStr">
        <is>
          <t>No</t>
        </is>
      </c>
      <c r="K602" t="inlineStr">
        <is>
          <t>Yes</t>
        </is>
      </c>
      <c r="L602" t="inlineStr">
        <is>
          <t>North WH</t>
        </is>
      </c>
    </row>
    <row r="603">
      <c r="A603" s="4" t="n">
        <v>20250201</v>
      </c>
      <c r="B603" s="4" t="inlineStr">
        <is>
          <t>P051</t>
        </is>
      </c>
      <c r="C603" t="n">
        <v>83</v>
      </c>
      <c r="D603" t="n">
        <v>0</v>
      </c>
      <c r="E603" t="n">
        <v>3</v>
      </c>
      <c r="F603" t="n">
        <v>0</v>
      </c>
      <c r="G603" t="n">
        <v>0</v>
      </c>
      <c r="H603" t="n">
        <v>80</v>
      </c>
      <c r="I603" t="n">
        <v>36</v>
      </c>
      <c r="J603" t="inlineStr">
        <is>
          <t>No</t>
        </is>
      </c>
      <c r="K603" t="inlineStr">
        <is>
          <t>No</t>
        </is>
      </c>
      <c r="L603" t="inlineStr">
        <is>
          <t>North WH</t>
        </is>
      </c>
    </row>
    <row r="604">
      <c r="A604" s="4" t="n">
        <v>20250301</v>
      </c>
      <c r="B604" s="4" t="inlineStr">
        <is>
          <t>P051</t>
        </is>
      </c>
      <c r="C604" t="n">
        <v>80</v>
      </c>
      <c r="D604" t="n">
        <v>0</v>
      </c>
      <c r="E604" t="n">
        <v>0</v>
      </c>
      <c r="F604" t="n">
        <v>0</v>
      </c>
      <c r="G604" t="n">
        <v>1</v>
      </c>
      <c r="H604" t="n">
        <v>79</v>
      </c>
      <c r="I604" t="n">
        <v>36</v>
      </c>
      <c r="J604" t="inlineStr">
        <is>
          <t>No</t>
        </is>
      </c>
      <c r="K604" t="inlineStr">
        <is>
          <t>No</t>
        </is>
      </c>
      <c r="L604" t="inlineStr">
        <is>
          <t>Main WH</t>
        </is>
      </c>
    </row>
    <row r="605">
      <c r="A605" s="4" t="n">
        <v>20250401</v>
      </c>
      <c r="B605" s="4" t="inlineStr">
        <is>
          <t>P051</t>
        </is>
      </c>
      <c r="C605" t="n">
        <v>79</v>
      </c>
      <c r="D605" t="n">
        <v>12</v>
      </c>
      <c r="E605" t="n">
        <v>4</v>
      </c>
      <c r="F605" t="n">
        <v>0</v>
      </c>
      <c r="G605" t="n">
        <v>2</v>
      </c>
      <c r="H605" t="n">
        <v>85</v>
      </c>
      <c r="I605" t="n">
        <v>36</v>
      </c>
      <c r="J605" t="inlineStr">
        <is>
          <t>No</t>
        </is>
      </c>
      <c r="K605" t="inlineStr">
        <is>
          <t>Yes</t>
        </is>
      </c>
      <c r="L605" t="inlineStr">
        <is>
          <t>Main WH</t>
        </is>
      </c>
    </row>
    <row r="606">
      <c r="A606" s="4" t="n">
        <v>20250501</v>
      </c>
      <c r="B606" s="4" t="inlineStr">
        <is>
          <t>P051</t>
        </is>
      </c>
      <c r="C606" t="n">
        <v>85</v>
      </c>
      <c r="D606" t="n">
        <v>0</v>
      </c>
      <c r="E606" t="n">
        <v>1</v>
      </c>
      <c r="F606" t="n">
        <v>0</v>
      </c>
      <c r="G606" t="n">
        <v>1</v>
      </c>
      <c r="H606" t="n">
        <v>83</v>
      </c>
      <c r="I606" t="n">
        <v>36</v>
      </c>
      <c r="J606" t="inlineStr">
        <is>
          <t>No</t>
        </is>
      </c>
      <c r="K606" t="inlineStr">
        <is>
          <t>Yes</t>
        </is>
      </c>
      <c r="L606" t="inlineStr">
        <is>
          <t>North WH</t>
        </is>
      </c>
    </row>
    <row r="607">
      <c r="A607" s="4" t="n">
        <v>20250601</v>
      </c>
      <c r="B607" s="4" t="inlineStr">
        <is>
          <t>P051</t>
        </is>
      </c>
      <c r="C607" t="n">
        <v>83</v>
      </c>
      <c r="D607" t="n">
        <v>0</v>
      </c>
      <c r="E607" t="n">
        <v>0</v>
      </c>
      <c r="F607" t="n">
        <v>0</v>
      </c>
      <c r="G607" t="n">
        <v>2</v>
      </c>
      <c r="H607" t="n">
        <v>81</v>
      </c>
      <c r="I607" t="n">
        <v>36</v>
      </c>
      <c r="J607" t="inlineStr">
        <is>
          <t>No</t>
        </is>
      </c>
      <c r="K607" t="inlineStr">
        <is>
          <t>No</t>
        </is>
      </c>
      <c r="L607" t="inlineStr">
        <is>
          <t>North WH</t>
        </is>
      </c>
    </row>
    <row r="608">
      <c r="A608" s="4" t="n">
        <v>20250701</v>
      </c>
      <c r="B608" s="4" t="inlineStr">
        <is>
          <t>P051</t>
        </is>
      </c>
      <c r="C608" t="n">
        <v>81</v>
      </c>
      <c r="D608" t="n">
        <v>5</v>
      </c>
      <c r="E608" t="n">
        <v>1</v>
      </c>
      <c r="F608" t="n">
        <v>0</v>
      </c>
      <c r="G608" t="n">
        <v>0</v>
      </c>
      <c r="H608" t="n">
        <v>85</v>
      </c>
      <c r="I608" t="n">
        <v>36</v>
      </c>
      <c r="J608" t="inlineStr">
        <is>
          <t>No</t>
        </is>
      </c>
      <c r="K608" t="inlineStr">
        <is>
          <t>Yes</t>
        </is>
      </c>
      <c r="L608" t="inlineStr">
        <is>
          <t>Main WH</t>
        </is>
      </c>
    </row>
    <row r="609">
      <c r="A609" s="4" t="n">
        <v>20250801</v>
      </c>
      <c r="B609" s="4" t="inlineStr">
        <is>
          <t>P051</t>
        </is>
      </c>
      <c r="C609" t="n">
        <v>85</v>
      </c>
      <c r="D609" t="n">
        <v>0</v>
      </c>
      <c r="E609" t="n">
        <v>3</v>
      </c>
      <c r="F609" t="n">
        <v>1</v>
      </c>
      <c r="G609" t="n">
        <v>2</v>
      </c>
      <c r="H609" t="n">
        <v>81</v>
      </c>
      <c r="I609" t="n">
        <v>36</v>
      </c>
      <c r="J609" t="inlineStr">
        <is>
          <t>No</t>
        </is>
      </c>
      <c r="K609" t="inlineStr">
        <is>
          <t>No</t>
        </is>
      </c>
      <c r="L609" t="inlineStr">
        <is>
          <t>Main WH</t>
        </is>
      </c>
    </row>
    <row r="610">
      <c r="A610" s="4" t="n">
        <v>20250901</v>
      </c>
      <c r="B610" s="4" t="inlineStr">
        <is>
          <t>P051</t>
        </is>
      </c>
      <c r="C610" t="n">
        <v>81</v>
      </c>
      <c r="D610" t="n">
        <v>0</v>
      </c>
      <c r="E610" t="n">
        <v>0</v>
      </c>
      <c r="F610" t="n">
        <v>0</v>
      </c>
      <c r="G610" t="n">
        <v>0</v>
      </c>
      <c r="H610" t="n">
        <v>81</v>
      </c>
      <c r="I610" t="n">
        <v>36</v>
      </c>
      <c r="J610" t="inlineStr">
        <is>
          <t>No</t>
        </is>
      </c>
      <c r="K610" t="inlineStr">
        <is>
          <t>No</t>
        </is>
      </c>
      <c r="L610" t="inlineStr">
        <is>
          <t>North WH</t>
        </is>
      </c>
    </row>
    <row r="611">
      <c r="A611" s="4" t="n">
        <v>20251001</v>
      </c>
      <c r="B611" s="4" t="inlineStr">
        <is>
          <t>P051</t>
        </is>
      </c>
      <c r="C611" t="n">
        <v>81</v>
      </c>
      <c r="D611" t="n">
        <v>11</v>
      </c>
      <c r="E611" t="n">
        <v>2</v>
      </c>
      <c r="F611" t="n">
        <v>0</v>
      </c>
      <c r="G611" t="n">
        <v>1</v>
      </c>
      <c r="H611" t="n">
        <v>89</v>
      </c>
      <c r="I611" t="n">
        <v>36</v>
      </c>
      <c r="J611" t="inlineStr">
        <is>
          <t>No</t>
        </is>
      </c>
      <c r="K611" t="inlineStr">
        <is>
          <t>Yes</t>
        </is>
      </c>
      <c r="L611" t="inlineStr">
        <is>
          <t>Main WH</t>
        </is>
      </c>
    </row>
    <row r="612">
      <c r="A612" s="4" t="n">
        <v>20251101</v>
      </c>
      <c r="B612" s="4" t="inlineStr">
        <is>
          <t>P051</t>
        </is>
      </c>
      <c r="C612" t="n">
        <v>89</v>
      </c>
      <c r="D612" t="n">
        <v>0</v>
      </c>
      <c r="E612" t="n">
        <v>7</v>
      </c>
      <c r="F612" t="n">
        <v>0</v>
      </c>
      <c r="G612" t="n">
        <v>0</v>
      </c>
      <c r="H612" t="n">
        <v>82</v>
      </c>
      <c r="I612" t="n">
        <v>36</v>
      </c>
      <c r="J612" t="inlineStr">
        <is>
          <t>No</t>
        </is>
      </c>
      <c r="K612" t="inlineStr">
        <is>
          <t>No</t>
        </is>
      </c>
      <c r="L612" t="inlineStr">
        <is>
          <t>Main WH</t>
        </is>
      </c>
    </row>
    <row r="613">
      <c r="A613" s="4" t="n">
        <v>20251201</v>
      </c>
      <c r="B613" s="4" t="inlineStr">
        <is>
          <t>P051</t>
        </is>
      </c>
      <c r="C613" t="n">
        <v>82</v>
      </c>
      <c r="D613" t="n">
        <v>6</v>
      </c>
      <c r="E613" t="n">
        <v>6</v>
      </c>
      <c r="F613" t="n">
        <v>0</v>
      </c>
      <c r="G613" t="n">
        <v>0</v>
      </c>
      <c r="H613" t="n">
        <v>82</v>
      </c>
      <c r="I613" t="n">
        <v>36</v>
      </c>
      <c r="J613" t="inlineStr">
        <is>
          <t>No</t>
        </is>
      </c>
      <c r="K613" t="inlineStr">
        <is>
          <t>No</t>
        </is>
      </c>
      <c r="L613" t="inlineStr">
        <is>
          <t>Main WH</t>
        </is>
      </c>
    </row>
    <row r="614">
      <c r="A614" s="4" t="n">
        <v>20250101</v>
      </c>
      <c r="B614" s="4" t="inlineStr">
        <is>
          <t>P052</t>
        </is>
      </c>
      <c r="C614" t="n">
        <v>69</v>
      </c>
      <c r="D614" t="n">
        <v>0</v>
      </c>
      <c r="E614" t="n">
        <v>0</v>
      </c>
      <c r="F614" t="n">
        <v>0</v>
      </c>
      <c r="G614" t="n">
        <v>0</v>
      </c>
      <c r="H614" t="n">
        <v>69</v>
      </c>
      <c r="I614" t="n">
        <v>24</v>
      </c>
      <c r="J614" t="inlineStr">
        <is>
          <t>No</t>
        </is>
      </c>
      <c r="K614" t="inlineStr">
        <is>
          <t>Yes</t>
        </is>
      </c>
      <c r="L614" t="inlineStr">
        <is>
          <t>Main WH</t>
        </is>
      </c>
    </row>
    <row r="615">
      <c r="A615" s="4" t="n">
        <v>20250201</v>
      </c>
      <c r="B615" s="4" t="inlineStr">
        <is>
          <t>P052</t>
        </is>
      </c>
      <c r="C615" t="n">
        <v>69</v>
      </c>
      <c r="D615" t="n">
        <v>2</v>
      </c>
      <c r="E615" t="n">
        <v>2</v>
      </c>
      <c r="F615" t="n">
        <v>0</v>
      </c>
      <c r="G615" t="n">
        <v>0</v>
      </c>
      <c r="H615" t="n">
        <v>69</v>
      </c>
      <c r="I615" t="n">
        <v>24</v>
      </c>
      <c r="J615" t="inlineStr">
        <is>
          <t>No</t>
        </is>
      </c>
      <c r="K615" t="inlineStr">
        <is>
          <t>Yes</t>
        </is>
      </c>
      <c r="L615" t="inlineStr">
        <is>
          <t>Main WH</t>
        </is>
      </c>
    </row>
    <row r="616">
      <c r="A616" s="4" t="n">
        <v>20250301</v>
      </c>
      <c r="B616" s="4" t="inlineStr">
        <is>
          <t>P052</t>
        </is>
      </c>
      <c r="C616" t="n">
        <v>69</v>
      </c>
      <c r="D616" t="n">
        <v>10</v>
      </c>
      <c r="E616" t="n">
        <v>3</v>
      </c>
      <c r="F616" t="n">
        <v>0</v>
      </c>
      <c r="G616" t="n">
        <v>0</v>
      </c>
      <c r="H616" t="n">
        <v>76</v>
      </c>
      <c r="I616" t="n">
        <v>24</v>
      </c>
      <c r="J616" t="inlineStr">
        <is>
          <t>No</t>
        </is>
      </c>
      <c r="K616" t="inlineStr">
        <is>
          <t>Yes</t>
        </is>
      </c>
      <c r="L616" t="inlineStr">
        <is>
          <t>Main WH</t>
        </is>
      </c>
    </row>
    <row r="617">
      <c r="A617" s="4" t="n">
        <v>20250401</v>
      </c>
      <c r="B617" s="4" t="inlineStr">
        <is>
          <t>P052</t>
        </is>
      </c>
      <c r="C617" t="n">
        <v>76</v>
      </c>
      <c r="D617" t="n">
        <v>0</v>
      </c>
      <c r="E617" t="n">
        <v>3</v>
      </c>
      <c r="F617" t="n">
        <v>0</v>
      </c>
      <c r="G617" t="n">
        <v>0</v>
      </c>
      <c r="H617" t="n">
        <v>73</v>
      </c>
      <c r="I617" t="n">
        <v>24</v>
      </c>
      <c r="J617" t="inlineStr">
        <is>
          <t>No</t>
        </is>
      </c>
      <c r="K617" t="inlineStr">
        <is>
          <t>Yes</t>
        </is>
      </c>
      <c r="L617" t="inlineStr">
        <is>
          <t>Main WH</t>
        </is>
      </c>
    </row>
    <row r="618">
      <c r="A618" s="4" t="n">
        <v>20250501</v>
      </c>
      <c r="B618" s="4" t="inlineStr">
        <is>
          <t>P052</t>
        </is>
      </c>
      <c r="C618" t="n">
        <v>73</v>
      </c>
      <c r="D618" t="n">
        <v>1</v>
      </c>
      <c r="E618" t="n">
        <v>1</v>
      </c>
      <c r="F618" t="n">
        <v>0</v>
      </c>
      <c r="G618" t="n">
        <v>0</v>
      </c>
      <c r="H618" t="n">
        <v>73</v>
      </c>
      <c r="I618" t="n">
        <v>24</v>
      </c>
      <c r="J618" t="inlineStr">
        <is>
          <t>No</t>
        </is>
      </c>
      <c r="K618" t="inlineStr">
        <is>
          <t>Yes</t>
        </is>
      </c>
      <c r="L618" t="inlineStr">
        <is>
          <t>North WH</t>
        </is>
      </c>
    </row>
    <row r="619">
      <c r="A619" s="4" t="n">
        <v>20250601</v>
      </c>
      <c r="B619" s="4" t="inlineStr">
        <is>
          <t>P052</t>
        </is>
      </c>
      <c r="C619" t="n">
        <v>73</v>
      </c>
      <c r="D619" t="n">
        <v>0</v>
      </c>
      <c r="E619" t="n">
        <v>2</v>
      </c>
      <c r="F619" t="n">
        <v>0</v>
      </c>
      <c r="G619" t="n">
        <v>0</v>
      </c>
      <c r="H619" t="n">
        <v>71</v>
      </c>
      <c r="I619" t="n">
        <v>24</v>
      </c>
      <c r="J619" t="inlineStr">
        <is>
          <t>No</t>
        </is>
      </c>
      <c r="K619" t="inlineStr">
        <is>
          <t>Yes</t>
        </is>
      </c>
      <c r="L619" t="inlineStr">
        <is>
          <t>Main WH</t>
        </is>
      </c>
    </row>
    <row r="620">
      <c r="A620" s="4" t="n">
        <v>20250701</v>
      </c>
      <c r="B620" s="4" t="inlineStr">
        <is>
          <t>P052</t>
        </is>
      </c>
      <c r="C620" t="n">
        <v>71</v>
      </c>
      <c r="D620" t="n">
        <v>0</v>
      </c>
      <c r="E620" t="n">
        <v>3</v>
      </c>
      <c r="F620" t="n">
        <v>0</v>
      </c>
      <c r="G620" t="n">
        <v>1</v>
      </c>
      <c r="H620" t="n">
        <v>67</v>
      </c>
      <c r="I620" t="n">
        <v>24</v>
      </c>
      <c r="J620" t="inlineStr">
        <is>
          <t>No</t>
        </is>
      </c>
      <c r="K620" t="inlineStr">
        <is>
          <t>Yes</t>
        </is>
      </c>
      <c r="L620" t="inlineStr">
        <is>
          <t>North WH</t>
        </is>
      </c>
    </row>
    <row r="621">
      <c r="A621" s="4" t="n">
        <v>20250801</v>
      </c>
      <c r="B621" s="4" t="inlineStr">
        <is>
          <t>P052</t>
        </is>
      </c>
      <c r="C621" t="n">
        <v>67</v>
      </c>
      <c r="D621" t="n">
        <v>14</v>
      </c>
      <c r="E621" t="n">
        <v>3</v>
      </c>
      <c r="F621" t="n">
        <v>0</v>
      </c>
      <c r="G621" t="n">
        <v>1</v>
      </c>
      <c r="H621" t="n">
        <v>77</v>
      </c>
      <c r="I621" t="n">
        <v>24</v>
      </c>
      <c r="J621" t="inlineStr">
        <is>
          <t>No</t>
        </is>
      </c>
      <c r="K621" t="inlineStr">
        <is>
          <t>Yes</t>
        </is>
      </c>
      <c r="L621" t="inlineStr">
        <is>
          <t>North WH</t>
        </is>
      </c>
    </row>
    <row r="622">
      <c r="A622" s="4" t="n">
        <v>20250901</v>
      </c>
      <c r="B622" s="4" t="inlineStr">
        <is>
          <t>P052</t>
        </is>
      </c>
      <c r="C622" t="n">
        <v>77</v>
      </c>
      <c r="D622" t="n">
        <v>4</v>
      </c>
      <c r="E622" t="n">
        <v>8</v>
      </c>
      <c r="F622" t="n">
        <v>0</v>
      </c>
      <c r="G622" t="n">
        <v>0</v>
      </c>
      <c r="H622" t="n">
        <v>73</v>
      </c>
      <c r="I622" t="n">
        <v>24</v>
      </c>
      <c r="J622" t="inlineStr">
        <is>
          <t>No</t>
        </is>
      </c>
      <c r="K622" t="inlineStr">
        <is>
          <t>Yes</t>
        </is>
      </c>
      <c r="L622" t="inlineStr">
        <is>
          <t>Main WH</t>
        </is>
      </c>
    </row>
    <row r="623">
      <c r="A623" s="4" t="n">
        <v>20251001</v>
      </c>
      <c r="B623" s="4" t="inlineStr">
        <is>
          <t>P052</t>
        </is>
      </c>
      <c r="C623" t="n">
        <v>73</v>
      </c>
      <c r="D623" t="n">
        <v>2</v>
      </c>
      <c r="E623" t="n">
        <v>2</v>
      </c>
      <c r="F623" t="n">
        <v>0</v>
      </c>
      <c r="G623" t="n">
        <v>1</v>
      </c>
      <c r="H623" t="n">
        <v>72</v>
      </c>
      <c r="I623" t="n">
        <v>24</v>
      </c>
      <c r="J623" t="inlineStr">
        <is>
          <t>No</t>
        </is>
      </c>
      <c r="K623" t="inlineStr">
        <is>
          <t>Yes</t>
        </is>
      </c>
      <c r="L623" t="inlineStr">
        <is>
          <t>Main WH</t>
        </is>
      </c>
    </row>
    <row r="624">
      <c r="A624" s="4" t="n">
        <v>20251101</v>
      </c>
      <c r="B624" s="4" t="inlineStr">
        <is>
          <t>P052</t>
        </is>
      </c>
      <c r="C624" t="n">
        <v>72</v>
      </c>
      <c r="D624" t="n">
        <v>0</v>
      </c>
      <c r="E624" t="n">
        <v>2</v>
      </c>
      <c r="F624" t="n">
        <v>0</v>
      </c>
      <c r="G624" t="n">
        <v>1</v>
      </c>
      <c r="H624" t="n">
        <v>69</v>
      </c>
      <c r="I624" t="n">
        <v>24</v>
      </c>
      <c r="J624" t="inlineStr">
        <is>
          <t>No</t>
        </is>
      </c>
      <c r="K624" t="inlineStr">
        <is>
          <t>Yes</t>
        </is>
      </c>
      <c r="L624" t="inlineStr">
        <is>
          <t>North WH</t>
        </is>
      </c>
    </row>
    <row r="625">
      <c r="A625" s="4" t="n">
        <v>20251201</v>
      </c>
      <c r="B625" s="4" t="inlineStr">
        <is>
          <t>P052</t>
        </is>
      </c>
      <c r="C625" t="n">
        <v>69</v>
      </c>
      <c r="D625" t="n">
        <v>0</v>
      </c>
      <c r="E625" t="n">
        <v>4</v>
      </c>
      <c r="F625" t="n">
        <v>0</v>
      </c>
      <c r="G625" t="n">
        <v>1</v>
      </c>
      <c r="H625" t="n">
        <v>64</v>
      </c>
      <c r="I625" t="n">
        <v>24</v>
      </c>
      <c r="J625" t="inlineStr">
        <is>
          <t>No</t>
        </is>
      </c>
      <c r="K625" t="inlineStr">
        <is>
          <t>Yes</t>
        </is>
      </c>
      <c r="L625" t="inlineStr">
        <is>
          <t>North WH</t>
        </is>
      </c>
    </row>
    <row r="626">
      <c r="A626" s="4" t="n">
        <v>20250101</v>
      </c>
      <c r="B626" s="4" t="inlineStr">
        <is>
          <t>P053</t>
        </is>
      </c>
      <c r="C626" t="n">
        <v>55</v>
      </c>
      <c r="D626" t="n">
        <v>10</v>
      </c>
      <c r="E626" t="n">
        <v>1</v>
      </c>
      <c r="F626" t="n">
        <v>0</v>
      </c>
      <c r="G626" t="n">
        <v>0</v>
      </c>
      <c r="H626" t="n">
        <v>64</v>
      </c>
      <c r="I626" t="n">
        <v>24</v>
      </c>
      <c r="J626" t="inlineStr">
        <is>
          <t>No</t>
        </is>
      </c>
      <c r="K626" t="inlineStr">
        <is>
          <t>Yes</t>
        </is>
      </c>
      <c r="L626" t="inlineStr">
        <is>
          <t>North WH</t>
        </is>
      </c>
    </row>
    <row r="627">
      <c r="A627" s="4" t="n">
        <v>20250201</v>
      </c>
      <c r="B627" s="4" t="inlineStr">
        <is>
          <t>P053</t>
        </is>
      </c>
      <c r="C627" t="n">
        <v>64</v>
      </c>
      <c r="D627" t="n">
        <v>11</v>
      </c>
      <c r="E627" t="n">
        <v>1</v>
      </c>
      <c r="F627" t="n">
        <v>0</v>
      </c>
      <c r="G627" t="n">
        <v>1</v>
      </c>
      <c r="H627" t="n">
        <v>73</v>
      </c>
      <c r="I627" t="n">
        <v>24</v>
      </c>
      <c r="J627" t="inlineStr">
        <is>
          <t>No</t>
        </is>
      </c>
      <c r="K627" t="inlineStr">
        <is>
          <t>Yes</t>
        </is>
      </c>
      <c r="L627" t="inlineStr">
        <is>
          <t>Main WH</t>
        </is>
      </c>
    </row>
    <row r="628">
      <c r="A628" s="4" t="n">
        <v>20250301</v>
      </c>
      <c r="B628" s="4" t="inlineStr">
        <is>
          <t>P053</t>
        </is>
      </c>
      <c r="C628" t="n">
        <v>73</v>
      </c>
      <c r="D628" t="n">
        <v>13</v>
      </c>
      <c r="E628" t="n">
        <v>7</v>
      </c>
      <c r="F628" t="n">
        <v>0</v>
      </c>
      <c r="G628" t="n">
        <v>0</v>
      </c>
      <c r="H628" t="n">
        <v>79</v>
      </c>
      <c r="I628" t="n">
        <v>24</v>
      </c>
      <c r="J628" t="inlineStr">
        <is>
          <t>No</t>
        </is>
      </c>
      <c r="K628" t="inlineStr">
        <is>
          <t>Yes</t>
        </is>
      </c>
      <c r="L628" t="inlineStr">
        <is>
          <t>Main WH</t>
        </is>
      </c>
    </row>
    <row r="629">
      <c r="A629" s="4" t="n">
        <v>20250401</v>
      </c>
      <c r="B629" s="4" t="inlineStr">
        <is>
          <t>P053</t>
        </is>
      </c>
      <c r="C629" t="n">
        <v>79</v>
      </c>
      <c r="D629" t="n">
        <v>0</v>
      </c>
      <c r="E629" t="n">
        <v>0</v>
      </c>
      <c r="F629" t="n">
        <v>0</v>
      </c>
      <c r="G629" t="n">
        <v>2</v>
      </c>
      <c r="H629" t="n">
        <v>77</v>
      </c>
      <c r="I629" t="n">
        <v>24</v>
      </c>
      <c r="J629" t="inlineStr">
        <is>
          <t>No</t>
        </is>
      </c>
      <c r="K629" t="inlineStr">
        <is>
          <t>Yes</t>
        </is>
      </c>
      <c r="L629" t="inlineStr">
        <is>
          <t>North WH</t>
        </is>
      </c>
    </row>
    <row r="630">
      <c r="A630" s="4" t="n">
        <v>20250501</v>
      </c>
      <c r="B630" s="4" t="inlineStr">
        <is>
          <t>P053</t>
        </is>
      </c>
      <c r="C630" t="n">
        <v>77</v>
      </c>
      <c r="D630" t="n">
        <v>0</v>
      </c>
      <c r="E630" t="n">
        <v>1</v>
      </c>
      <c r="F630" t="n">
        <v>1</v>
      </c>
      <c r="G630" t="n">
        <v>0</v>
      </c>
      <c r="H630" t="n">
        <v>77</v>
      </c>
      <c r="I630" t="n">
        <v>24</v>
      </c>
      <c r="J630" t="inlineStr">
        <is>
          <t>No</t>
        </is>
      </c>
      <c r="K630" t="inlineStr">
        <is>
          <t>Yes</t>
        </is>
      </c>
      <c r="L630" t="inlineStr">
        <is>
          <t>Main WH</t>
        </is>
      </c>
    </row>
    <row r="631">
      <c r="A631" s="4" t="n">
        <v>20250601</v>
      </c>
      <c r="B631" s="4" t="inlineStr">
        <is>
          <t>P053</t>
        </is>
      </c>
      <c r="C631" t="n">
        <v>77</v>
      </c>
      <c r="D631" t="n">
        <v>0</v>
      </c>
      <c r="E631" t="n">
        <v>2</v>
      </c>
      <c r="F631" t="n">
        <v>0</v>
      </c>
      <c r="G631" t="n">
        <v>1</v>
      </c>
      <c r="H631" t="n">
        <v>74</v>
      </c>
      <c r="I631" t="n">
        <v>24</v>
      </c>
      <c r="J631" t="inlineStr">
        <is>
          <t>No</t>
        </is>
      </c>
      <c r="K631" t="inlineStr">
        <is>
          <t>Yes</t>
        </is>
      </c>
      <c r="L631" t="inlineStr">
        <is>
          <t>North WH</t>
        </is>
      </c>
    </row>
    <row r="632">
      <c r="A632" s="4" t="n">
        <v>20250701</v>
      </c>
      <c r="B632" s="4" t="inlineStr">
        <is>
          <t>P053</t>
        </is>
      </c>
      <c r="C632" t="n">
        <v>74</v>
      </c>
      <c r="D632" t="n">
        <v>0</v>
      </c>
      <c r="E632" t="n">
        <v>3</v>
      </c>
      <c r="F632" t="n">
        <v>0</v>
      </c>
      <c r="G632" t="n">
        <v>0</v>
      </c>
      <c r="H632" t="n">
        <v>71</v>
      </c>
      <c r="I632" t="n">
        <v>24</v>
      </c>
      <c r="J632" t="inlineStr">
        <is>
          <t>No</t>
        </is>
      </c>
      <c r="K632" t="inlineStr">
        <is>
          <t>Yes</t>
        </is>
      </c>
      <c r="L632" t="inlineStr">
        <is>
          <t>Main WH</t>
        </is>
      </c>
    </row>
    <row r="633">
      <c r="A633" s="4" t="n">
        <v>20250801</v>
      </c>
      <c r="B633" s="4" t="inlineStr">
        <is>
          <t>P053</t>
        </is>
      </c>
      <c r="C633" t="n">
        <v>71</v>
      </c>
      <c r="D633" t="n">
        <v>0</v>
      </c>
      <c r="E633" t="n">
        <v>3</v>
      </c>
      <c r="F633" t="n">
        <v>0</v>
      </c>
      <c r="G633" t="n">
        <v>1</v>
      </c>
      <c r="H633" t="n">
        <v>67</v>
      </c>
      <c r="I633" t="n">
        <v>24</v>
      </c>
      <c r="J633" t="inlineStr">
        <is>
          <t>No</t>
        </is>
      </c>
      <c r="K633" t="inlineStr">
        <is>
          <t>Yes</t>
        </is>
      </c>
      <c r="L633" t="inlineStr">
        <is>
          <t>Main WH</t>
        </is>
      </c>
    </row>
    <row r="634">
      <c r="A634" s="4" t="n">
        <v>20250901</v>
      </c>
      <c r="B634" s="4" t="inlineStr">
        <is>
          <t>P053</t>
        </is>
      </c>
      <c r="C634" t="n">
        <v>67</v>
      </c>
      <c r="D634" t="n">
        <v>16</v>
      </c>
      <c r="E634" t="n">
        <v>7</v>
      </c>
      <c r="F634" t="n">
        <v>0</v>
      </c>
      <c r="G634" t="n">
        <v>1</v>
      </c>
      <c r="H634" t="n">
        <v>75</v>
      </c>
      <c r="I634" t="n">
        <v>24</v>
      </c>
      <c r="J634" t="inlineStr">
        <is>
          <t>No</t>
        </is>
      </c>
      <c r="K634" t="inlineStr">
        <is>
          <t>Yes</t>
        </is>
      </c>
      <c r="L634" t="inlineStr">
        <is>
          <t>North WH</t>
        </is>
      </c>
    </row>
    <row r="635">
      <c r="A635" s="4" t="n">
        <v>20251001</v>
      </c>
      <c r="B635" s="4" t="inlineStr">
        <is>
          <t>P053</t>
        </is>
      </c>
      <c r="C635" t="n">
        <v>75</v>
      </c>
      <c r="D635" t="n">
        <v>0</v>
      </c>
      <c r="E635" t="n">
        <v>7</v>
      </c>
      <c r="F635" t="n">
        <v>0</v>
      </c>
      <c r="G635" t="n">
        <v>1</v>
      </c>
      <c r="H635" t="n">
        <v>67</v>
      </c>
      <c r="I635" t="n">
        <v>24</v>
      </c>
      <c r="J635" t="inlineStr">
        <is>
          <t>No</t>
        </is>
      </c>
      <c r="K635" t="inlineStr">
        <is>
          <t>Yes</t>
        </is>
      </c>
      <c r="L635" t="inlineStr">
        <is>
          <t>North WH</t>
        </is>
      </c>
    </row>
    <row r="636">
      <c r="A636" s="4" t="n">
        <v>20251101</v>
      </c>
      <c r="B636" s="4" t="inlineStr">
        <is>
          <t>P053</t>
        </is>
      </c>
      <c r="C636" t="n">
        <v>67</v>
      </c>
      <c r="D636" t="n">
        <v>0</v>
      </c>
      <c r="E636" t="n">
        <v>4</v>
      </c>
      <c r="F636" t="n">
        <v>1</v>
      </c>
      <c r="G636" t="n">
        <v>1</v>
      </c>
      <c r="H636" t="n">
        <v>63</v>
      </c>
      <c r="I636" t="n">
        <v>24</v>
      </c>
      <c r="J636" t="inlineStr">
        <is>
          <t>No</t>
        </is>
      </c>
      <c r="K636" t="inlineStr">
        <is>
          <t>Yes</t>
        </is>
      </c>
      <c r="L636" t="inlineStr">
        <is>
          <t>Main WH</t>
        </is>
      </c>
    </row>
    <row r="637">
      <c r="A637" s="4" t="n">
        <v>20251201</v>
      </c>
      <c r="B637" s="4" t="inlineStr">
        <is>
          <t>P053</t>
        </is>
      </c>
      <c r="C637" t="n">
        <v>63</v>
      </c>
      <c r="D637" t="n">
        <v>0</v>
      </c>
      <c r="E637" t="n">
        <v>6</v>
      </c>
      <c r="F637" t="n">
        <v>0</v>
      </c>
      <c r="G637" t="n">
        <v>2</v>
      </c>
      <c r="H637" t="n">
        <v>55</v>
      </c>
      <c r="I637" t="n">
        <v>24</v>
      </c>
      <c r="J637" t="inlineStr">
        <is>
          <t>No</t>
        </is>
      </c>
      <c r="K637" t="inlineStr">
        <is>
          <t>No</t>
        </is>
      </c>
      <c r="L637" t="inlineStr">
        <is>
          <t>Main WH</t>
        </is>
      </c>
    </row>
    <row r="638">
      <c r="A638" s="4" t="n">
        <v>20250101</v>
      </c>
      <c r="B638" s="4" t="inlineStr">
        <is>
          <t>P054</t>
        </is>
      </c>
      <c r="C638" t="n">
        <v>55</v>
      </c>
      <c r="D638" t="n">
        <v>27</v>
      </c>
      <c r="E638" t="n">
        <v>1</v>
      </c>
      <c r="F638" t="n">
        <v>0</v>
      </c>
      <c r="G638" t="n">
        <v>2</v>
      </c>
      <c r="H638" t="n">
        <v>79</v>
      </c>
      <c r="I638" t="n">
        <v>36</v>
      </c>
      <c r="J638" t="inlineStr">
        <is>
          <t>No</t>
        </is>
      </c>
      <c r="K638" t="inlineStr">
        <is>
          <t>No</t>
        </is>
      </c>
      <c r="L638" t="inlineStr">
        <is>
          <t>North WH</t>
        </is>
      </c>
    </row>
    <row r="639">
      <c r="A639" s="4" t="n">
        <v>20250201</v>
      </c>
      <c r="B639" s="4" t="inlineStr">
        <is>
          <t>P054</t>
        </is>
      </c>
      <c r="C639" t="n">
        <v>79</v>
      </c>
      <c r="D639" t="n">
        <v>12</v>
      </c>
      <c r="E639" t="n">
        <v>0</v>
      </c>
      <c r="F639" t="n">
        <v>0</v>
      </c>
      <c r="G639" t="n">
        <v>0</v>
      </c>
      <c r="H639" t="n">
        <v>91</v>
      </c>
      <c r="I639" t="n">
        <v>36</v>
      </c>
      <c r="J639" t="inlineStr">
        <is>
          <t>No</t>
        </is>
      </c>
      <c r="K639" t="inlineStr">
        <is>
          <t>Yes</t>
        </is>
      </c>
      <c r="L639" t="inlineStr">
        <is>
          <t>Main WH</t>
        </is>
      </c>
    </row>
    <row r="640">
      <c r="A640" s="4" t="n">
        <v>20250301</v>
      </c>
      <c r="B640" s="4" t="inlineStr">
        <is>
          <t>P054</t>
        </is>
      </c>
      <c r="C640" t="n">
        <v>91</v>
      </c>
      <c r="D640" t="n">
        <v>0</v>
      </c>
      <c r="E640" t="n">
        <v>4</v>
      </c>
      <c r="F640" t="n">
        <v>0</v>
      </c>
      <c r="G640" t="n">
        <v>0</v>
      </c>
      <c r="H640" t="n">
        <v>87</v>
      </c>
      <c r="I640" t="n">
        <v>36</v>
      </c>
      <c r="J640" t="inlineStr">
        <is>
          <t>No</t>
        </is>
      </c>
      <c r="K640" t="inlineStr">
        <is>
          <t>Yes</t>
        </is>
      </c>
      <c r="L640" t="inlineStr">
        <is>
          <t>Main WH</t>
        </is>
      </c>
    </row>
    <row r="641">
      <c r="A641" s="4" t="n">
        <v>20250401</v>
      </c>
      <c r="B641" s="4" t="inlineStr">
        <is>
          <t>P054</t>
        </is>
      </c>
      <c r="C641" t="n">
        <v>87</v>
      </c>
      <c r="D641" t="n">
        <v>3</v>
      </c>
      <c r="E641" t="n">
        <v>1</v>
      </c>
      <c r="F641" t="n">
        <v>0</v>
      </c>
      <c r="G641" t="n">
        <v>1</v>
      </c>
      <c r="H641" t="n">
        <v>88</v>
      </c>
      <c r="I641" t="n">
        <v>36</v>
      </c>
      <c r="J641" t="inlineStr">
        <is>
          <t>No</t>
        </is>
      </c>
      <c r="K641" t="inlineStr">
        <is>
          <t>Yes</t>
        </is>
      </c>
      <c r="L641" t="inlineStr">
        <is>
          <t>North WH</t>
        </is>
      </c>
    </row>
    <row r="642">
      <c r="A642" s="4" t="n">
        <v>20250501</v>
      </c>
      <c r="B642" s="4" t="inlineStr">
        <is>
          <t>P054</t>
        </is>
      </c>
      <c r="C642" t="n">
        <v>88</v>
      </c>
      <c r="D642" t="n">
        <v>0</v>
      </c>
      <c r="E642" t="n">
        <v>3</v>
      </c>
      <c r="F642" t="n">
        <v>0</v>
      </c>
      <c r="G642" t="n">
        <v>0</v>
      </c>
      <c r="H642" t="n">
        <v>85</v>
      </c>
      <c r="I642" t="n">
        <v>36</v>
      </c>
      <c r="J642" t="inlineStr">
        <is>
          <t>No</t>
        </is>
      </c>
      <c r="K642" t="inlineStr">
        <is>
          <t>Yes</t>
        </is>
      </c>
      <c r="L642" t="inlineStr">
        <is>
          <t>North WH</t>
        </is>
      </c>
    </row>
    <row r="643">
      <c r="A643" s="4" t="n">
        <v>20250601</v>
      </c>
      <c r="B643" s="4" t="inlineStr">
        <is>
          <t>P054</t>
        </is>
      </c>
      <c r="C643" t="n">
        <v>85</v>
      </c>
      <c r="D643" t="n">
        <v>0</v>
      </c>
      <c r="E643" t="n">
        <v>2</v>
      </c>
      <c r="F643" t="n">
        <v>0</v>
      </c>
      <c r="G643" t="n">
        <v>0</v>
      </c>
      <c r="H643" t="n">
        <v>83</v>
      </c>
      <c r="I643" t="n">
        <v>36</v>
      </c>
      <c r="J643" t="inlineStr">
        <is>
          <t>No</t>
        </is>
      </c>
      <c r="K643" t="inlineStr">
        <is>
          <t>Yes</t>
        </is>
      </c>
      <c r="L643" t="inlineStr">
        <is>
          <t>North WH</t>
        </is>
      </c>
    </row>
    <row r="644">
      <c r="A644" s="4" t="n">
        <v>20250701</v>
      </c>
      <c r="B644" s="4" t="inlineStr">
        <is>
          <t>P054</t>
        </is>
      </c>
      <c r="C644" t="n">
        <v>83</v>
      </c>
      <c r="D644" t="n">
        <v>0</v>
      </c>
      <c r="E644" t="n">
        <v>2</v>
      </c>
      <c r="F644" t="n">
        <v>0</v>
      </c>
      <c r="G644" t="n">
        <v>0</v>
      </c>
      <c r="H644" t="n">
        <v>81</v>
      </c>
      <c r="I644" t="n">
        <v>36</v>
      </c>
      <c r="J644" t="inlineStr">
        <is>
          <t>No</t>
        </is>
      </c>
      <c r="K644" t="inlineStr">
        <is>
          <t>No</t>
        </is>
      </c>
      <c r="L644" t="inlineStr">
        <is>
          <t>North WH</t>
        </is>
      </c>
    </row>
    <row r="645">
      <c r="A645" s="4" t="n">
        <v>20250801</v>
      </c>
      <c r="B645" s="4" t="inlineStr">
        <is>
          <t>P054</t>
        </is>
      </c>
      <c r="C645" t="n">
        <v>81</v>
      </c>
      <c r="D645" t="n">
        <v>0</v>
      </c>
      <c r="E645" t="n">
        <v>2</v>
      </c>
      <c r="F645" t="n">
        <v>1</v>
      </c>
      <c r="G645" t="n">
        <v>1</v>
      </c>
      <c r="H645" t="n">
        <v>79</v>
      </c>
      <c r="I645" t="n">
        <v>36</v>
      </c>
      <c r="J645" t="inlineStr">
        <is>
          <t>No</t>
        </is>
      </c>
      <c r="K645" t="inlineStr">
        <is>
          <t>No</t>
        </is>
      </c>
      <c r="L645" t="inlineStr">
        <is>
          <t>Main WH</t>
        </is>
      </c>
    </row>
    <row r="646">
      <c r="A646" s="4" t="n">
        <v>20250901</v>
      </c>
      <c r="B646" s="4" t="inlineStr">
        <is>
          <t>P054</t>
        </is>
      </c>
      <c r="C646" t="n">
        <v>79</v>
      </c>
      <c r="D646" t="n">
        <v>0</v>
      </c>
      <c r="E646" t="n">
        <v>4</v>
      </c>
      <c r="F646" t="n">
        <v>0</v>
      </c>
      <c r="G646" t="n">
        <v>2</v>
      </c>
      <c r="H646" t="n">
        <v>73</v>
      </c>
      <c r="I646" t="n">
        <v>36</v>
      </c>
      <c r="J646" t="inlineStr">
        <is>
          <t>No</t>
        </is>
      </c>
      <c r="K646" t="inlineStr">
        <is>
          <t>No</t>
        </is>
      </c>
      <c r="L646" t="inlineStr">
        <is>
          <t>Main WH</t>
        </is>
      </c>
    </row>
    <row r="647">
      <c r="A647" s="4" t="n">
        <v>20251001</v>
      </c>
      <c r="B647" s="4" t="inlineStr">
        <is>
          <t>P054</t>
        </is>
      </c>
      <c r="C647" t="n">
        <v>73</v>
      </c>
      <c r="D647" t="n">
        <v>0</v>
      </c>
      <c r="E647" t="n">
        <v>1</v>
      </c>
      <c r="F647" t="n">
        <v>0</v>
      </c>
      <c r="G647" t="n">
        <v>1</v>
      </c>
      <c r="H647" t="n">
        <v>71</v>
      </c>
      <c r="I647" t="n">
        <v>36</v>
      </c>
      <c r="J647" t="inlineStr">
        <is>
          <t>No</t>
        </is>
      </c>
      <c r="K647" t="inlineStr">
        <is>
          <t>No</t>
        </is>
      </c>
      <c r="L647" t="inlineStr">
        <is>
          <t>North WH</t>
        </is>
      </c>
    </row>
    <row r="648">
      <c r="A648" s="4" t="n">
        <v>20251101</v>
      </c>
      <c r="B648" s="4" t="inlineStr">
        <is>
          <t>P054</t>
        </is>
      </c>
      <c r="C648" t="n">
        <v>71</v>
      </c>
      <c r="D648" t="n">
        <v>0</v>
      </c>
      <c r="E648" t="n">
        <v>2</v>
      </c>
      <c r="F648" t="n">
        <v>0</v>
      </c>
      <c r="G648" t="n">
        <v>0</v>
      </c>
      <c r="H648" t="n">
        <v>69</v>
      </c>
      <c r="I648" t="n">
        <v>36</v>
      </c>
      <c r="J648" t="inlineStr">
        <is>
          <t>No</t>
        </is>
      </c>
      <c r="K648" t="inlineStr">
        <is>
          <t>No</t>
        </is>
      </c>
      <c r="L648" t="inlineStr">
        <is>
          <t>North WH</t>
        </is>
      </c>
    </row>
    <row r="649">
      <c r="A649" s="4" t="n">
        <v>20251201</v>
      </c>
      <c r="B649" s="4" t="inlineStr">
        <is>
          <t>P054</t>
        </is>
      </c>
      <c r="C649" t="n">
        <v>69</v>
      </c>
      <c r="D649" t="n">
        <v>25</v>
      </c>
      <c r="E649" t="n">
        <v>5</v>
      </c>
      <c r="F649" t="n">
        <v>0</v>
      </c>
      <c r="G649" t="n">
        <v>2</v>
      </c>
      <c r="H649" t="n">
        <v>87</v>
      </c>
      <c r="I649" t="n">
        <v>36</v>
      </c>
      <c r="J649" t="inlineStr">
        <is>
          <t>No</t>
        </is>
      </c>
      <c r="K649" t="inlineStr">
        <is>
          <t>Yes</t>
        </is>
      </c>
      <c r="L649" t="inlineStr">
        <is>
          <t>Main WH</t>
        </is>
      </c>
    </row>
    <row r="650">
      <c r="A650" s="4" t="n">
        <v>20250101</v>
      </c>
      <c r="B650" s="4" t="inlineStr">
        <is>
          <t>P055</t>
        </is>
      </c>
      <c r="C650" t="n">
        <v>59</v>
      </c>
      <c r="D650" t="n">
        <v>7</v>
      </c>
      <c r="E650" t="n">
        <v>2</v>
      </c>
      <c r="F650" t="n">
        <v>0</v>
      </c>
      <c r="G650" t="n">
        <v>0</v>
      </c>
      <c r="H650" t="n">
        <v>64</v>
      </c>
      <c r="I650" t="n">
        <v>36</v>
      </c>
      <c r="J650" t="inlineStr">
        <is>
          <t>No</t>
        </is>
      </c>
      <c r="K650" t="inlineStr">
        <is>
          <t>No</t>
        </is>
      </c>
      <c r="L650" t="inlineStr">
        <is>
          <t>Main WH</t>
        </is>
      </c>
    </row>
    <row r="651">
      <c r="A651" s="4" t="n">
        <v>20250201</v>
      </c>
      <c r="B651" s="4" t="inlineStr">
        <is>
          <t>P055</t>
        </is>
      </c>
      <c r="C651" t="n">
        <v>64</v>
      </c>
      <c r="D651" t="n">
        <v>20</v>
      </c>
      <c r="E651" t="n">
        <v>1</v>
      </c>
      <c r="F651" t="n">
        <v>0</v>
      </c>
      <c r="G651" t="n">
        <v>1</v>
      </c>
      <c r="H651" t="n">
        <v>82</v>
      </c>
      <c r="I651" t="n">
        <v>36</v>
      </c>
      <c r="J651" t="inlineStr">
        <is>
          <t>No</t>
        </is>
      </c>
      <c r="K651" t="inlineStr">
        <is>
          <t>No</t>
        </is>
      </c>
      <c r="L651" t="inlineStr">
        <is>
          <t>Main WH</t>
        </is>
      </c>
    </row>
    <row r="652">
      <c r="A652" s="4" t="n">
        <v>20250301</v>
      </c>
      <c r="B652" s="4" t="inlineStr">
        <is>
          <t>P055</t>
        </is>
      </c>
      <c r="C652" t="n">
        <v>82</v>
      </c>
      <c r="D652" t="n">
        <v>1</v>
      </c>
      <c r="E652" t="n">
        <v>5</v>
      </c>
      <c r="F652" t="n">
        <v>1</v>
      </c>
      <c r="G652" t="n">
        <v>1</v>
      </c>
      <c r="H652" t="n">
        <v>78</v>
      </c>
      <c r="I652" t="n">
        <v>36</v>
      </c>
      <c r="J652" t="inlineStr">
        <is>
          <t>No</t>
        </is>
      </c>
      <c r="K652" t="inlineStr">
        <is>
          <t>No</t>
        </is>
      </c>
      <c r="L652" t="inlineStr">
        <is>
          <t>North WH</t>
        </is>
      </c>
    </row>
    <row r="653">
      <c r="A653" s="4" t="n">
        <v>20250401</v>
      </c>
      <c r="B653" s="4" t="inlineStr">
        <is>
          <t>P055</t>
        </is>
      </c>
      <c r="C653" t="n">
        <v>78</v>
      </c>
      <c r="D653" t="n">
        <v>1</v>
      </c>
      <c r="E653" t="n">
        <v>4</v>
      </c>
      <c r="F653" t="n">
        <v>0</v>
      </c>
      <c r="G653" t="n">
        <v>2</v>
      </c>
      <c r="H653" t="n">
        <v>73</v>
      </c>
      <c r="I653" t="n">
        <v>36</v>
      </c>
      <c r="J653" t="inlineStr">
        <is>
          <t>No</t>
        </is>
      </c>
      <c r="K653" t="inlineStr">
        <is>
          <t>No</t>
        </is>
      </c>
      <c r="L653" t="inlineStr">
        <is>
          <t>North WH</t>
        </is>
      </c>
    </row>
    <row r="654">
      <c r="A654" s="4" t="n">
        <v>20250501</v>
      </c>
      <c r="B654" s="4" t="inlineStr">
        <is>
          <t>P055</t>
        </is>
      </c>
      <c r="C654" t="n">
        <v>73</v>
      </c>
      <c r="D654" t="n">
        <v>1</v>
      </c>
      <c r="E654" t="n">
        <v>1</v>
      </c>
      <c r="F654" t="n">
        <v>0</v>
      </c>
      <c r="G654" t="n">
        <v>1</v>
      </c>
      <c r="H654" t="n">
        <v>72</v>
      </c>
      <c r="I654" t="n">
        <v>36</v>
      </c>
      <c r="J654" t="inlineStr">
        <is>
          <t>No</t>
        </is>
      </c>
      <c r="K654" t="inlineStr">
        <is>
          <t>No</t>
        </is>
      </c>
      <c r="L654" t="inlineStr">
        <is>
          <t>Main WH</t>
        </is>
      </c>
    </row>
    <row r="655">
      <c r="A655" s="4" t="n">
        <v>20250601</v>
      </c>
      <c r="B655" s="4" t="inlineStr">
        <is>
          <t>P055</t>
        </is>
      </c>
      <c r="C655" t="n">
        <v>72</v>
      </c>
      <c r="D655" t="n">
        <v>27</v>
      </c>
      <c r="E655" t="n">
        <v>9</v>
      </c>
      <c r="F655" t="n">
        <v>1</v>
      </c>
      <c r="G655" t="n">
        <v>1</v>
      </c>
      <c r="H655" t="n">
        <v>90</v>
      </c>
      <c r="I655" t="n">
        <v>36</v>
      </c>
      <c r="J655" t="inlineStr">
        <is>
          <t>No</t>
        </is>
      </c>
      <c r="K655" t="inlineStr">
        <is>
          <t>Yes</t>
        </is>
      </c>
      <c r="L655" t="inlineStr">
        <is>
          <t>Main WH</t>
        </is>
      </c>
    </row>
    <row r="656">
      <c r="A656" s="4" t="n">
        <v>20250701</v>
      </c>
      <c r="B656" s="4" t="inlineStr">
        <is>
          <t>P055</t>
        </is>
      </c>
      <c r="C656" t="n">
        <v>90</v>
      </c>
      <c r="D656" t="n">
        <v>0</v>
      </c>
      <c r="E656" t="n">
        <v>1</v>
      </c>
      <c r="F656" t="n">
        <v>0</v>
      </c>
      <c r="G656" t="n">
        <v>0</v>
      </c>
      <c r="H656" t="n">
        <v>89</v>
      </c>
      <c r="I656" t="n">
        <v>36</v>
      </c>
      <c r="J656" t="inlineStr">
        <is>
          <t>No</t>
        </is>
      </c>
      <c r="K656" t="inlineStr">
        <is>
          <t>Yes</t>
        </is>
      </c>
      <c r="L656" t="inlineStr">
        <is>
          <t>Main WH</t>
        </is>
      </c>
    </row>
    <row r="657">
      <c r="A657" s="4" t="n">
        <v>20250801</v>
      </c>
      <c r="B657" s="4" t="inlineStr">
        <is>
          <t>P055</t>
        </is>
      </c>
      <c r="C657" t="n">
        <v>89</v>
      </c>
      <c r="D657" t="n">
        <v>0</v>
      </c>
      <c r="E657" t="n">
        <v>3</v>
      </c>
      <c r="F657" t="n">
        <v>0</v>
      </c>
      <c r="G657" t="n">
        <v>0</v>
      </c>
      <c r="H657" t="n">
        <v>86</v>
      </c>
      <c r="I657" t="n">
        <v>36</v>
      </c>
      <c r="J657" t="inlineStr">
        <is>
          <t>No</t>
        </is>
      </c>
      <c r="K657" t="inlineStr">
        <is>
          <t>Yes</t>
        </is>
      </c>
      <c r="L657" t="inlineStr">
        <is>
          <t>North WH</t>
        </is>
      </c>
    </row>
    <row r="658">
      <c r="A658" s="4" t="n">
        <v>20250901</v>
      </c>
      <c r="B658" s="4" t="inlineStr">
        <is>
          <t>P055</t>
        </is>
      </c>
      <c r="C658" t="n">
        <v>86</v>
      </c>
      <c r="D658" t="n">
        <v>0</v>
      </c>
      <c r="E658" t="n">
        <v>2</v>
      </c>
      <c r="F658" t="n">
        <v>0</v>
      </c>
      <c r="G658" t="n">
        <v>2</v>
      </c>
      <c r="H658" t="n">
        <v>82</v>
      </c>
      <c r="I658" t="n">
        <v>36</v>
      </c>
      <c r="J658" t="inlineStr">
        <is>
          <t>No</t>
        </is>
      </c>
      <c r="K658" t="inlineStr">
        <is>
          <t>No</t>
        </is>
      </c>
      <c r="L658" t="inlineStr">
        <is>
          <t>Main WH</t>
        </is>
      </c>
    </row>
    <row r="659">
      <c r="A659" s="4" t="n">
        <v>20251001</v>
      </c>
      <c r="B659" s="4" t="inlineStr">
        <is>
          <t>P055</t>
        </is>
      </c>
      <c r="C659" t="n">
        <v>82</v>
      </c>
      <c r="D659" t="n">
        <v>10</v>
      </c>
      <c r="E659" t="n">
        <v>2</v>
      </c>
      <c r="F659" t="n">
        <v>0</v>
      </c>
      <c r="G659" t="n">
        <v>1</v>
      </c>
      <c r="H659" t="n">
        <v>89</v>
      </c>
      <c r="I659" t="n">
        <v>36</v>
      </c>
      <c r="J659" t="inlineStr">
        <is>
          <t>No</t>
        </is>
      </c>
      <c r="K659" t="inlineStr">
        <is>
          <t>Yes</t>
        </is>
      </c>
      <c r="L659" t="inlineStr">
        <is>
          <t>North WH</t>
        </is>
      </c>
    </row>
    <row r="660">
      <c r="A660" s="4" t="n">
        <v>20251101</v>
      </c>
      <c r="B660" s="4" t="inlineStr">
        <is>
          <t>P055</t>
        </is>
      </c>
      <c r="C660" t="n">
        <v>89</v>
      </c>
      <c r="D660" t="n">
        <v>4</v>
      </c>
      <c r="E660" t="n">
        <v>6</v>
      </c>
      <c r="F660" t="n">
        <v>0</v>
      </c>
      <c r="G660" t="n">
        <v>0</v>
      </c>
      <c r="H660" t="n">
        <v>87</v>
      </c>
      <c r="I660" t="n">
        <v>36</v>
      </c>
      <c r="J660" t="inlineStr">
        <is>
          <t>No</t>
        </is>
      </c>
      <c r="K660" t="inlineStr">
        <is>
          <t>Yes</t>
        </is>
      </c>
      <c r="L660" t="inlineStr">
        <is>
          <t>North WH</t>
        </is>
      </c>
    </row>
    <row r="661">
      <c r="A661" s="4" t="n">
        <v>20251201</v>
      </c>
      <c r="B661" s="4" t="inlineStr">
        <is>
          <t>P055</t>
        </is>
      </c>
      <c r="C661" t="n">
        <v>87</v>
      </c>
      <c r="D661" t="n">
        <v>0</v>
      </c>
      <c r="E661" t="n">
        <v>4</v>
      </c>
      <c r="F661" t="n">
        <v>2</v>
      </c>
      <c r="G661" t="n">
        <v>1</v>
      </c>
      <c r="H661" t="n">
        <v>84</v>
      </c>
      <c r="I661" t="n">
        <v>36</v>
      </c>
      <c r="J661" t="inlineStr">
        <is>
          <t>No</t>
        </is>
      </c>
      <c r="K661" t="inlineStr">
        <is>
          <t>Yes</t>
        </is>
      </c>
      <c r="L661" t="inlineStr">
        <is>
          <t>North WH</t>
        </is>
      </c>
    </row>
    <row r="662">
      <c r="A662" s="4" t="n">
        <v>20250101</v>
      </c>
      <c r="B662" s="4" t="inlineStr">
        <is>
          <t>P056</t>
        </is>
      </c>
      <c r="C662" t="n">
        <v>76</v>
      </c>
      <c r="D662" t="n">
        <v>0</v>
      </c>
      <c r="E662" t="n">
        <v>2</v>
      </c>
      <c r="F662" t="n">
        <v>0</v>
      </c>
      <c r="G662" t="n">
        <v>1</v>
      </c>
      <c r="H662" t="n">
        <v>73</v>
      </c>
      <c r="I662" t="n">
        <v>18</v>
      </c>
      <c r="J662" t="inlineStr">
        <is>
          <t>No</t>
        </is>
      </c>
      <c r="K662" t="inlineStr">
        <is>
          <t>Yes</t>
        </is>
      </c>
      <c r="L662" t="inlineStr">
        <is>
          <t>Main WH</t>
        </is>
      </c>
    </row>
    <row r="663">
      <c r="A663" s="4" t="n">
        <v>20250201</v>
      </c>
      <c r="B663" s="4" t="inlineStr">
        <is>
          <t>P056</t>
        </is>
      </c>
      <c r="C663" t="n">
        <v>73</v>
      </c>
      <c r="D663" t="n">
        <v>0</v>
      </c>
      <c r="E663" t="n">
        <v>4</v>
      </c>
      <c r="F663" t="n">
        <v>0</v>
      </c>
      <c r="G663" t="n">
        <v>0</v>
      </c>
      <c r="H663" t="n">
        <v>69</v>
      </c>
      <c r="I663" t="n">
        <v>18</v>
      </c>
      <c r="J663" t="inlineStr">
        <is>
          <t>No</t>
        </is>
      </c>
      <c r="K663" t="inlineStr">
        <is>
          <t>Yes</t>
        </is>
      </c>
      <c r="L663" t="inlineStr">
        <is>
          <t>North WH</t>
        </is>
      </c>
    </row>
    <row r="664">
      <c r="A664" s="4" t="n">
        <v>20250301</v>
      </c>
      <c r="B664" s="4" t="inlineStr">
        <is>
          <t>P056</t>
        </is>
      </c>
      <c r="C664" t="n">
        <v>69</v>
      </c>
      <c r="D664" t="n">
        <v>0</v>
      </c>
      <c r="E664" t="n">
        <v>0</v>
      </c>
      <c r="F664" t="n">
        <v>0</v>
      </c>
      <c r="G664" t="n">
        <v>0</v>
      </c>
      <c r="H664" t="n">
        <v>69</v>
      </c>
      <c r="I664" t="n">
        <v>18</v>
      </c>
      <c r="J664" t="inlineStr">
        <is>
          <t>No</t>
        </is>
      </c>
      <c r="K664" t="inlineStr">
        <is>
          <t>Yes</t>
        </is>
      </c>
      <c r="L664" t="inlineStr">
        <is>
          <t>Main WH</t>
        </is>
      </c>
    </row>
    <row r="665">
      <c r="A665" s="4" t="n">
        <v>20250401</v>
      </c>
      <c r="B665" s="4" t="inlineStr">
        <is>
          <t>P056</t>
        </is>
      </c>
      <c r="C665" t="n">
        <v>69</v>
      </c>
      <c r="D665" t="n">
        <v>0</v>
      </c>
      <c r="E665" t="n">
        <v>0</v>
      </c>
      <c r="F665" t="n">
        <v>0</v>
      </c>
      <c r="G665" t="n">
        <v>0</v>
      </c>
      <c r="H665" t="n">
        <v>69</v>
      </c>
      <c r="I665" t="n">
        <v>18</v>
      </c>
      <c r="J665" t="inlineStr">
        <is>
          <t>No</t>
        </is>
      </c>
      <c r="K665" t="inlineStr">
        <is>
          <t>Yes</t>
        </is>
      </c>
      <c r="L665" t="inlineStr">
        <is>
          <t>North WH</t>
        </is>
      </c>
    </row>
    <row r="666">
      <c r="A666" s="4" t="n">
        <v>20250501</v>
      </c>
      <c r="B666" s="4" t="inlineStr">
        <is>
          <t>P056</t>
        </is>
      </c>
      <c r="C666" t="n">
        <v>69</v>
      </c>
      <c r="D666" t="n">
        <v>0</v>
      </c>
      <c r="E666" t="n">
        <v>0</v>
      </c>
      <c r="F666" t="n">
        <v>0</v>
      </c>
      <c r="G666" t="n">
        <v>2</v>
      </c>
      <c r="H666" t="n">
        <v>67</v>
      </c>
      <c r="I666" t="n">
        <v>18</v>
      </c>
      <c r="J666" t="inlineStr">
        <is>
          <t>No</t>
        </is>
      </c>
      <c r="K666" t="inlineStr">
        <is>
          <t>Yes</t>
        </is>
      </c>
      <c r="L666" t="inlineStr">
        <is>
          <t>North WH</t>
        </is>
      </c>
    </row>
    <row r="667">
      <c r="A667" s="4" t="n">
        <v>20250601</v>
      </c>
      <c r="B667" s="4" t="inlineStr">
        <is>
          <t>P056</t>
        </is>
      </c>
      <c r="C667" t="n">
        <v>67</v>
      </c>
      <c r="D667" t="n">
        <v>0</v>
      </c>
      <c r="E667" t="n">
        <v>3</v>
      </c>
      <c r="F667" t="n">
        <v>0</v>
      </c>
      <c r="G667" t="n">
        <v>0</v>
      </c>
      <c r="H667" t="n">
        <v>64</v>
      </c>
      <c r="I667" t="n">
        <v>18</v>
      </c>
      <c r="J667" t="inlineStr">
        <is>
          <t>No</t>
        </is>
      </c>
      <c r="K667" t="inlineStr">
        <is>
          <t>Yes</t>
        </is>
      </c>
      <c r="L667" t="inlineStr">
        <is>
          <t>North WH</t>
        </is>
      </c>
    </row>
    <row r="668">
      <c r="A668" s="4" t="n">
        <v>20250701</v>
      </c>
      <c r="B668" s="4" t="inlineStr">
        <is>
          <t>P056</t>
        </is>
      </c>
      <c r="C668" t="n">
        <v>64</v>
      </c>
      <c r="D668" t="n">
        <v>0</v>
      </c>
      <c r="E668" t="n">
        <v>0</v>
      </c>
      <c r="F668" t="n">
        <v>0</v>
      </c>
      <c r="G668" t="n">
        <v>1</v>
      </c>
      <c r="H668" t="n">
        <v>63</v>
      </c>
      <c r="I668" t="n">
        <v>18</v>
      </c>
      <c r="J668" t="inlineStr">
        <is>
          <t>No</t>
        </is>
      </c>
      <c r="K668" t="inlineStr">
        <is>
          <t>Yes</t>
        </is>
      </c>
      <c r="L668" t="inlineStr">
        <is>
          <t>North WH</t>
        </is>
      </c>
    </row>
    <row r="669">
      <c r="A669" s="4" t="n">
        <v>20250801</v>
      </c>
      <c r="B669" s="4" t="inlineStr">
        <is>
          <t>P056</t>
        </is>
      </c>
      <c r="C669" t="n">
        <v>63</v>
      </c>
      <c r="D669" t="n">
        <v>0</v>
      </c>
      <c r="E669" t="n">
        <v>1</v>
      </c>
      <c r="F669" t="n">
        <v>0</v>
      </c>
      <c r="G669" t="n">
        <v>0</v>
      </c>
      <c r="H669" t="n">
        <v>62</v>
      </c>
      <c r="I669" t="n">
        <v>18</v>
      </c>
      <c r="J669" t="inlineStr">
        <is>
          <t>No</t>
        </is>
      </c>
      <c r="K669" t="inlineStr">
        <is>
          <t>Yes</t>
        </is>
      </c>
      <c r="L669" t="inlineStr">
        <is>
          <t>North WH</t>
        </is>
      </c>
    </row>
    <row r="670">
      <c r="A670" s="4" t="n">
        <v>20250901</v>
      </c>
      <c r="B670" s="4" t="inlineStr">
        <is>
          <t>P056</t>
        </is>
      </c>
      <c r="C670" t="n">
        <v>62</v>
      </c>
      <c r="D670" t="n">
        <v>2</v>
      </c>
      <c r="E670" t="n">
        <v>2</v>
      </c>
      <c r="F670" t="n">
        <v>0</v>
      </c>
      <c r="G670" t="n">
        <v>1</v>
      </c>
      <c r="H670" t="n">
        <v>61</v>
      </c>
      <c r="I670" t="n">
        <v>18</v>
      </c>
      <c r="J670" t="inlineStr">
        <is>
          <t>No</t>
        </is>
      </c>
      <c r="K670" t="inlineStr">
        <is>
          <t>Yes</t>
        </is>
      </c>
      <c r="L670" t="inlineStr">
        <is>
          <t>Main WH</t>
        </is>
      </c>
    </row>
    <row r="671">
      <c r="A671" s="4" t="n">
        <v>20251001</v>
      </c>
      <c r="B671" s="4" t="inlineStr">
        <is>
          <t>P056</t>
        </is>
      </c>
      <c r="C671" t="n">
        <v>61</v>
      </c>
      <c r="D671" t="n">
        <v>2</v>
      </c>
      <c r="E671" t="n">
        <v>7</v>
      </c>
      <c r="F671" t="n">
        <v>0</v>
      </c>
      <c r="G671" t="n">
        <v>0</v>
      </c>
      <c r="H671" t="n">
        <v>56</v>
      </c>
      <c r="I671" t="n">
        <v>18</v>
      </c>
      <c r="J671" t="inlineStr">
        <is>
          <t>No</t>
        </is>
      </c>
      <c r="K671" t="inlineStr">
        <is>
          <t>Yes</t>
        </is>
      </c>
      <c r="L671" t="inlineStr">
        <is>
          <t>North WH</t>
        </is>
      </c>
    </row>
    <row r="672">
      <c r="A672" s="4" t="n">
        <v>20251101</v>
      </c>
      <c r="B672" s="4" t="inlineStr">
        <is>
          <t>P056</t>
        </is>
      </c>
      <c r="C672" t="n">
        <v>56</v>
      </c>
      <c r="D672" t="n">
        <v>5</v>
      </c>
      <c r="E672" t="n">
        <v>8</v>
      </c>
      <c r="F672" t="n">
        <v>0</v>
      </c>
      <c r="G672" t="n">
        <v>0</v>
      </c>
      <c r="H672" t="n">
        <v>53</v>
      </c>
      <c r="I672" t="n">
        <v>18</v>
      </c>
      <c r="J672" t="inlineStr">
        <is>
          <t>No</t>
        </is>
      </c>
      <c r="K672" t="inlineStr">
        <is>
          <t>Yes</t>
        </is>
      </c>
      <c r="L672" t="inlineStr">
        <is>
          <t>North WH</t>
        </is>
      </c>
    </row>
    <row r="673">
      <c r="A673" s="4" t="n">
        <v>20251201</v>
      </c>
      <c r="B673" s="4" t="inlineStr">
        <is>
          <t>P056</t>
        </is>
      </c>
      <c r="C673" t="n">
        <v>53</v>
      </c>
      <c r="D673" t="n">
        <v>6</v>
      </c>
      <c r="E673" t="n">
        <v>1</v>
      </c>
      <c r="F673" t="n">
        <v>0</v>
      </c>
      <c r="G673" t="n">
        <v>0</v>
      </c>
      <c r="H673" t="n">
        <v>58</v>
      </c>
      <c r="I673" t="n">
        <v>18</v>
      </c>
      <c r="J673" t="inlineStr">
        <is>
          <t>No</t>
        </is>
      </c>
      <c r="K673" t="inlineStr">
        <is>
          <t>Yes</t>
        </is>
      </c>
      <c r="L673" t="inlineStr">
        <is>
          <t>North WH</t>
        </is>
      </c>
    </row>
    <row r="674">
      <c r="A674" s="4" t="n">
        <v>20250101</v>
      </c>
      <c r="B674" s="4" t="inlineStr">
        <is>
          <t>P057</t>
        </is>
      </c>
      <c r="C674" t="n">
        <v>50</v>
      </c>
      <c r="D674" t="n">
        <v>19</v>
      </c>
      <c r="E674" t="n">
        <v>6</v>
      </c>
      <c r="F674" t="n">
        <v>0</v>
      </c>
      <c r="G674" t="n">
        <v>0</v>
      </c>
      <c r="H674" t="n">
        <v>63</v>
      </c>
      <c r="I674" t="n">
        <v>24</v>
      </c>
      <c r="J674" t="inlineStr">
        <is>
          <t>No</t>
        </is>
      </c>
      <c r="K674" t="inlineStr">
        <is>
          <t>Yes</t>
        </is>
      </c>
      <c r="L674" t="inlineStr">
        <is>
          <t>Main WH</t>
        </is>
      </c>
    </row>
    <row r="675">
      <c r="A675" s="4" t="n">
        <v>20250201</v>
      </c>
      <c r="B675" s="4" t="inlineStr">
        <is>
          <t>P057</t>
        </is>
      </c>
      <c r="C675" t="n">
        <v>63</v>
      </c>
      <c r="D675" t="n">
        <v>14</v>
      </c>
      <c r="E675" t="n">
        <v>2</v>
      </c>
      <c r="F675" t="n">
        <v>0</v>
      </c>
      <c r="G675" t="n">
        <v>1</v>
      </c>
      <c r="H675" t="n">
        <v>74</v>
      </c>
      <c r="I675" t="n">
        <v>24</v>
      </c>
      <c r="J675" t="inlineStr">
        <is>
          <t>No</t>
        </is>
      </c>
      <c r="K675" t="inlineStr">
        <is>
          <t>Yes</t>
        </is>
      </c>
      <c r="L675" t="inlineStr">
        <is>
          <t>Main WH</t>
        </is>
      </c>
    </row>
    <row r="676">
      <c r="A676" s="4" t="n">
        <v>20250301</v>
      </c>
      <c r="B676" s="4" t="inlineStr">
        <is>
          <t>P057</t>
        </is>
      </c>
      <c r="C676" t="n">
        <v>74</v>
      </c>
      <c r="D676" t="n">
        <v>0</v>
      </c>
      <c r="E676" t="n">
        <v>3</v>
      </c>
      <c r="F676" t="n">
        <v>1</v>
      </c>
      <c r="G676" t="n">
        <v>2</v>
      </c>
      <c r="H676" t="n">
        <v>70</v>
      </c>
      <c r="I676" t="n">
        <v>24</v>
      </c>
      <c r="J676" t="inlineStr">
        <is>
          <t>No</t>
        </is>
      </c>
      <c r="K676" t="inlineStr">
        <is>
          <t>Yes</t>
        </is>
      </c>
      <c r="L676" t="inlineStr">
        <is>
          <t>North WH</t>
        </is>
      </c>
    </row>
    <row r="677">
      <c r="A677" s="4" t="n">
        <v>20250401</v>
      </c>
      <c r="B677" s="4" t="inlineStr">
        <is>
          <t>P057</t>
        </is>
      </c>
      <c r="C677" t="n">
        <v>70</v>
      </c>
      <c r="D677" t="n">
        <v>0</v>
      </c>
      <c r="E677" t="n">
        <v>1</v>
      </c>
      <c r="F677" t="n">
        <v>0</v>
      </c>
      <c r="G677" t="n">
        <v>0</v>
      </c>
      <c r="H677" t="n">
        <v>69</v>
      </c>
      <c r="I677" t="n">
        <v>24</v>
      </c>
      <c r="J677" t="inlineStr">
        <is>
          <t>No</t>
        </is>
      </c>
      <c r="K677" t="inlineStr">
        <is>
          <t>Yes</t>
        </is>
      </c>
      <c r="L677" t="inlineStr">
        <is>
          <t>Main WH</t>
        </is>
      </c>
    </row>
    <row r="678">
      <c r="A678" s="4" t="n">
        <v>20250501</v>
      </c>
      <c r="B678" s="4" t="inlineStr">
        <is>
          <t>P057</t>
        </is>
      </c>
      <c r="C678" t="n">
        <v>69</v>
      </c>
      <c r="D678" t="n">
        <v>0</v>
      </c>
      <c r="E678" t="n">
        <v>4</v>
      </c>
      <c r="F678" t="n">
        <v>0</v>
      </c>
      <c r="G678" t="n">
        <v>0</v>
      </c>
      <c r="H678" t="n">
        <v>65</v>
      </c>
      <c r="I678" t="n">
        <v>24</v>
      </c>
      <c r="J678" t="inlineStr">
        <is>
          <t>No</t>
        </is>
      </c>
      <c r="K678" t="inlineStr">
        <is>
          <t>Yes</t>
        </is>
      </c>
      <c r="L678" t="inlineStr">
        <is>
          <t>Main WH</t>
        </is>
      </c>
    </row>
    <row r="679">
      <c r="A679" s="4" t="n">
        <v>20250601</v>
      </c>
      <c r="B679" s="4" t="inlineStr">
        <is>
          <t>P057</t>
        </is>
      </c>
      <c r="C679" t="n">
        <v>65</v>
      </c>
      <c r="D679" t="n">
        <v>6</v>
      </c>
      <c r="E679" t="n">
        <v>1</v>
      </c>
      <c r="F679" t="n">
        <v>0</v>
      </c>
      <c r="G679" t="n">
        <v>0</v>
      </c>
      <c r="H679" t="n">
        <v>70</v>
      </c>
      <c r="I679" t="n">
        <v>24</v>
      </c>
      <c r="J679" t="inlineStr">
        <is>
          <t>No</t>
        </is>
      </c>
      <c r="K679" t="inlineStr">
        <is>
          <t>Yes</t>
        </is>
      </c>
      <c r="L679" t="inlineStr">
        <is>
          <t>Main WH</t>
        </is>
      </c>
    </row>
    <row r="680">
      <c r="A680" s="4" t="n">
        <v>20250701</v>
      </c>
      <c r="B680" s="4" t="inlineStr">
        <is>
          <t>P057</t>
        </is>
      </c>
      <c r="C680" t="n">
        <v>70</v>
      </c>
      <c r="D680" t="n">
        <v>0</v>
      </c>
      <c r="E680" t="n">
        <v>2</v>
      </c>
      <c r="F680" t="n">
        <v>0</v>
      </c>
      <c r="G680" t="n">
        <v>2</v>
      </c>
      <c r="H680" t="n">
        <v>66</v>
      </c>
      <c r="I680" t="n">
        <v>24</v>
      </c>
      <c r="J680" t="inlineStr">
        <is>
          <t>No</t>
        </is>
      </c>
      <c r="K680" t="inlineStr">
        <is>
          <t>Yes</t>
        </is>
      </c>
      <c r="L680" t="inlineStr">
        <is>
          <t>Main WH</t>
        </is>
      </c>
    </row>
    <row r="681">
      <c r="A681" s="4" t="n">
        <v>20250801</v>
      </c>
      <c r="B681" s="4" t="inlineStr">
        <is>
          <t>P057</t>
        </is>
      </c>
      <c r="C681" t="n">
        <v>66</v>
      </c>
      <c r="D681" t="n">
        <v>10</v>
      </c>
      <c r="E681" t="n">
        <v>4</v>
      </c>
      <c r="F681" t="n">
        <v>0</v>
      </c>
      <c r="G681" t="n">
        <v>0</v>
      </c>
      <c r="H681" t="n">
        <v>72</v>
      </c>
      <c r="I681" t="n">
        <v>24</v>
      </c>
      <c r="J681" t="inlineStr">
        <is>
          <t>No</t>
        </is>
      </c>
      <c r="K681" t="inlineStr">
        <is>
          <t>Yes</t>
        </is>
      </c>
      <c r="L681" t="inlineStr">
        <is>
          <t>Main WH</t>
        </is>
      </c>
    </row>
    <row r="682">
      <c r="A682" s="4" t="n">
        <v>20250901</v>
      </c>
      <c r="B682" s="4" t="inlineStr">
        <is>
          <t>P057</t>
        </is>
      </c>
      <c r="C682" t="n">
        <v>72</v>
      </c>
      <c r="D682" t="n">
        <v>0</v>
      </c>
      <c r="E682" t="n">
        <v>4</v>
      </c>
      <c r="F682" t="n">
        <v>0</v>
      </c>
      <c r="G682" t="n">
        <v>0</v>
      </c>
      <c r="H682" t="n">
        <v>68</v>
      </c>
      <c r="I682" t="n">
        <v>24</v>
      </c>
      <c r="J682" t="inlineStr">
        <is>
          <t>No</t>
        </is>
      </c>
      <c r="K682" t="inlineStr">
        <is>
          <t>Yes</t>
        </is>
      </c>
      <c r="L682" t="inlineStr">
        <is>
          <t>Main WH</t>
        </is>
      </c>
    </row>
    <row r="683">
      <c r="A683" s="4" t="n">
        <v>20251001</v>
      </c>
      <c r="B683" s="4" t="inlineStr">
        <is>
          <t>P057</t>
        </is>
      </c>
      <c r="C683" t="n">
        <v>68</v>
      </c>
      <c r="D683" t="n">
        <v>5</v>
      </c>
      <c r="E683" t="n">
        <v>2</v>
      </c>
      <c r="F683" t="n">
        <v>0</v>
      </c>
      <c r="G683" t="n">
        <v>0</v>
      </c>
      <c r="H683" t="n">
        <v>71</v>
      </c>
      <c r="I683" t="n">
        <v>24</v>
      </c>
      <c r="J683" t="inlineStr">
        <is>
          <t>No</t>
        </is>
      </c>
      <c r="K683" t="inlineStr">
        <is>
          <t>Yes</t>
        </is>
      </c>
      <c r="L683" t="inlineStr">
        <is>
          <t>North WH</t>
        </is>
      </c>
    </row>
    <row r="684">
      <c r="A684" s="4" t="n">
        <v>20251101</v>
      </c>
      <c r="B684" s="4" t="inlineStr">
        <is>
          <t>P057</t>
        </is>
      </c>
      <c r="C684" t="n">
        <v>71</v>
      </c>
      <c r="D684" t="n">
        <v>0</v>
      </c>
      <c r="E684" t="n">
        <v>2</v>
      </c>
      <c r="F684" t="n">
        <v>0</v>
      </c>
      <c r="G684" t="n">
        <v>2</v>
      </c>
      <c r="H684" t="n">
        <v>67</v>
      </c>
      <c r="I684" t="n">
        <v>24</v>
      </c>
      <c r="J684" t="inlineStr">
        <is>
          <t>No</t>
        </is>
      </c>
      <c r="K684" t="inlineStr">
        <is>
          <t>Yes</t>
        </is>
      </c>
      <c r="L684" t="inlineStr">
        <is>
          <t>Main WH</t>
        </is>
      </c>
    </row>
    <row r="685">
      <c r="A685" s="4" t="n">
        <v>20251201</v>
      </c>
      <c r="B685" s="4" t="inlineStr">
        <is>
          <t>P057</t>
        </is>
      </c>
      <c r="C685" t="n">
        <v>67</v>
      </c>
      <c r="D685" t="n">
        <v>16</v>
      </c>
      <c r="E685" t="n">
        <v>7</v>
      </c>
      <c r="F685" t="n">
        <v>0</v>
      </c>
      <c r="G685" t="n">
        <v>1</v>
      </c>
      <c r="H685" t="n">
        <v>75</v>
      </c>
      <c r="I685" t="n">
        <v>24</v>
      </c>
      <c r="J685" t="inlineStr">
        <is>
          <t>No</t>
        </is>
      </c>
      <c r="K685" t="inlineStr">
        <is>
          <t>Yes</t>
        </is>
      </c>
      <c r="L685" t="inlineStr">
        <is>
          <t>North WH</t>
        </is>
      </c>
    </row>
    <row r="686">
      <c r="A686" s="4" t="n">
        <v>20250101</v>
      </c>
      <c r="B686" s="4" t="inlineStr">
        <is>
          <t>P058</t>
        </is>
      </c>
      <c r="C686" t="n">
        <v>79</v>
      </c>
      <c r="D686" t="n">
        <v>0</v>
      </c>
      <c r="E686" t="n">
        <v>1</v>
      </c>
      <c r="F686" t="n">
        <v>0</v>
      </c>
      <c r="G686" t="n">
        <v>1</v>
      </c>
      <c r="H686" t="n">
        <v>77</v>
      </c>
      <c r="I686" t="n">
        <v>24</v>
      </c>
      <c r="J686" t="inlineStr">
        <is>
          <t>No</t>
        </is>
      </c>
      <c r="K686" t="inlineStr">
        <is>
          <t>Yes</t>
        </is>
      </c>
      <c r="L686" t="inlineStr">
        <is>
          <t>North WH</t>
        </is>
      </c>
    </row>
    <row r="687">
      <c r="A687" s="4" t="n">
        <v>20250201</v>
      </c>
      <c r="B687" s="4" t="inlineStr">
        <is>
          <t>P058</t>
        </is>
      </c>
      <c r="C687" t="n">
        <v>77</v>
      </c>
      <c r="D687" t="n">
        <v>0</v>
      </c>
      <c r="E687" t="n">
        <v>3</v>
      </c>
      <c r="F687" t="n">
        <v>0</v>
      </c>
      <c r="G687" t="n">
        <v>0</v>
      </c>
      <c r="H687" t="n">
        <v>74</v>
      </c>
      <c r="I687" t="n">
        <v>24</v>
      </c>
      <c r="J687" t="inlineStr">
        <is>
          <t>No</t>
        </is>
      </c>
      <c r="K687" t="inlineStr">
        <is>
          <t>Yes</t>
        </is>
      </c>
      <c r="L687" t="inlineStr">
        <is>
          <t>Main WH</t>
        </is>
      </c>
    </row>
    <row r="688">
      <c r="A688" s="4" t="n">
        <v>20250301</v>
      </c>
      <c r="B688" s="4" t="inlineStr">
        <is>
          <t>P058</t>
        </is>
      </c>
      <c r="C688" t="n">
        <v>74</v>
      </c>
      <c r="D688" t="n">
        <v>0</v>
      </c>
      <c r="E688" t="n">
        <v>1</v>
      </c>
      <c r="F688" t="n">
        <v>0</v>
      </c>
      <c r="G688" t="n">
        <v>0</v>
      </c>
      <c r="H688" t="n">
        <v>73</v>
      </c>
      <c r="I688" t="n">
        <v>24</v>
      </c>
      <c r="J688" t="inlineStr">
        <is>
          <t>No</t>
        </is>
      </c>
      <c r="K688" t="inlineStr">
        <is>
          <t>Yes</t>
        </is>
      </c>
      <c r="L688" t="inlineStr">
        <is>
          <t>Main WH</t>
        </is>
      </c>
    </row>
    <row r="689">
      <c r="A689" s="4" t="n">
        <v>20250401</v>
      </c>
      <c r="B689" s="4" t="inlineStr">
        <is>
          <t>P058</t>
        </is>
      </c>
      <c r="C689" t="n">
        <v>73</v>
      </c>
      <c r="D689" t="n">
        <v>1</v>
      </c>
      <c r="E689" t="n">
        <v>3</v>
      </c>
      <c r="F689" t="n">
        <v>0</v>
      </c>
      <c r="G689" t="n">
        <v>2</v>
      </c>
      <c r="H689" t="n">
        <v>69</v>
      </c>
      <c r="I689" t="n">
        <v>24</v>
      </c>
      <c r="J689" t="inlineStr">
        <is>
          <t>No</t>
        </is>
      </c>
      <c r="K689" t="inlineStr">
        <is>
          <t>Yes</t>
        </is>
      </c>
      <c r="L689" t="inlineStr">
        <is>
          <t>North WH</t>
        </is>
      </c>
    </row>
    <row r="690">
      <c r="A690" s="4" t="n">
        <v>20250501</v>
      </c>
      <c r="B690" s="4" t="inlineStr">
        <is>
          <t>P058</t>
        </is>
      </c>
      <c r="C690" t="n">
        <v>69</v>
      </c>
      <c r="D690" t="n">
        <v>0</v>
      </c>
      <c r="E690" t="n">
        <v>2</v>
      </c>
      <c r="F690" t="n">
        <v>0</v>
      </c>
      <c r="G690" t="n">
        <v>0</v>
      </c>
      <c r="H690" t="n">
        <v>67</v>
      </c>
      <c r="I690" t="n">
        <v>24</v>
      </c>
      <c r="J690" t="inlineStr">
        <is>
          <t>No</t>
        </is>
      </c>
      <c r="K690" t="inlineStr">
        <is>
          <t>Yes</t>
        </is>
      </c>
      <c r="L690" t="inlineStr">
        <is>
          <t>North WH</t>
        </is>
      </c>
    </row>
    <row r="691">
      <c r="A691" s="4" t="n">
        <v>20250601</v>
      </c>
      <c r="B691" s="4" t="inlineStr">
        <is>
          <t>P058</t>
        </is>
      </c>
      <c r="C691" t="n">
        <v>67</v>
      </c>
      <c r="D691" t="n">
        <v>0</v>
      </c>
      <c r="E691" t="n">
        <v>2</v>
      </c>
      <c r="F691" t="n">
        <v>0</v>
      </c>
      <c r="G691" t="n">
        <v>1</v>
      </c>
      <c r="H691" t="n">
        <v>64</v>
      </c>
      <c r="I691" t="n">
        <v>24</v>
      </c>
      <c r="J691" t="inlineStr">
        <is>
          <t>No</t>
        </is>
      </c>
      <c r="K691" t="inlineStr">
        <is>
          <t>Yes</t>
        </is>
      </c>
      <c r="L691" t="inlineStr">
        <is>
          <t>North WH</t>
        </is>
      </c>
    </row>
    <row r="692">
      <c r="A692" s="4" t="n">
        <v>20250701</v>
      </c>
      <c r="B692" s="4" t="inlineStr">
        <is>
          <t>P058</t>
        </is>
      </c>
      <c r="C692" t="n">
        <v>64</v>
      </c>
      <c r="D692" t="n">
        <v>11</v>
      </c>
      <c r="E692" t="n">
        <v>4</v>
      </c>
      <c r="F692" t="n">
        <v>2</v>
      </c>
      <c r="G692" t="n">
        <v>0</v>
      </c>
      <c r="H692" t="n">
        <v>73</v>
      </c>
      <c r="I692" t="n">
        <v>24</v>
      </c>
      <c r="J692" t="inlineStr">
        <is>
          <t>No</t>
        </is>
      </c>
      <c r="K692" t="inlineStr">
        <is>
          <t>Yes</t>
        </is>
      </c>
      <c r="L692" t="inlineStr">
        <is>
          <t>North WH</t>
        </is>
      </c>
    </row>
    <row r="693">
      <c r="A693" s="4" t="n">
        <v>20250801</v>
      </c>
      <c r="B693" s="4" t="inlineStr">
        <is>
          <t>P058</t>
        </is>
      </c>
      <c r="C693" t="n">
        <v>73</v>
      </c>
      <c r="D693" t="n">
        <v>5</v>
      </c>
      <c r="E693" t="n">
        <v>1</v>
      </c>
      <c r="F693" t="n">
        <v>0</v>
      </c>
      <c r="G693" t="n">
        <v>0</v>
      </c>
      <c r="H693" t="n">
        <v>77</v>
      </c>
      <c r="I693" t="n">
        <v>24</v>
      </c>
      <c r="J693" t="inlineStr">
        <is>
          <t>No</t>
        </is>
      </c>
      <c r="K693" t="inlineStr">
        <is>
          <t>Yes</t>
        </is>
      </c>
      <c r="L693" t="inlineStr">
        <is>
          <t>Main WH</t>
        </is>
      </c>
    </row>
    <row r="694">
      <c r="A694" s="4" t="n">
        <v>20250901</v>
      </c>
      <c r="B694" s="4" t="inlineStr">
        <is>
          <t>P058</t>
        </is>
      </c>
      <c r="C694" t="n">
        <v>77</v>
      </c>
      <c r="D694" t="n">
        <v>0</v>
      </c>
      <c r="E694" t="n">
        <v>7</v>
      </c>
      <c r="F694" t="n">
        <v>0</v>
      </c>
      <c r="G694" t="n">
        <v>0</v>
      </c>
      <c r="H694" t="n">
        <v>70</v>
      </c>
      <c r="I694" t="n">
        <v>24</v>
      </c>
      <c r="J694" t="inlineStr">
        <is>
          <t>No</t>
        </is>
      </c>
      <c r="K694" t="inlineStr">
        <is>
          <t>Yes</t>
        </is>
      </c>
      <c r="L694" t="inlineStr">
        <is>
          <t>North WH</t>
        </is>
      </c>
    </row>
    <row r="695">
      <c r="A695" s="4" t="n">
        <v>20251001</v>
      </c>
      <c r="B695" s="4" t="inlineStr">
        <is>
          <t>P058</t>
        </is>
      </c>
      <c r="C695" t="n">
        <v>70</v>
      </c>
      <c r="D695" t="n">
        <v>7</v>
      </c>
      <c r="E695" t="n">
        <v>2</v>
      </c>
      <c r="F695" t="n">
        <v>0</v>
      </c>
      <c r="G695" t="n">
        <v>1</v>
      </c>
      <c r="H695" t="n">
        <v>74</v>
      </c>
      <c r="I695" t="n">
        <v>24</v>
      </c>
      <c r="J695" t="inlineStr">
        <is>
          <t>No</t>
        </is>
      </c>
      <c r="K695" t="inlineStr">
        <is>
          <t>Yes</t>
        </is>
      </c>
      <c r="L695" t="inlineStr">
        <is>
          <t>North WH</t>
        </is>
      </c>
    </row>
    <row r="696">
      <c r="A696" s="4" t="n">
        <v>20251101</v>
      </c>
      <c r="B696" s="4" t="inlineStr">
        <is>
          <t>P058</t>
        </is>
      </c>
      <c r="C696" t="n">
        <v>74</v>
      </c>
      <c r="D696" t="n">
        <v>6</v>
      </c>
      <c r="E696" t="n">
        <v>9</v>
      </c>
      <c r="F696" t="n">
        <v>3</v>
      </c>
      <c r="G696" t="n">
        <v>0</v>
      </c>
      <c r="H696" t="n">
        <v>74</v>
      </c>
      <c r="I696" t="n">
        <v>24</v>
      </c>
      <c r="J696" t="inlineStr">
        <is>
          <t>No</t>
        </is>
      </c>
      <c r="K696" t="inlineStr">
        <is>
          <t>Yes</t>
        </is>
      </c>
      <c r="L696" t="inlineStr">
        <is>
          <t>North WH</t>
        </is>
      </c>
    </row>
    <row r="697">
      <c r="A697" s="4" t="n">
        <v>20251201</v>
      </c>
      <c r="B697" s="4" t="inlineStr">
        <is>
          <t>P058</t>
        </is>
      </c>
      <c r="C697" t="n">
        <v>74</v>
      </c>
      <c r="D697" t="n">
        <v>0</v>
      </c>
      <c r="E697" t="n">
        <v>9</v>
      </c>
      <c r="F697" t="n">
        <v>0</v>
      </c>
      <c r="G697" t="n">
        <v>1</v>
      </c>
      <c r="H697" t="n">
        <v>64</v>
      </c>
      <c r="I697" t="n">
        <v>24</v>
      </c>
      <c r="J697" t="inlineStr">
        <is>
          <t>No</t>
        </is>
      </c>
      <c r="K697" t="inlineStr">
        <is>
          <t>Yes</t>
        </is>
      </c>
      <c r="L697" t="inlineStr">
        <is>
          <t>Main WH</t>
        </is>
      </c>
    </row>
    <row r="698">
      <c r="A698" s="4" t="n">
        <v>20250101</v>
      </c>
      <c r="B698" s="4" t="inlineStr">
        <is>
          <t>P059</t>
        </is>
      </c>
      <c r="C698" t="n">
        <v>57</v>
      </c>
      <c r="D698" t="n">
        <v>29</v>
      </c>
      <c r="E698" t="n">
        <v>6</v>
      </c>
      <c r="F698" t="n">
        <v>1</v>
      </c>
      <c r="G698" t="n">
        <v>0</v>
      </c>
      <c r="H698" t="n">
        <v>81</v>
      </c>
      <c r="I698" t="n">
        <v>36</v>
      </c>
      <c r="J698" t="inlineStr">
        <is>
          <t>No</t>
        </is>
      </c>
      <c r="K698" t="inlineStr">
        <is>
          <t>No</t>
        </is>
      </c>
      <c r="L698" t="inlineStr">
        <is>
          <t>Main WH</t>
        </is>
      </c>
    </row>
    <row r="699">
      <c r="A699" s="4" t="n">
        <v>20250201</v>
      </c>
      <c r="B699" s="4" t="inlineStr">
        <is>
          <t>P059</t>
        </is>
      </c>
      <c r="C699" t="n">
        <v>81</v>
      </c>
      <c r="D699" t="n">
        <v>7</v>
      </c>
      <c r="E699" t="n">
        <v>2</v>
      </c>
      <c r="F699" t="n">
        <v>0</v>
      </c>
      <c r="G699" t="n">
        <v>1</v>
      </c>
      <c r="H699" t="n">
        <v>85</v>
      </c>
      <c r="I699" t="n">
        <v>36</v>
      </c>
      <c r="J699" t="inlineStr">
        <is>
          <t>No</t>
        </is>
      </c>
      <c r="K699" t="inlineStr">
        <is>
          <t>Yes</t>
        </is>
      </c>
      <c r="L699" t="inlineStr">
        <is>
          <t>North WH</t>
        </is>
      </c>
    </row>
    <row r="700">
      <c r="A700" s="4" t="n">
        <v>20250301</v>
      </c>
      <c r="B700" s="4" t="inlineStr">
        <is>
          <t>P059</t>
        </is>
      </c>
      <c r="C700" t="n">
        <v>85</v>
      </c>
      <c r="D700" t="n">
        <v>0</v>
      </c>
      <c r="E700" t="n">
        <v>0</v>
      </c>
      <c r="F700" t="n">
        <v>0</v>
      </c>
      <c r="G700" t="n">
        <v>2</v>
      </c>
      <c r="H700" t="n">
        <v>83</v>
      </c>
      <c r="I700" t="n">
        <v>36</v>
      </c>
      <c r="J700" t="inlineStr">
        <is>
          <t>No</t>
        </is>
      </c>
      <c r="K700" t="inlineStr">
        <is>
          <t>Yes</t>
        </is>
      </c>
      <c r="L700" t="inlineStr">
        <is>
          <t>North WH</t>
        </is>
      </c>
    </row>
    <row r="701">
      <c r="A701" s="4" t="n">
        <v>20250401</v>
      </c>
      <c r="B701" s="4" t="inlineStr">
        <is>
          <t>P059</t>
        </is>
      </c>
      <c r="C701" t="n">
        <v>83</v>
      </c>
      <c r="D701" t="n">
        <v>0</v>
      </c>
      <c r="E701" t="n">
        <v>3</v>
      </c>
      <c r="F701" t="n">
        <v>0</v>
      </c>
      <c r="G701" t="n">
        <v>0</v>
      </c>
      <c r="H701" t="n">
        <v>80</v>
      </c>
      <c r="I701" t="n">
        <v>36</v>
      </c>
      <c r="J701" t="inlineStr">
        <is>
          <t>No</t>
        </is>
      </c>
      <c r="K701" t="inlineStr">
        <is>
          <t>No</t>
        </is>
      </c>
      <c r="L701" t="inlineStr">
        <is>
          <t>North WH</t>
        </is>
      </c>
    </row>
    <row r="702">
      <c r="A702" s="4" t="n">
        <v>20250501</v>
      </c>
      <c r="B702" s="4" t="inlineStr">
        <is>
          <t>P059</t>
        </is>
      </c>
      <c r="C702" t="n">
        <v>80</v>
      </c>
      <c r="D702" t="n">
        <v>12</v>
      </c>
      <c r="E702" t="n">
        <v>2</v>
      </c>
      <c r="F702" t="n">
        <v>0</v>
      </c>
      <c r="G702" t="n">
        <v>0</v>
      </c>
      <c r="H702" t="n">
        <v>90</v>
      </c>
      <c r="I702" t="n">
        <v>36</v>
      </c>
      <c r="J702" t="inlineStr">
        <is>
          <t>No</t>
        </is>
      </c>
      <c r="K702" t="inlineStr">
        <is>
          <t>Yes</t>
        </is>
      </c>
      <c r="L702" t="inlineStr">
        <is>
          <t>North WH</t>
        </is>
      </c>
    </row>
    <row r="703">
      <c r="A703" s="4" t="n">
        <v>20250601</v>
      </c>
      <c r="B703" s="4" t="inlineStr">
        <is>
          <t>P059</t>
        </is>
      </c>
      <c r="C703" t="n">
        <v>90</v>
      </c>
      <c r="D703" t="n">
        <v>0</v>
      </c>
      <c r="E703" t="n">
        <v>5</v>
      </c>
      <c r="F703" t="n">
        <v>0</v>
      </c>
      <c r="G703" t="n">
        <v>1</v>
      </c>
      <c r="H703" t="n">
        <v>84</v>
      </c>
      <c r="I703" t="n">
        <v>36</v>
      </c>
      <c r="J703" t="inlineStr">
        <is>
          <t>No</t>
        </is>
      </c>
      <c r="K703" t="inlineStr">
        <is>
          <t>Yes</t>
        </is>
      </c>
      <c r="L703" t="inlineStr">
        <is>
          <t>Main WH</t>
        </is>
      </c>
    </row>
    <row r="704">
      <c r="A704" s="4" t="n">
        <v>20250701</v>
      </c>
      <c r="B704" s="4" t="inlineStr">
        <is>
          <t>P059</t>
        </is>
      </c>
      <c r="C704" t="n">
        <v>84</v>
      </c>
      <c r="D704" t="n">
        <v>7</v>
      </c>
      <c r="E704" t="n">
        <v>0</v>
      </c>
      <c r="F704" t="n">
        <v>0</v>
      </c>
      <c r="G704" t="n">
        <v>0</v>
      </c>
      <c r="H704" t="n">
        <v>91</v>
      </c>
      <c r="I704" t="n">
        <v>36</v>
      </c>
      <c r="J704" t="inlineStr">
        <is>
          <t>No</t>
        </is>
      </c>
      <c r="K704" t="inlineStr">
        <is>
          <t>Yes</t>
        </is>
      </c>
      <c r="L704" t="inlineStr">
        <is>
          <t>North WH</t>
        </is>
      </c>
    </row>
    <row r="705">
      <c r="A705" s="4" t="n">
        <v>20250801</v>
      </c>
      <c r="B705" s="4" t="inlineStr">
        <is>
          <t>P059</t>
        </is>
      </c>
      <c r="C705" t="n">
        <v>91</v>
      </c>
      <c r="D705" t="n">
        <v>0</v>
      </c>
      <c r="E705" t="n">
        <v>4</v>
      </c>
      <c r="F705" t="n">
        <v>0</v>
      </c>
      <c r="G705" t="n">
        <v>0</v>
      </c>
      <c r="H705" t="n">
        <v>87</v>
      </c>
      <c r="I705" t="n">
        <v>36</v>
      </c>
      <c r="J705" t="inlineStr">
        <is>
          <t>No</t>
        </is>
      </c>
      <c r="K705" t="inlineStr">
        <is>
          <t>Yes</t>
        </is>
      </c>
      <c r="L705" t="inlineStr">
        <is>
          <t>North WH</t>
        </is>
      </c>
    </row>
    <row r="706">
      <c r="A706" s="4" t="n">
        <v>20250901</v>
      </c>
      <c r="B706" s="4" t="inlineStr">
        <is>
          <t>P059</t>
        </is>
      </c>
      <c r="C706" t="n">
        <v>87</v>
      </c>
      <c r="D706" t="n">
        <v>0</v>
      </c>
      <c r="E706" t="n">
        <v>0</v>
      </c>
      <c r="F706" t="n">
        <v>0</v>
      </c>
      <c r="G706" t="n">
        <v>1</v>
      </c>
      <c r="H706" t="n">
        <v>86</v>
      </c>
      <c r="I706" t="n">
        <v>36</v>
      </c>
      <c r="J706" t="inlineStr">
        <is>
          <t>No</t>
        </is>
      </c>
      <c r="K706" t="inlineStr">
        <is>
          <t>Yes</t>
        </is>
      </c>
      <c r="L706" t="inlineStr">
        <is>
          <t>Main WH</t>
        </is>
      </c>
    </row>
    <row r="707">
      <c r="A707" s="4" t="n">
        <v>20251001</v>
      </c>
      <c r="B707" s="4" t="inlineStr">
        <is>
          <t>P059</t>
        </is>
      </c>
      <c r="C707" t="n">
        <v>86</v>
      </c>
      <c r="D707" t="n">
        <v>0</v>
      </c>
      <c r="E707" t="n">
        <v>3</v>
      </c>
      <c r="F707" t="n">
        <v>0</v>
      </c>
      <c r="G707" t="n">
        <v>2</v>
      </c>
      <c r="H707" t="n">
        <v>81</v>
      </c>
      <c r="I707" t="n">
        <v>36</v>
      </c>
      <c r="J707" t="inlineStr">
        <is>
          <t>No</t>
        </is>
      </c>
      <c r="K707" t="inlineStr">
        <is>
          <t>No</t>
        </is>
      </c>
      <c r="L707" t="inlineStr">
        <is>
          <t>North WH</t>
        </is>
      </c>
    </row>
    <row r="708">
      <c r="A708" s="4" t="n">
        <v>20251101</v>
      </c>
      <c r="B708" s="4" t="inlineStr">
        <is>
          <t>P059</t>
        </is>
      </c>
      <c r="C708" t="n">
        <v>81</v>
      </c>
      <c r="D708" t="n">
        <v>0</v>
      </c>
      <c r="E708" t="n">
        <v>3</v>
      </c>
      <c r="F708" t="n">
        <v>0</v>
      </c>
      <c r="G708" t="n">
        <v>0</v>
      </c>
      <c r="H708" t="n">
        <v>78</v>
      </c>
      <c r="I708" t="n">
        <v>36</v>
      </c>
      <c r="J708" t="inlineStr">
        <is>
          <t>No</t>
        </is>
      </c>
      <c r="K708" t="inlineStr">
        <is>
          <t>No</t>
        </is>
      </c>
      <c r="L708" t="inlineStr">
        <is>
          <t>Main WH</t>
        </is>
      </c>
    </row>
    <row r="709">
      <c r="A709" s="4" t="n">
        <v>20251201</v>
      </c>
      <c r="B709" s="4" t="inlineStr">
        <is>
          <t>P059</t>
        </is>
      </c>
      <c r="C709" t="n">
        <v>78</v>
      </c>
      <c r="D709" t="n">
        <v>13</v>
      </c>
      <c r="E709" t="n">
        <v>2</v>
      </c>
      <c r="F709" t="n">
        <v>0</v>
      </c>
      <c r="G709" t="n">
        <v>1</v>
      </c>
      <c r="H709" t="n">
        <v>88</v>
      </c>
      <c r="I709" t="n">
        <v>36</v>
      </c>
      <c r="J709" t="inlineStr">
        <is>
          <t>No</t>
        </is>
      </c>
      <c r="K709" t="inlineStr">
        <is>
          <t>Yes</t>
        </is>
      </c>
      <c r="L709" t="inlineStr">
        <is>
          <t>Main WH</t>
        </is>
      </c>
    </row>
    <row r="710">
      <c r="A710" s="4" t="n">
        <v>20250101</v>
      </c>
      <c r="B710" s="4" t="inlineStr">
        <is>
          <t>P060</t>
        </is>
      </c>
      <c r="C710" t="n">
        <v>76</v>
      </c>
      <c r="D710" t="n">
        <v>15</v>
      </c>
      <c r="E710" t="n">
        <v>1</v>
      </c>
      <c r="F710" t="n">
        <v>0</v>
      </c>
      <c r="G710" t="n">
        <v>0</v>
      </c>
      <c r="H710" t="n">
        <v>90</v>
      </c>
      <c r="I710" t="n">
        <v>36</v>
      </c>
      <c r="J710" t="inlineStr">
        <is>
          <t>No</t>
        </is>
      </c>
      <c r="K710" t="inlineStr">
        <is>
          <t>Yes</t>
        </is>
      </c>
      <c r="L710" t="inlineStr">
        <is>
          <t>North WH</t>
        </is>
      </c>
    </row>
    <row r="711">
      <c r="A711" s="4" t="n">
        <v>20250201</v>
      </c>
      <c r="B711" s="4" t="inlineStr">
        <is>
          <t>P060</t>
        </is>
      </c>
      <c r="C711" t="n">
        <v>90</v>
      </c>
      <c r="D711" t="n">
        <v>0</v>
      </c>
      <c r="E711" t="n">
        <v>2</v>
      </c>
      <c r="F711" t="n">
        <v>0</v>
      </c>
      <c r="G711" t="n">
        <v>1</v>
      </c>
      <c r="H711" t="n">
        <v>87</v>
      </c>
      <c r="I711" t="n">
        <v>36</v>
      </c>
      <c r="J711" t="inlineStr">
        <is>
          <t>No</t>
        </is>
      </c>
      <c r="K711" t="inlineStr">
        <is>
          <t>Yes</t>
        </is>
      </c>
      <c r="L711" t="inlineStr">
        <is>
          <t>Main WH</t>
        </is>
      </c>
    </row>
    <row r="712">
      <c r="A712" s="4" t="n">
        <v>20250301</v>
      </c>
      <c r="B712" s="4" t="inlineStr">
        <is>
          <t>P060</t>
        </is>
      </c>
      <c r="C712" t="n">
        <v>87</v>
      </c>
      <c r="D712" t="n">
        <v>0</v>
      </c>
      <c r="E712" t="n">
        <v>2</v>
      </c>
      <c r="F712" t="n">
        <v>0</v>
      </c>
      <c r="G712" t="n">
        <v>0</v>
      </c>
      <c r="H712" t="n">
        <v>85</v>
      </c>
      <c r="I712" t="n">
        <v>36</v>
      </c>
      <c r="J712" t="inlineStr">
        <is>
          <t>No</t>
        </is>
      </c>
      <c r="K712" t="inlineStr">
        <is>
          <t>Yes</t>
        </is>
      </c>
      <c r="L712" t="inlineStr">
        <is>
          <t>North WH</t>
        </is>
      </c>
    </row>
    <row r="713">
      <c r="A713" s="4" t="n">
        <v>20250401</v>
      </c>
      <c r="B713" s="4" t="inlineStr">
        <is>
          <t>P060</t>
        </is>
      </c>
      <c r="C713" t="n">
        <v>85</v>
      </c>
      <c r="D713" t="n">
        <v>0</v>
      </c>
      <c r="E713" t="n">
        <v>0</v>
      </c>
      <c r="F713" t="n">
        <v>0</v>
      </c>
      <c r="G713" t="n">
        <v>2</v>
      </c>
      <c r="H713" t="n">
        <v>83</v>
      </c>
      <c r="I713" t="n">
        <v>36</v>
      </c>
      <c r="J713" t="inlineStr">
        <is>
          <t>No</t>
        </is>
      </c>
      <c r="K713" t="inlineStr">
        <is>
          <t>Yes</t>
        </is>
      </c>
      <c r="L713" t="inlineStr">
        <is>
          <t>Main WH</t>
        </is>
      </c>
    </row>
    <row r="714">
      <c r="A714" s="4" t="n">
        <v>20250501</v>
      </c>
      <c r="B714" s="4" t="inlineStr">
        <is>
          <t>P060</t>
        </is>
      </c>
      <c r="C714" t="n">
        <v>83</v>
      </c>
      <c r="D714" t="n">
        <v>5</v>
      </c>
      <c r="E714" t="n">
        <v>0</v>
      </c>
      <c r="F714" t="n">
        <v>0</v>
      </c>
      <c r="G714" t="n">
        <v>1</v>
      </c>
      <c r="H714" t="n">
        <v>87</v>
      </c>
      <c r="I714" t="n">
        <v>36</v>
      </c>
      <c r="J714" t="inlineStr">
        <is>
          <t>No</t>
        </is>
      </c>
      <c r="K714" t="inlineStr">
        <is>
          <t>Yes</t>
        </is>
      </c>
      <c r="L714" t="inlineStr">
        <is>
          <t>North WH</t>
        </is>
      </c>
    </row>
    <row r="715">
      <c r="A715" s="4" t="n">
        <v>20250601</v>
      </c>
      <c r="B715" s="4" t="inlineStr">
        <is>
          <t>P060</t>
        </is>
      </c>
      <c r="C715" t="n">
        <v>87</v>
      </c>
      <c r="D715" t="n">
        <v>0</v>
      </c>
      <c r="E715" t="n">
        <v>0</v>
      </c>
      <c r="F715" t="n">
        <v>0</v>
      </c>
      <c r="G715" t="n">
        <v>0</v>
      </c>
      <c r="H715" t="n">
        <v>87</v>
      </c>
      <c r="I715" t="n">
        <v>36</v>
      </c>
      <c r="J715" t="inlineStr">
        <is>
          <t>No</t>
        </is>
      </c>
      <c r="K715" t="inlineStr">
        <is>
          <t>Yes</t>
        </is>
      </c>
      <c r="L715" t="inlineStr">
        <is>
          <t>Main WH</t>
        </is>
      </c>
    </row>
    <row r="716">
      <c r="A716" s="4" t="n">
        <v>20250701</v>
      </c>
      <c r="B716" s="4" t="inlineStr">
        <is>
          <t>P060</t>
        </is>
      </c>
      <c r="C716" t="n">
        <v>87</v>
      </c>
      <c r="D716" t="n">
        <v>0</v>
      </c>
      <c r="E716" t="n">
        <v>0</v>
      </c>
      <c r="F716" t="n">
        <v>0</v>
      </c>
      <c r="G716" t="n">
        <v>0</v>
      </c>
      <c r="H716" t="n">
        <v>87</v>
      </c>
      <c r="I716" t="n">
        <v>36</v>
      </c>
      <c r="J716" t="inlineStr">
        <is>
          <t>No</t>
        </is>
      </c>
      <c r="K716" t="inlineStr">
        <is>
          <t>Yes</t>
        </is>
      </c>
      <c r="L716" t="inlineStr">
        <is>
          <t>North WH</t>
        </is>
      </c>
    </row>
    <row r="717">
      <c r="A717" s="4" t="n">
        <v>20250801</v>
      </c>
      <c r="B717" s="4" t="inlineStr">
        <is>
          <t>P060</t>
        </is>
      </c>
      <c r="C717" t="n">
        <v>87</v>
      </c>
      <c r="D717" t="n">
        <v>0</v>
      </c>
      <c r="E717" t="n">
        <v>4</v>
      </c>
      <c r="F717" t="n">
        <v>1</v>
      </c>
      <c r="G717" t="n">
        <v>0</v>
      </c>
      <c r="H717" t="n">
        <v>84</v>
      </c>
      <c r="I717" t="n">
        <v>36</v>
      </c>
      <c r="J717" t="inlineStr">
        <is>
          <t>No</t>
        </is>
      </c>
      <c r="K717" t="inlineStr">
        <is>
          <t>Yes</t>
        </is>
      </c>
      <c r="L717" t="inlineStr">
        <is>
          <t>Main WH</t>
        </is>
      </c>
    </row>
    <row r="718">
      <c r="A718" s="4" t="n">
        <v>20250901</v>
      </c>
      <c r="B718" s="4" t="inlineStr">
        <is>
          <t>P060</t>
        </is>
      </c>
      <c r="C718" t="n">
        <v>84</v>
      </c>
      <c r="D718" t="n">
        <v>0</v>
      </c>
      <c r="E718" t="n">
        <v>0</v>
      </c>
      <c r="F718" t="n">
        <v>0</v>
      </c>
      <c r="G718" t="n">
        <v>0</v>
      </c>
      <c r="H718" t="n">
        <v>84</v>
      </c>
      <c r="I718" t="n">
        <v>36</v>
      </c>
      <c r="J718" t="inlineStr">
        <is>
          <t>No</t>
        </is>
      </c>
      <c r="K718" t="inlineStr">
        <is>
          <t>Yes</t>
        </is>
      </c>
      <c r="L718" t="inlineStr">
        <is>
          <t>Main WH</t>
        </is>
      </c>
    </row>
    <row r="719">
      <c r="A719" s="4" t="n">
        <v>20251001</v>
      </c>
      <c r="B719" s="4" t="inlineStr">
        <is>
          <t>P060</t>
        </is>
      </c>
      <c r="C719" t="n">
        <v>84</v>
      </c>
      <c r="D719" t="n">
        <v>7</v>
      </c>
      <c r="E719" t="n">
        <v>6</v>
      </c>
      <c r="F719" t="n">
        <v>0</v>
      </c>
      <c r="G719" t="n">
        <v>0</v>
      </c>
      <c r="H719" t="n">
        <v>85</v>
      </c>
      <c r="I719" t="n">
        <v>36</v>
      </c>
      <c r="J719" t="inlineStr">
        <is>
          <t>No</t>
        </is>
      </c>
      <c r="K719" t="inlineStr">
        <is>
          <t>Yes</t>
        </is>
      </c>
      <c r="L719" t="inlineStr">
        <is>
          <t>Main WH</t>
        </is>
      </c>
    </row>
    <row r="720">
      <c r="A720" s="4" t="n">
        <v>20251101</v>
      </c>
      <c r="B720" s="4" t="inlineStr">
        <is>
          <t>P060</t>
        </is>
      </c>
      <c r="C720" t="n">
        <v>85</v>
      </c>
      <c r="D720" t="n">
        <v>0</v>
      </c>
      <c r="E720" t="n">
        <v>3</v>
      </c>
      <c r="F720" t="n">
        <v>0</v>
      </c>
      <c r="G720" t="n">
        <v>0</v>
      </c>
      <c r="H720" t="n">
        <v>82</v>
      </c>
      <c r="I720" t="n">
        <v>36</v>
      </c>
      <c r="J720" t="inlineStr">
        <is>
          <t>No</t>
        </is>
      </c>
      <c r="K720" t="inlineStr">
        <is>
          <t>No</t>
        </is>
      </c>
      <c r="L720" t="inlineStr">
        <is>
          <t>Main WH</t>
        </is>
      </c>
    </row>
    <row r="721">
      <c r="A721" s="4" t="n">
        <v>20251201</v>
      </c>
      <c r="B721" s="4" t="inlineStr">
        <is>
          <t>P060</t>
        </is>
      </c>
      <c r="C721" t="n">
        <v>82</v>
      </c>
      <c r="D721" t="n">
        <v>2</v>
      </c>
      <c r="E721" t="n">
        <v>7</v>
      </c>
      <c r="F721" t="n">
        <v>0</v>
      </c>
      <c r="G721" t="n">
        <v>1</v>
      </c>
      <c r="H721" t="n">
        <v>76</v>
      </c>
      <c r="I721" t="n">
        <v>36</v>
      </c>
      <c r="J721" t="inlineStr">
        <is>
          <t>No</t>
        </is>
      </c>
      <c r="K721" t="inlineStr">
        <is>
          <t>No</t>
        </is>
      </c>
      <c r="L721" t="inlineStr">
        <is>
          <t>Main WH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 s="11" t="n">
        <v>750</v>
      </c>
    </row>
    <row r="3">
      <c r="A3" t="inlineStr">
        <is>
          <t>Total Units Sold</t>
        </is>
      </c>
      <c r="B3" s="12">
        <f>SUM(Fact_Sales!L2:L1501)</f>
        <v/>
      </c>
    </row>
    <row r="4">
      <c r="A4" t="inlineStr">
        <is>
          <t>Gross Revenue</t>
        </is>
      </c>
      <c r="B4" s="10">
        <f>SUM(Fact_Sales!M2:M1501)</f>
        <v/>
      </c>
    </row>
    <row r="5">
      <c r="A5" t="inlineStr">
        <is>
          <t>Net Revenue</t>
        </is>
      </c>
      <c r="B5" s="10">
        <f>SUM(Fact_Sales!S2:S1501)</f>
        <v/>
      </c>
    </row>
    <row r="6">
      <c r="A6" t="inlineStr">
        <is>
          <t>Total Cost</t>
        </is>
      </c>
      <c r="B6" s="10">
        <f>SUM(Fact_Sales!O2:O1501)</f>
        <v/>
      </c>
    </row>
    <row r="7">
      <c r="A7" t="inlineStr">
        <is>
          <t>Gross Profit</t>
        </is>
      </c>
      <c r="B7" s="10">
        <f>SUM(Fact_Sales!P2:P1501)</f>
        <v/>
      </c>
    </row>
    <row r="8">
      <c r="A8" t="inlineStr">
        <is>
          <t>Return Units</t>
        </is>
      </c>
      <c r="B8" s="14">
        <f>SUM(Fact_Sales!R2:R1501)</f>
        <v/>
      </c>
    </row>
    <row r="9">
      <c r="A9" t="inlineStr">
        <is>
          <t>Return Rate</t>
        </is>
      </c>
      <c r="B9" s="13">
        <f>IF(B3=0,0,B8/B3)</f>
        <v/>
      </c>
    </row>
    <row r="10">
      <c r="A10" t="inlineStr">
        <is>
          <t>Avg Discount</t>
        </is>
      </c>
      <c r="B10" s="13">
        <f>AVERAGE(Fact_Sales!J2:J1501)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2026-04-07T09:28:14Z</dcterms:created>
  <dcterms:modified xmlns:dcterms="http://purl.org/dc/terms/" xmlns:xsi="http://www.w3.org/2001/XMLSchema-instance" xsi:type="dcterms:W3CDTF">2026-04-07T09:29:24Z</dcterms:modified>
</cp:coreProperties>
</file>